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1170" yWindow="765" windowWidth="21495" windowHeight="14715" tabRatio="826"/>
  </bookViews>
  <sheets>
    <sheet name="MANHOLES (1)" sheetId="41" r:id="rId1"/>
    <sheet name="MANHOLES (2)" sheetId="42" r:id="rId2"/>
    <sheet name="MANHOLES (3)" sheetId="43" r:id="rId3"/>
    <sheet name="SEWERS (1)" sheetId="44" r:id="rId4"/>
    <sheet name="SEWERS (2)" sheetId="48" r:id="rId5"/>
    <sheet name="SEWERS (3)" sheetId="49" r:id="rId6"/>
    <sheet name="SEWERS (4)" sheetId="50" r:id="rId7"/>
    <sheet name="WATERMAIN (1)" sheetId="39" r:id="rId8"/>
    <sheet name="WATERMAIN (2)" sheetId="51" r:id="rId9"/>
    <sheet name="SUMMARY OF ESTIMATE" sheetId="12" r:id="rId10"/>
  </sheets>
  <definedNames>
    <definedName name="_xlnm.Print_Area" localSheetId="0">'MANHOLES (1)'!$A$1:$V$62</definedName>
    <definedName name="_xlnm.Print_Area" localSheetId="1">'MANHOLES (2)'!$A$1:$V$62</definedName>
    <definedName name="_xlnm.Print_Area" localSheetId="2">'MANHOLES (3)'!$A$1:$V$62</definedName>
    <definedName name="_xlnm.Print_Area" localSheetId="3">'SEWERS (1)'!$A$1:$AE$69</definedName>
    <definedName name="_xlnm.Print_Area" localSheetId="4">'SEWERS (2)'!$A$1:$AE$69</definedName>
    <definedName name="_xlnm.Print_Area" localSheetId="5">'SEWERS (3)'!$A$1:$AE$69</definedName>
    <definedName name="_xlnm.Print_Area" localSheetId="6">'SEWERS (4)'!$A$1:$AE$69</definedName>
    <definedName name="_xlnm.Print_Area" localSheetId="9">'SUMMARY OF ESTIMATE'!$A$1:$T$29</definedName>
    <definedName name="Print_Area_MI" localSheetId="0">'MANHOLES (1)'!$V$53:$IU$1804</definedName>
    <definedName name="Print_Area_MI" localSheetId="1">'MANHOLES (2)'!$V$53:$IU$1804</definedName>
    <definedName name="Print_Area_MI" localSheetId="2">'MANHOLES (3)'!$V$64:$IU$1815</definedName>
    <definedName name="Print_Area_MI" localSheetId="3">'SEWERS (1)'!$A$3:$AB$75</definedName>
    <definedName name="Print_Area_MI" localSheetId="4">'SEWERS (2)'!$A$3:$AB$75</definedName>
    <definedName name="Print_Area_MI" localSheetId="5">'SEWERS (3)'!$A$3:$AB$75</definedName>
    <definedName name="Print_Area_MI" localSheetId="6">'SEWERS (4)'!$A$3:$AB$75</definedName>
    <definedName name="Print_Area_MI" localSheetId="7">'WATERMAIN (1)'!$Y$85:$IU$1817</definedName>
    <definedName name="Print_Area_MI" localSheetId="8">'WATERMAIN (2)'!$Y$85:$IU$1817</definedName>
    <definedName name="_xlnm.Print_Titles" localSheetId="0">'MANHOLES (1)'!$1804:$65536</definedName>
    <definedName name="_xlnm.Print_Titles" localSheetId="1">'MANHOLES (2)'!$1804:$65536</definedName>
    <definedName name="_xlnm.Print_Titles" localSheetId="2">'MANHOLES (3)'!$1815:$65536</definedName>
    <definedName name="_xlnm.Print_Titles" localSheetId="7">'WATERMAIN (1)'!$3:$1817</definedName>
    <definedName name="_xlnm.Print_Titles" localSheetId="8">'WATERMAIN (2)'!$3:$1817</definedName>
    <definedName name="Print_Titles_MI" localSheetId="0">'MANHOLES (1)'!$1804:$65536</definedName>
    <definedName name="Print_Titles_MI" localSheetId="1">'MANHOLES (2)'!$1804:$65536</definedName>
    <definedName name="Print_Titles_MI" localSheetId="2">'MANHOLES (3)'!$1815:$65536</definedName>
    <definedName name="Print_Titles_MI" localSheetId="7">'WATERMAIN (1)'!$3:$1817</definedName>
    <definedName name="Print_Titles_MI" localSheetId="8">'WATERMAIN (2)'!$3:$1817</definedName>
  </definedNames>
  <calcPr calcId="152511" iterate="1" iterateCount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9" i="50" l="1"/>
  <c r="V6" i="50"/>
  <c r="V5" i="50"/>
  <c r="AE9" i="49"/>
  <c r="V6" i="49"/>
  <c r="V5" i="49"/>
  <c r="AE9" i="48"/>
  <c r="V6" i="48"/>
  <c r="V5" i="48"/>
  <c r="AE9" i="44"/>
  <c r="U39" i="51"/>
  <c r="U39" i="39"/>
  <c r="U40" i="39"/>
  <c r="T53" i="50"/>
  <c r="T15" i="50"/>
  <c r="T16" i="50"/>
  <c r="T17" i="50"/>
  <c r="T18" i="50"/>
  <c r="T19" i="50"/>
  <c r="T20" i="50"/>
  <c r="T21" i="50"/>
  <c r="T22" i="50"/>
  <c r="T23" i="50"/>
  <c r="T24" i="50"/>
  <c r="T25" i="50"/>
  <c r="T26" i="50"/>
  <c r="T27" i="50"/>
  <c r="T28" i="50"/>
  <c r="T29" i="50"/>
  <c r="T30" i="50"/>
  <c r="T31" i="50"/>
  <c r="T32" i="50"/>
  <c r="T33" i="50"/>
  <c r="T34" i="50"/>
  <c r="T35" i="50"/>
  <c r="T36" i="50"/>
  <c r="T37" i="50"/>
  <c r="T38" i="50"/>
  <c r="T39" i="50"/>
  <c r="T40" i="50"/>
  <c r="T41" i="50"/>
  <c r="T42" i="50"/>
  <c r="T43" i="50"/>
  <c r="T44" i="50"/>
  <c r="T45" i="50"/>
  <c r="T46" i="50"/>
  <c r="T47" i="50"/>
  <c r="T48" i="50"/>
  <c r="T49" i="50"/>
  <c r="T50" i="50"/>
  <c r="T51" i="50"/>
  <c r="T52" i="50"/>
  <c r="T54" i="50"/>
  <c r="T14" i="50"/>
  <c r="T52" i="49"/>
  <c r="T15" i="49"/>
  <c r="T16" i="49"/>
  <c r="T17" i="49"/>
  <c r="T18" i="49"/>
  <c r="T19" i="49"/>
  <c r="T20" i="49"/>
  <c r="T21" i="49"/>
  <c r="T22" i="49"/>
  <c r="T23" i="49"/>
  <c r="T24" i="49"/>
  <c r="T25" i="49"/>
  <c r="T26" i="49"/>
  <c r="T27" i="49"/>
  <c r="T28" i="49"/>
  <c r="T29" i="49"/>
  <c r="T30" i="49"/>
  <c r="T31" i="49"/>
  <c r="T32" i="49"/>
  <c r="T33" i="49"/>
  <c r="T34" i="49"/>
  <c r="T35" i="49"/>
  <c r="T36" i="49"/>
  <c r="T37" i="49"/>
  <c r="T38" i="49"/>
  <c r="T39" i="49"/>
  <c r="T40" i="49"/>
  <c r="T41" i="49"/>
  <c r="T42" i="49"/>
  <c r="T43" i="49"/>
  <c r="T44" i="49"/>
  <c r="T45" i="49"/>
  <c r="T46" i="49"/>
  <c r="T47" i="49"/>
  <c r="T48" i="49"/>
  <c r="T49" i="49"/>
  <c r="T50" i="49"/>
  <c r="T51" i="49"/>
  <c r="T53" i="49"/>
  <c r="T54" i="49"/>
  <c r="T14" i="49"/>
  <c r="T14" i="48"/>
  <c r="T48" i="44"/>
  <c r="T15" i="44"/>
  <c r="T16" i="44"/>
  <c r="T17" i="44"/>
  <c r="T18" i="44"/>
  <c r="T19" i="44"/>
  <c r="T20" i="44"/>
  <c r="T21" i="44"/>
  <c r="T22" i="44"/>
  <c r="T23" i="44"/>
  <c r="T24" i="44"/>
  <c r="T25" i="44"/>
  <c r="T26" i="44"/>
  <c r="T27" i="44"/>
  <c r="T28" i="44"/>
  <c r="T29" i="44"/>
  <c r="T30" i="44"/>
  <c r="T31" i="44"/>
  <c r="T32" i="44"/>
  <c r="T33" i="44"/>
  <c r="T34" i="44"/>
  <c r="T35" i="44"/>
  <c r="T36" i="44"/>
  <c r="T37" i="44"/>
  <c r="T38" i="44"/>
  <c r="T39" i="44"/>
  <c r="T40" i="44"/>
  <c r="T41" i="44"/>
  <c r="T42" i="44"/>
  <c r="T43" i="44"/>
  <c r="T44" i="44"/>
  <c r="T45" i="44"/>
  <c r="T46" i="44"/>
  <c r="T47" i="44"/>
  <c r="T49" i="44"/>
  <c r="T50" i="44"/>
  <c r="T51" i="44"/>
  <c r="T52" i="44"/>
  <c r="T53" i="44"/>
  <c r="T14" i="44"/>
  <c r="N14" i="51" l="1"/>
  <c r="P31" i="39" l="1"/>
  <c r="P31" i="51"/>
  <c r="H68" i="39" l="1"/>
  <c r="H36" i="39"/>
  <c r="L11" i="41"/>
  <c r="C61" i="50"/>
  <c r="C61" i="49"/>
  <c r="C61" i="48"/>
  <c r="L12" i="41"/>
  <c r="O12" i="41" s="1"/>
  <c r="L13" i="41"/>
  <c r="P13" i="41" s="1"/>
  <c r="L14" i="41"/>
  <c r="L15" i="41"/>
  <c r="L16" i="41"/>
  <c r="O16" i="41" s="1"/>
  <c r="L17" i="41"/>
  <c r="N17" i="41" s="1"/>
  <c r="L18" i="41"/>
  <c r="L19" i="41"/>
  <c r="L20" i="41"/>
  <c r="N20" i="41" s="1"/>
  <c r="L21" i="41"/>
  <c r="P21" i="41" s="1"/>
  <c r="L22" i="41"/>
  <c r="L23" i="41"/>
  <c r="L24" i="41"/>
  <c r="L25" i="41"/>
  <c r="L26" i="41"/>
  <c r="L27" i="41"/>
  <c r="L28" i="41"/>
  <c r="P28" i="41" s="1"/>
  <c r="L29" i="41"/>
  <c r="P29" i="41" s="1"/>
  <c r="L30" i="41"/>
  <c r="L31" i="41"/>
  <c r="L32" i="41"/>
  <c r="L33" i="41"/>
  <c r="O33" i="41" s="1"/>
  <c r="L34" i="41"/>
  <c r="N34" i="41" s="1"/>
  <c r="L35" i="41"/>
  <c r="N35" i="41" s="1"/>
  <c r="L36" i="41"/>
  <c r="P36" i="41" s="1"/>
  <c r="L37" i="41"/>
  <c r="P37" i="41" s="1"/>
  <c r="L38" i="41"/>
  <c r="O38" i="41" s="1"/>
  <c r="L39" i="41"/>
  <c r="L40" i="41"/>
  <c r="L41" i="41"/>
  <c r="O41" i="41" s="1"/>
  <c r="L42" i="41"/>
  <c r="L43" i="41"/>
  <c r="L44" i="41"/>
  <c r="P44" i="41" s="1"/>
  <c r="L45" i="41"/>
  <c r="O45" i="41" s="1"/>
  <c r="L46" i="41"/>
  <c r="P46" i="41" s="1"/>
  <c r="N19" i="41"/>
  <c r="N25" i="41"/>
  <c r="N27" i="41"/>
  <c r="N41" i="41"/>
  <c r="N43" i="41"/>
  <c r="N45" i="41"/>
  <c r="O46" i="41"/>
  <c r="J56" i="41"/>
  <c r="J56" i="43"/>
  <c r="J56" i="42"/>
  <c r="J55" i="41"/>
  <c r="J55" i="43"/>
  <c r="J55" i="42"/>
  <c r="J53" i="41"/>
  <c r="J53" i="43"/>
  <c r="J53" i="42"/>
  <c r="J54" i="41"/>
  <c r="J54" i="43"/>
  <c r="J54" i="42"/>
  <c r="E5" i="12"/>
  <c r="D57" i="50"/>
  <c r="C57" i="50"/>
  <c r="I63" i="50" s="1"/>
  <c r="I56" i="50"/>
  <c r="H56" i="50"/>
  <c r="C63" i="50" s="1"/>
  <c r="AD54" i="50"/>
  <c r="AA54" i="50"/>
  <c r="U54" i="50"/>
  <c r="S54" i="50"/>
  <c r="Y54" i="50" s="1"/>
  <c r="Q54" i="50"/>
  <c r="R54" i="50" s="1"/>
  <c r="O54" i="50"/>
  <c r="N54" i="50"/>
  <c r="K54" i="50"/>
  <c r="J54" i="50"/>
  <c r="AD53" i="50"/>
  <c r="AA53" i="50"/>
  <c r="U53" i="50"/>
  <c r="S53" i="50"/>
  <c r="Y53" i="50" s="1"/>
  <c r="Q53" i="50"/>
  <c r="R53" i="50" s="1"/>
  <c r="O53" i="50"/>
  <c r="N53" i="50"/>
  <c r="K53" i="50"/>
  <c r="J53" i="50"/>
  <c r="AD52" i="50"/>
  <c r="AA52" i="50"/>
  <c r="U52" i="50"/>
  <c r="S52" i="50"/>
  <c r="Y52" i="50" s="1"/>
  <c r="Q52" i="50"/>
  <c r="R52" i="50" s="1"/>
  <c r="O52" i="50"/>
  <c r="N52" i="50"/>
  <c r="K52" i="50"/>
  <c r="J52" i="50"/>
  <c r="AD51" i="50"/>
  <c r="AA51" i="50"/>
  <c r="U51" i="50"/>
  <c r="S51" i="50"/>
  <c r="Y51" i="50" s="1"/>
  <c r="Q51" i="50"/>
  <c r="R51" i="50" s="1"/>
  <c r="O51" i="50"/>
  <c r="N51" i="50"/>
  <c r="K51" i="50"/>
  <c r="J51" i="50"/>
  <c r="AD50" i="50"/>
  <c r="AA50" i="50"/>
  <c r="U50" i="50"/>
  <c r="S50" i="50"/>
  <c r="Y50" i="50" s="1"/>
  <c r="Q50" i="50"/>
  <c r="R50" i="50" s="1"/>
  <c r="O50" i="50"/>
  <c r="N50" i="50"/>
  <c r="K50" i="50"/>
  <c r="J50" i="50"/>
  <c r="AD49" i="50"/>
  <c r="AA49" i="50"/>
  <c r="U49" i="50"/>
  <c r="S49" i="50"/>
  <c r="Y49" i="50" s="1"/>
  <c r="Q49" i="50"/>
  <c r="R49" i="50" s="1"/>
  <c r="O49" i="50"/>
  <c r="N49" i="50"/>
  <c r="K49" i="50"/>
  <c r="J49" i="50"/>
  <c r="AD48" i="50"/>
  <c r="AA48" i="50"/>
  <c r="U48" i="50"/>
  <c r="S48" i="50"/>
  <c r="Y48" i="50" s="1"/>
  <c r="Q48" i="50"/>
  <c r="R48" i="50" s="1"/>
  <c r="O48" i="50"/>
  <c r="N48" i="50"/>
  <c r="K48" i="50"/>
  <c r="J48" i="50"/>
  <c r="AD47" i="50"/>
  <c r="AA47" i="50"/>
  <c r="U47" i="50"/>
  <c r="S47" i="50"/>
  <c r="Y47" i="50" s="1"/>
  <c r="Q47" i="50"/>
  <c r="R47" i="50" s="1"/>
  <c r="O47" i="50"/>
  <c r="N47" i="50"/>
  <c r="K47" i="50"/>
  <c r="J47" i="50"/>
  <c r="AD46" i="50"/>
  <c r="AA46" i="50"/>
  <c r="U46" i="50"/>
  <c r="S46" i="50"/>
  <c r="Y46" i="50" s="1"/>
  <c r="Q46" i="50"/>
  <c r="R46" i="50" s="1"/>
  <c r="O46" i="50"/>
  <c r="N46" i="50"/>
  <c r="K46" i="50"/>
  <c r="J46" i="50"/>
  <c r="AD45" i="50"/>
  <c r="AA45" i="50"/>
  <c r="U45" i="50"/>
  <c r="S45" i="50"/>
  <c r="Y45" i="50" s="1"/>
  <c r="Q45" i="50"/>
  <c r="R45" i="50" s="1"/>
  <c r="O45" i="50"/>
  <c r="N45" i="50"/>
  <c r="K45" i="50"/>
  <c r="J45" i="50"/>
  <c r="AD44" i="50"/>
  <c r="AA44" i="50"/>
  <c r="U44" i="50"/>
  <c r="S44" i="50"/>
  <c r="Y44" i="50" s="1"/>
  <c r="Q44" i="50"/>
  <c r="R44" i="50" s="1"/>
  <c r="O44" i="50"/>
  <c r="N44" i="50"/>
  <c r="K44" i="50"/>
  <c r="J44" i="50"/>
  <c r="AD43" i="50"/>
  <c r="AA43" i="50"/>
  <c r="U43" i="50"/>
  <c r="S43" i="50"/>
  <c r="Y43" i="50" s="1"/>
  <c r="Q43" i="50"/>
  <c r="R43" i="50" s="1"/>
  <c r="O43" i="50"/>
  <c r="N43" i="50"/>
  <c r="K43" i="50"/>
  <c r="J43" i="50"/>
  <c r="AD42" i="50"/>
  <c r="AA42" i="50"/>
  <c r="U42" i="50"/>
  <c r="S42" i="50"/>
  <c r="Y42" i="50" s="1"/>
  <c r="Q42" i="50"/>
  <c r="R42" i="50" s="1"/>
  <c r="O42" i="50"/>
  <c r="N42" i="50"/>
  <c r="K42" i="50"/>
  <c r="J42" i="50"/>
  <c r="AD41" i="50"/>
  <c r="AA41" i="50"/>
  <c r="U41" i="50"/>
  <c r="S41" i="50"/>
  <c r="Y41" i="50" s="1"/>
  <c r="Q41" i="50"/>
  <c r="R41" i="50" s="1"/>
  <c r="O41" i="50"/>
  <c r="N41" i="50"/>
  <c r="K41" i="50"/>
  <c r="J41" i="50"/>
  <c r="AD40" i="50"/>
  <c r="AA40" i="50"/>
  <c r="U40" i="50"/>
  <c r="S40" i="50"/>
  <c r="Y40" i="50" s="1"/>
  <c r="Q40" i="50"/>
  <c r="R40" i="50" s="1"/>
  <c r="O40" i="50"/>
  <c r="N40" i="50"/>
  <c r="K40" i="50"/>
  <c r="J40" i="50"/>
  <c r="AD39" i="50"/>
  <c r="AA39" i="50"/>
  <c r="U39" i="50"/>
  <c r="S39" i="50"/>
  <c r="Y39" i="50" s="1"/>
  <c r="Q39" i="50"/>
  <c r="R39" i="50" s="1"/>
  <c r="O39" i="50"/>
  <c r="N39" i="50"/>
  <c r="K39" i="50"/>
  <c r="J39" i="50"/>
  <c r="AD38" i="50"/>
  <c r="AA38" i="50"/>
  <c r="U38" i="50"/>
  <c r="S38" i="50"/>
  <c r="Y38" i="50" s="1"/>
  <c r="Q38" i="50"/>
  <c r="R38" i="50" s="1"/>
  <c r="O38" i="50"/>
  <c r="N38" i="50"/>
  <c r="K38" i="50"/>
  <c r="J38" i="50"/>
  <c r="AD37" i="50"/>
  <c r="AA37" i="50"/>
  <c r="U37" i="50"/>
  <c r="S37" i="50"/>
  <c r="Y37" i="50" s="1"/>
  <c r="Q37" i="50"/>
  <c r="R37" i="50" s="1"/>
  <c r="O37" i="50"/>
  <c r="N37" i="50"/>
  <c r="K37" i="50"/>
  <c r="J37" i="50"/>
  <c r="AD36" i="50"/>
  <c r="AA36" i="50"/>
  <c r="U36" i="50"/>
  <c r="S36" i="50"/>
  <c r="Y36" i="50" s="1"/>
  <c r="Q36" i="50"/>
  <c r="R36" i="50" s="1"/>
  <c r="O36" i="50"/>
  <c r="N36" i="50"/>
  <c r="K36" i="50"/>
  <c r="J36" i="50"/>
  <c r="AD35" i="50"/>
  <c r="AA35" i="50"/>
  <c r="U35" i="50"/>
  <c r="S35" i="50"/>
  <c r="Y35" i="50" s="1"/>
  <c r="Q35" i="50"/>
  <c r="R35" i="50" s="1"/>
  <c r="O35" i="50"/>
  <c r="N35" i="50"/>
  <c r="K35" i="50"/>
  <c r="J35" i="50"/>
  <c r="AD34" i="50"/>
  <c r="AA34" i="50"/>
  <c r="U34" i="50"/>
  <c r="S34" i="50"/>
  <c r="Y34" i="50" s="1"/>
  <c r="Q34" i="50"/>
  <c r="R34" i="50" s="1"/>
  <c r="O34" i="50"/>
  <c r="N34" i="50"/>
  <c r="K34" i="50"/>
  <c r="J34" i="50"/>
  <c r="AD33" i="50"/>
  <c r="AA33" i="50"/>
  <c r="U33" i="50"/>
  <c r="S33" i="50"/>
  <c r="Y33" i="50" s="1"/>
  <c r="Q33" i="50"/>
  <c r="R33" i="50" s="1"/>
  <c r="O33" i="50"/>
  <c r="N33" i="50"/>
  <c r="K33" i="50"/>
  <c r="J33" i="50"/>
  <c r="AD32" i="50"/>
  <c r="AA32" i="50"/>
  <c r="U32" i="50"/>
  <c r="S32" i="50"/>
  <c r="Y32" i="50" s="1"/>
  <c r="Q32" i="50"/>
  <c r="R32" i="50" s="1"/>
  <c r="O32" i="50"/>
  <c r="N32" i="50"/>
  <c r="K32" i="50"/>
  <c r="J32" i="50"/>
  <c r="AD31" i="50"/>
  <c r="AA31" i="50"/>
  <c r="U31" i="50"/>
  <c r="S31" i="50"/>
  <c r="Y31" i="50" s="1"/>
  <c r="Q31" i="50"/>
  <c r="R31" i="50" s="1"/>
  <c r="O31" i="50"/>
  <c r="N31" i="50"/>
  <c r="K31" i="50"/>
  <c r="J31" i="50"/>
  <c r="AD30" i="50"/>
  <c r="AA30" i="50"/>
  <c r="U30" i="50"/>
  <c r="S30" i="50"/>
  <c r="Y30" i="50" s="1"/>
  <c r="Q30" i="50"/>
  <c r="R30" i="50" s="1"/>
  <c r="O30" i="50"/>
  <c r="N30" i="50"/>
  <c r="K30" i="50"/>
  <c r="J30" i="50"/>
  <c r="AD29" i="50"/>
  <c r="AA29" i="50"/>
  <c r="U29" i="50"/>
  <c r="S29" i="50"/>
  <c r="Y29" i="50" s="1"/>
  <c r="Q29" i="50"/>
  <c r="R29" i="50" s="1"/>
  <c r="O29" i="50"/>
  <c r="N29" i="50"/>
  <c r="K29" i="50"/>
  <c r="J29" i="50"/>
  <c r="AD28" i="50"/>
  <c r="AA28" i="50"/>
  <c r="U28" i="50"/>
  <c r="S28" i="50"/>
  <c r="Y28" i="50" s="1"/>
  <c r="Q28" i="50"/>
  <c r="R28" i="50" s="1"/>
  <c r="O28" i="50"/>
  <c r="N28" i="50"/>
  <c r="K28" i="50"/>
  <c r="J28" i="50"/>
  <c r="AD27" i="50"/>
  <c r="AA27" i="50"/>
  <c r="U27" i="50"/>
  <c r="S27" i="50"/>
  <c r="Y27" i="50" s="1"/>
  <c r="Q27" i="50"/>
  <c r="R27" i="50" s="1"/>
  <c r="O27" i="50"/>
  <c r="N27" i="50"/>
  <c r="K27" i="50"/>
  <c r="J27" i="50"/>
  <c r="AD26" i="50"/>
  <c r="AA26" i="50"/>
  <c r="U26" i="50"/>
  <c r="S26" i="50"/>
  <c r="Y26" i="50" s="1"/>
  <c r="Q26" i="50"/>
  <c r="R26" i="50" s="1"/>
  <c r="O26" i="50"/>
  <c r="N26" i="50"/>
  <c r="K26" i="50"/>
  <c r="J26" i="50"/>
  <c r="AD25" i="50"/>
  <c r="AA25" i="50"/>
  <c r="U25" i="50"/>
  <c r="S25" i="50"/>
  <c r="Y25" i="50" s="1"/>
  <c r="Q25" i="50"/>
  <c r="R25" i="50" s="1"/>
  <c r="O25" i="50"/>
  <c r="N25" i="50"/>
  <c r="K25" i="50"/>
  <c r="J25" i="50"/>
  <c r="AD24" i="50"/>
  <c r="AA24" i="50"/>
  <c r="U24" i="50"/>
  <c r="S24" i="50"/>
  <c r="Y24" i="50" s="1"/>
  <c r="Q24" i="50"/>
  <c r="R24" i="50" s="1"/>
  <c r="O24" i="50"/>
  <c r="N24" i="50"/>
  <c r="K24" i="50"/>
  <c r="J24" i="50"/>
  <c r="AD23" i="50"/>
  <c r="AA23" i="50"/>
  <c r="U23" i="50"/>
  <c r="S23" i="50"/>
  <c r="Y23" i="50" s="1"/>
  <c r="Q23" i="50"/>
  <c r="R23" i="50" s="1"/>
  <c r="O23" i="50"/>
  <c r="N23" i="50"/>
  <c r="K23" i="50"/>
  <c r="J23" i="50"/>
  <c r="AD22" i="50"/>
  <c r="AA22" i="50"/>
  <c r="U22" i="50"/>
  <c r="S22" i="50"/>
  <c r="Y22" i="50" s="1"/>
  <c r="Q22" i="50"/>
  <c r="R22" i="50" s="1"/>
  <c r="O22" i="50"/>
  <c r="N22" i="50"/>
  <c r="K22" i="50"/>
  <c r="J22" i="50"/>
  <c r="AD21" i="50"/>
  <c r="AA21" i="50"/>
  <c r="U21" i="50"/>
  <c r="S21" i="50"/>
  <c r="Y21" i="50" s="1"/>
  <c r="Q21" i="50"/>
  <c r="R21" i="50" s="1"/>
  <c r="O21" i="50"/>
  <c r="N21" i="50"/>
  <c r="K21" i="50"/>
  <c r="J21" i="50"/>
  <c r="AD20" i="50"/>
  <c r="AA20" i="50"/>
  <c r="U20" i="50"/>
  <c r="S20" i="50"/>
  <c r="Y20" i="50" s="1"/>
  <c r="Q20" i="50"/>
  <c r="R20" i="50" s="1"/>
  <c r="O20" i="50"/>
  <c r="N20" i="50"/>
  <c r="K20" i="50"/>
  <c r="J20" i="50"/>
  <c r="AD19" i="50"/>
  <c r="AA19" i="50"/>
  <c r="U19" i="50"/>
  <c r="S19" i="50"/>
  <c r="Y19" i="50" s="1"/>
  <c r="Q19" i="50"/>
  <c r="R19" i="50" s="1"/>
  <c r="O19" i="50"/>
  <c r="N19" i="50"/>
  <c r="K19" i="50"/>
  <c r="J19" i="50"/>
  <c r="AD18" i="50"/>
  <c r="AA18" i="50"/>
  <c r="U18" i="50"/>
  <c r="S18" i="50"/>
  <c r="Y18" i="50" s="1"/>
  <c r="Q18" i="50"/>
  <c r="R18" i="50" s="1"/>
  <c r="O18" i="50"/>
  <c r="N18" i="50"/>
  <c r="K18" i="50"/>
  <c r="J18" i="50"/>
  <c r="AD17" i="50"/>
  <c r="AA17" i="50"/>
  <c r="U17" i="50"/>
  <c r="S17" i="50"/>
  <c r="Y17" i="50" s="1"/>
  <c r="Q17" i="50"/>
  <c r="R17" i="50" s="1"/>
  <c r="O17" i="50"/>
  <c r="N17" i="50"/>
  <c r="K17" i="50"/>
  <c r="J17" i="50"/>
  <c r="AD16" i="50"/>
  <c r="AA16" i="50"/>
  <c r="U16" i="50"/>
  <c r="S16" i="50"/>
  <c r="Y16" i="50" s="1"/>
  <c r="Q16" i="50"/>
  <c r="R16" i="50" s="1"/>
  <c r="O16" i="50"/>
  <c r="N16" i="50"/>
  <c r="K16" i="50"/>
  <c r="J16" i="50"/>
  <c r="AD15" i="50"/>
  <c r="AA15" i="50"/>
  <c r="U15" i="50"/>
  <c r="S15" i="50"/>
  <c r="Y15" i="50" s="1"/>
  <c r="Q15" i="50"/>
  <c r="R15" i="50" s="1"/>
  <c r="O15" i="50"/>
  <c r="N15" i="50"/>
  <c r="K15" i="50"/>
  <c r="J15" i="50"/>
  <c r="AD14" i="50"/>
  <c r="U14" i="50"/>
  <c r="O14" i="50"/>
  <c r="N14" i="50"/>
  <c r="K14" i="50"/>
  <c r="J14" i="50"/>
  <c r="AA12" i="50"/>
  <c r="C12" i="50"/>
  <c r="D57" i="49"/>
  <c r="C57" i="49"/>
  <c r="I63" i="49" s="1"/>
  <c r="I56" i="49"/>
  <c r="H56" i="49"/>
  <c r="C63" i="49" s="1"/>
  <c r="AD54" i="49"/>
  <c r="AA54" i="49"/>
  <c r="U54" i="49"/>
  <c r="S54" i="49"/>
  <c r="Y54" i="49" s="1"/>
  <c r="Q54" i="49"/>
  <c r="R54" i="49" s="1"/>
  <c r="O54" i="49"/>
  <c r="N54" i="49"/>
  <c r="K54" i="49"/>
  <c r="J54" i="49"/>
  <c r="AD53" i="49"/>
  <c r="AA53" i="49"/>
  <c r="U53" i="49"/>
  <c r="S53" i="49"/>
  <c r="Y53" i="49" s="1"/>
  <c r="Q53" i="49"/>
  <c r="R53" i="49" s="1"/>
  <c r="O53" i="49"/>
  <c r="N53" i="49"/>
  <c r="K53" i="49"/>
  <c r="J53" i="49"/>
  <c r="AD52" i="49"/>
  <c r="AA52" i="49"/>
  <c r="U52" i="49"/>
  <c r="S52" i="49"/>
  <c r="Y52" i="49" s="1"/>
  <c r="Q52" i="49"/>
  <c r="R52" i="49" s="1"/>
  <c r="O52" i="49"/>
  <c r="N52" i="49"/>
  <c r="K52" i="49"/>
  <c r="J52" i="49"/>
  <c r="AD51" i="49"/>
  <c r="AA51" i="49"/>
  <c r="U51" i="49"/>
  <c r="S51" i="49"/>
  <c r="Y51" i="49" s="1"/>
  <c r="Q51" i="49"/>
  <c r="R51" i="49" s="1"/>
  <c r="O51" i="49"/>
  <c r="N51" i="49"/>
  <c r="K51" i="49"/>
  <c r="J51" i="49"/>
  <c r="AD50" i="49"/>
  <c r="AA50" i="49"/>
  <c r="U50" i="49"/>
  <c r="S50" i="49"/>
  <c r="Y50" i="49" s="1"/>
  <c r="Q50" i="49"/>
  <c r="R50" i="49" s="1"/>
  <c r="O50" i="49"/>
  <c r="N50" i="49"/>
  <c r="K50" i="49"/>
  <c r="J50" i="49"/>
  <c r="AD49" i="49"/>
  <c r="AA49" i="49"/>
  <c r="U49" i="49"/>
  <c r="S49" i="49"/>
  <c r="Y49" i="49" s="1"/>
  <c r="Q49" i="49"/>
  <c r="R49" i="49" s="1"/>
  <c r="O49" i="49"/>
  <c r="N49" i="49"/>
  <c r="K49" i="49"/>
  <c r="J49" i="49"/>
  <c r="AD48" i="49"/>
  <c r="AA48" i="49"/>
  <c r="U48" i="49"/>
  <c r="S48" i="49"/>
  <c r="Y48" i="49" s="1"/>
  <c r="Q48" i="49"/>
  <c r="R48" i="49" s="1"/>
  <c r="O48" i="49"/>
  <c r="N48" i="49"/>
  <c r="K48" i="49"/>
  <c r="J48" i="49"/>
  <c r="AD47" i="49"/>
  <c r="AA47" i="49"/>
  <c r="U47" i="49"/>
  <c r="S47" i="49"/>
  <c r="Y47" i="49" s="1"/>
  <c r="Q47" i="49"/>
  <c r="R47" i="49" s="1"/>
  <c r="O47" i="49"/>
  <c r="N47" i="49"/>
  <c r="K47" i="49"/>
  <c r="J47" i="49"/>
  <c r="AD46" i="49"/>
  <c r="AA46" i="49"/>
  <c r="U46" i="49"/>
  <c r="S46" i="49"/>
  <c r="Y46" i="49" s="1"/>
  <c r="Q46" i="49"/>
  <c r="R46" i="49" s="1"/>
  <c r="O46" i="49"/>
  <c r="N46" i="49"/>
  <c r="K46" i="49"/>
  <c r="J46" i="49"/>
  <c r="AD45" i="49"/>
  <c r="AA45" i="49"/>
  <c r="U45" i="49"/>
  <c r="S45" i="49"/>
  <c r="Y45" i="49" s="1"/>
  <c r="Q45" i="49"/>
  <c r="R45" i="49" s="1"/>
  <c r="O45" i="49"/>
  <c r="N45" i="49"/>
  <c r="K45" i="49"/>
  <c r="J45" i="49"/>
  <c r="AD44" i="49"/>
  <c r="AA44" i="49"/>
  <c r="U44" i="49"/>
  <c r="S44" i="49"/>
  <c r="Y44" i="49" s="1"/>
  <c r="Q44" i="49"/>
  <c r="R44" i="49" s="1"/>
  <c r="O44" i="49"/>
  <c r="N44" i="49"/>
  <c r="K44" i="49"/>
  <c r="J44" i="49"/>
  <c r="AD43" i="49"/>
  <c r="AA43" i="49"/>
  <c r="U43" i="49"/>
  <c r="S43" i="49"/>
  <c r="Y43" i="49" s="1"/>
  <c r="Q43" i="49"/>
  <c r="R43" i="49" s="1"/>
  <c r="O43" i="49"/>
  <c r="N43" i="49"/>
  <c r="K43" i="49"/>
  <c r="J43" i="49"/>
  <c r="AD42" i="49"/>
  <c r="AA42" i="49"/>
  <c r="U42" i="49"/>
  <c r="S42" i="49"/>
  <c r="Y42" i="49" s="1"/>
  <c r="Q42" i="49"/>
  <c r="R42" i="49" s="1"/>
  <c r="O42" i="49"/>
  <c r="N42" i="49"/>
  <c r="K42" i="49"/>
  <c r="J42" i="49"/>
  <c r="AD41" i="49"/>
  <c r="AA41" i="49"/>
  <c r="U41" i="49"/>
  <c r="S41" i="49"/>
  <c r="Y41" i="49" s="1"/>
  <c r="Q41" i="49"/>
  <c r="R41" i="49" s="1"/>
  <c r="O41" i="49"/>
  <c r="N41" i="49"/>
  <c r="K41" i="49"/>
  <c r="J41" i="49"/>
  <c r="AD40" i="49"/>
  <c r="AA40" i="49"/>
  <c r="U40" i="49"/>
  <c r="S40" i="49"/>
  <c r="Y40" i="49" s="1"/>
  <c r="Q40" i="49"/>
  <c r="R40" i="49" s="1"/>
  <c r="O40" i="49"/>
  <c r="N40" i="49"/>
  <c r="K40" i="49"/>
  <c r="J40" i="49"/>
  <c r="AD39" i="49"/>
  <c r="AA39" i="49"/>
  <c r="U39" i="49"/>
  <c r="S39" i="49"/>
  <c r="Y39" i="49" s="1"/>
  <c r="Q39" i="49"/>
  <c r="R39" i="49" s="1"/>
  <c r="O39" i="49"/>
  <c r="N39" i="49"/>
  <c r="K39" i="49"/>
  <c r="J39" i="49"/>
  <c r="AD38" i="49"/>
  <c r="AA38" i="49"/>
  <c r="U38" i="49"/>
  <c r="S38" i="49"/>
  <c r="Y38" i="49" s="1"/>
  <c r="Q38" i="49"/>
  <c r="R38" i="49" s="1"/>
  <c r="O38" i="49"/>
  <c r="N38" i="49"/>
  <c r="K38" i="49"/>
  <c r="J38" i="49"/>
  <c r="AD37" i="49"/>
  <c r="AA37" i="49"/>
  <c r="U37" i="49"/>
  <c r="S37" i="49"/>
  <c r="Y37" i="49" s="1"/>
  <c r="Q37" i="49"/>
  <c r="R37" i="49" s="1"/>
  <c r="O37" i="49"/>
  <c r="N37" i="49"/>
  <c r="K37" i="49"/>
  <c r="J37" i="49"/>
  <c r="AD36" i="49"/>
  <c r="AA36" i="49"/>
  <c r="U36" i="49"/>
  <c r="S36" i="49"/>
  <c r="Y36" i="49" s="1"/>
  <c r="Q36" i="49"/>
  <c r="R36" i="49" s="1"/>
  <c r="O36" i="49"/>
  <c r="N36" i="49"/>
  <c r="K36" i="49"/>
  <c r="J36" i="49"/>
  <c r="AD35" i="49"/>
  <c r="AA35" i="49"/>
  <c r="U35" i="49"/>
  <c r="S35" i="49"/>
  <c r="Y35" i="49" s="1"/>
  <c r="Q35" i="49"/>
  <c r="R35" i="49" s="1"/>
  <c r="O35" i="49"/>
  <c r="N35" i="49"/>
  <c r="K35" i="49"/>
  <c r="J35" i="49"/>
  <c r="AD34" i="49"/>
  <c r="AA34" i="49"/>
  <c r="U34" i="49"/>
  <c r="S34" i="49"/>
  <c r="Y34" i="49" s="1"/>
  <c r="Q34" i="49"/>
  <c r="R34" i="49" s="1"/>
  <c r="O34" i="49"/>
  <c r="N34" i="49"/>
  <c r="K34" i="49"/>
  <c r="J34" i="49"/>
  <c r="AD33" i="49"/>
  <c r="AA33" i="49"/>
  <c r="U33" i="49"/>
  <c r="S33" i="49"/>
  <c r="Y33" i="49" s="1"/>
  <c r="Q33" i="49"/>
  <c r="R33" i="49" s="1"/>
  <c r="O33" i="49"/>
  <c r="N33" i="49"/>
  <c r="K33" i="49"/>
  <c r="J33" i="49"/>
  <c r="AD32" i="49"/>
  <c r="AA32" i="49"/>
  <c r="U32" i="49"/>
  <c r="S32" i="49"/>
  <c r="Y32" i="49" s="1"/>
  <c r="Q32" i="49"/>
  <c r="R32" i="49" s="1"/>
  <c r="O32" i="49"/>
  <c r="N32" i="49"/>
  <c r="K32" i="49"/>
  <c r="J32" i="49"/>
  <c r="AD31" i="49"/>
  <c r="AA31" i="49"/>
  <c r="U31" i="49"/>
  <c r="S31" i="49"/>
  <c r="Y31" i="49" s="1"/>
  <c r="Q31" i="49"/>
  <c r="R31" i="49" s="1"/>
  <c r="O31" i="49"/>
  <c r="N31" i="49"/>
  <c r="K31" i="49"/>
  <c r="J31" i="49"/>
  <c r="AD30" i="49"/>
  <c r="AA30" i="49"/>
  <c r="U30" i="49"/>
  <c r="S30" i="49"/>
  <c r="Y30" i="49" s="1"/>
  <c r="Q30" i="49"/>
  <c r="R30" i="49" s="1"/>
  <c r="O30" i="49"/>
  <c r="N30" i="49"/>
  <c r="K30" i="49"/>
  <c r="J30" i="49"/>
  <c r="AD29" i="49"/>
  <c r="AA29" i="49"/>
  <c r="U29" i="49"/>
  <c r="S29" i="49"/>
  <c r="Y29" i="49" s="1"/>
  <c r="Q29" i="49"/>
  <c r="R29" i="49" s="1"/>
  <c r="O29" i="49"/>
  <c r="N29" i="49"/>
  <c r="K29" i="49"/>
  <c r="J29" i="49"/>
  <c r="AD28" i="49"/>
  <c r="AA28" i="49"/>
  <c r="U28" i="49"/>
  <c r="S28" i="49"/>
  <c r="Y28" i="49" s="1"/>
  <c r="Q28" i="49"/>
  <c r="R28" i="49" s="1"/>
  <c r="O28" i="49"/>
  <c r="N28" i="49"/>
  <c r="K28" i="49"/>
  <c r="J28" i="49"/>
  <c r="AD27" i="49"/>
  <c r="AA27" i="49"/>
  <c r="U27" i="49"/>
  <c r="S27" i="49"/>
  <c r="Y27" i="49" s="1"/>
  <c r="Q27" i="49"/>
  <c r="R27" i="49" s="1"/>
  <c r="O27" i="49"/>
  <c r="N27" i="49"/>
  <c r="K27" i="49"/>
  <c r="J27" i="49"/>
  <c r="AD26" i="49"/>
  <c r="AA26" i="49"/>
  <c r="U26" i="49"/>
  <c r="S26" i="49"/>
  <c r="Y26" i="49" s="1"/>
  <c r="Q26" i="49"/>
  <c r="R26" i="49" s="1"/>
  <c r="O26" i="49"/>
  <c r="N26" i="49"/>
  <c r="K26" i="49"/>
  <c r="J26" i="49"/>
  <c r="AD25" i="49"/>
  <c r="AA25" i="49"/>
  <c r="U25" i="49"/>
  <c r="S25" i="49"/>
  <c r="Y25" i="49" s="1"/>
  <c r="Q25" i="49"/>
  <c r="R25" i="49" s="1"/>
  <c r="O25" i="49"/>
  <c r="N25" i="49"/>
  <c r="K25" i="49"/>
  <c r="J25" i="49"/>
  <c r="AD24" i="49"/>
  <c r="AA24" i="49"/>
  <c r="U24" i="49"/>
  <c r="S24" i="49"/>
  <c r="Y24" i="49" s="1"/>
  <c r="Q24" i="49"/>
  <c r="R24" i="49" s="1"/>
  <c r="O24" i="49"/>
  <c r="N24" i="49"/>
  <c r="K24" i="49"/>
  <c r="J24" i="49"/>
  <c r="AD23" i="49"/>
  <c r="AA23" i="49"/>
  <c r="U23" i="49"/>
  <c r="S23" i="49"/>
  <c r="Y23" i="49" s="1"/>
  <c r="Q23" i="49"/>
  <c r="R23" i="49" s="1"/>
  <c r="O23" i="49"/>
  <c r="N23" i="49"/>
  <c r="K23" i="49"/>
  <c r="J23" i="49"/>
  <c r="AD22" i="49"/>
  <c r="AA22" i="49"/>
  <c r="U22" i="49"/>
  <c r="S22" i="49"/>
  <c r="Y22" i="49" s="1"/>
  <c r="Q22" i="49"/>
  <c r="R22" i="49" s="1"/>
  <c r="O22" i="49"/>
  <c r="N22" i="49"/>
  <c r="K22" i="49"/>
  <c r="J22" i="49"/>
  <c r="AD21" i="49"/>
  <c r="AA21" i="49"/>
  <c r="U21" i="49"/>
  <c r="S21" i="49"/>
  <c r="Y21" i="49" s="1"/>
  <c r="Q21" i="49"/>
  <c r="R21" i="49" s="1"/>
  <c r="O21" i="49"/>
  <c r="N21" i="49"/>
  <c r="K21" i="49"/>
  <c r="J21" i="49"/>
  <c r="AD20" i="49"/>
  <c r="AA20" i="49"/>
  <c r="U20" i="49"/>
  <c r="S20" i="49"/>
  <c r="Y20" i="49" s="1"/>
  <c r="Q20" i="49"/>
  <c r="R20" i="49" s="1"/>
  <c r="O20" i="49"/>
  <c r="N20" i="49"/>
  <c r="K20" i="49"/>
  <c r="J20" i="49"/>
  <c r="AD19" i="49"/>
  <c r="AA19" i="49"/>
  <c r="U19" i="49"/>
  <c r="S19" i="49"/>
  <c r="Y19" i="49" s="1"/>
  <c r="Q19" i="49"/>
  <c r="R19" i="49" s="1"/>
  <c r="O19" i="49"/>
  <c r="N19" i="49"/>
  <c r="K19" i="49"/>
  <c r="J19" i="49"/>
  <c r="AD18" i="49"/>
  <c r="AA18" i="49"/>
  <c r="U18" i="49"/>
  <c r="S18" i="49"/>
  <c r="Y18" i="49" s="1"/>
  <c r="Q18" i="49"/>
  <c r="R18" i="49" s="1"/>
  <c r="O18" i="49"/>
  <c r="N18" i="49"/>
  <c r="K18" i="49"/>
  <c r="J18" i="49"/>
  <c r="AD17" i="49"/>
  <c r="AA17" i="49"/>
  <c r="U17" i="49"/>
  <c r="S17" i="49"/>
  <c r="Y17" i="49" s="1"/>
  <c r="Q17" i="49"/>
  <c r="R17" i="49" s="1"/>
  <c r="O17" i="49"/>
  <c r="N17" i="49"/>
  <c r="K17" i="49"/>
  <c r="J17" i="49"/>
  <c r="AD16" i="49"/>
  <c r="AA16" i="49"/>
  <c r="U16" i="49"/>
  <c r="S16" i="49"/>
  <c r="Y16" i="49" s="1"/>
  <c r="Q16" i="49"/>
  <c r="R16" i="49" s="1"/>
  <c r="O16" i="49"/>
  <c r="N16" i="49"/>
  <c r="K16" i="49"/>
  <c r="J16" i="49"/>
  <c r="AD15" i="49"/>
  <c r="AA15" i="49"/>
  <c r="U15" i="49"/>
  <c r="S15" i="49"/>
  <c r="Y15" i="49" s="1"/>
  <c r="Q15" i="49"/>
  <c r="R15" i="49" s="1"/>
  <c r="O15" i="49"/>
  <c r="N15" i="49"/>
  <c r="K15" i="49"/>
  <c r="J15" i="49"/>
  <c r="AD14" i="49"/>
  <c r="U14" i="49"/>
  <c r="O14" i="49"/>
  <c r="N14" i="49"/>
  <c r="K14" i="49"/>
  <c r="J14" i="49"/>
  <c r="AA12" i="49"/>
  <c r="C12" i="49"/>
  <c r="D57" i="48"/>
  <c r="C57" i="48"/>
  <c r="I56" i="48"/>
  <c r="H56" i="48"/>
  <c r="C63" i="48" s="1"/>
  <c r="AD54" i="48"/>
  <c r="AA54" i="48"/>
  <c r="U54" i="48"/>
  <c r="T54" i="48"/>
  <c r="S54" i="48"/>
  <c r="Y54" i="48" s="1"/>
  <c r="Q54" i="48"/>
  <c r="R54" i="48" s="1"/>
  <c r="O54" i="48"/>
  <c r="N54" i="48"/>
  <c r="K54" i="48"/>
  <c r="J54" i="48"/>
  <c r="AD53" i="48"/>
  <c r="AA53" i="48"/>
  <c r="U53" i="48"/>
  <c r="T53" i="48"/>
  <c r="S53" i="48"/>
  <c r="Y53" i="48" s="1"/>
  <c r="Q53" i="48"/>
  <c r="R53" i="48" s="1"/>
  <c r="O53" i="48"/>
  <c r="N53" i="48"/>
  <c r="K53" i="48"/>
  <c r="J53" i="48"/>
  <c r="AD52" i="48"/>
  <c r="AA52" i="48"/>
  <c r="U52" i="48"/>
  <c r="T52" i="48"/>
  <c r="S52" i="48"/>
  <c r="Y52" i="48" s="1"/>
  <c r="Q52" i="48"/>
  <c r="R52" i="48" s="1"/>
  <c r="O52" i="48"/>
  <c r="N52" i="48"/>
  <c r="K52" i="48"/>
  <c r="J52" i="48"/>
  <c r="AD51" i="48"/>
  <c r="AA51" i="48"/>
  <c r="U51" i="48"/>
  <c r="T51" i="48"/>
  <c r="S51" i="48"/>
  <c r="Y51" i="48" s="1"/>
  <c r="Q51" i="48"/>
  <c r="R51" i="48" s="1"/>
  <c r="O51" i="48"/>
  <c r="N51" i="48"/>
  <c r="K51" i="48"/>
  <c r="J51" i="48"/>
  <c r="AD50" i="48"/>
  <c r="AA50" i="48"/>
  <c r="U50" i="48"/>
  <c r="T50" i="48"/>
  <c r="S50" i="48"/>
  <c r="Y50" i="48" s="1"/>
  <c r="Q50" i="48"/>
  <c r="R50" i="48" s="1"/>
  <c r="O50" i="48"/>
  <c r="N50" i="48"/>
  <c r="K50" i="48"/>
  <c r="J50" i="48"/>
  <c r="AD49" i="48"/>
  <c r="AA49" i="48"/>
  <c r="U49" i="48"/>
  <c r="T49" i="48"/>
  <c r="S49" i="48"/>
  <c r="Y49" i="48" s="1"/>
  <c r="Q49" i="48"/>
  <c r="R49" i="48" s="1"/>
  <c r="O49" i="48"/>
  <c r="N49" i="48"/>
  <c r="K49" i="48"/>
  <c r="J49" i="48"/>
  <c r="AD48" i="48"/>
  <c r="AA48" i="48"/>
  <c r="U48" i="48"/>
  <c r="T48" i="48"/>
  <c r="S48" i="48"/>
  <c r="Y48" i="48" s="1"/>
  <c r="Q48" i="48"/>
  <c r="R48" i="48" s="1"/>
  <c r="O48" i="48"/>
  <c r="N48" i="48"/>
  <c r="K48" i="48"/>
  <c r="J48" i="48"/>
  <c r="AD47" i="48"/>
  <c r="AA47" i="48"/>
  <c r="U47" i="48"/>
  <c r="T47" i="48"/>
  <c r="S47" i="48"/>
  <c r="Y47" i="48" s="1"/>
  <c r="Q47" i="48"/>
  <c r="R47" i="48" s="1"/>
  <c r="O47" i="48"/>
  <c r="N47" i="48"/>
  <c r="K47" i="48"/>
  <c r="J47" i="48"/>
  <c r="AD46" i="48"/>
  <c r="AA46" i="48"/>
  <c r="U46" i="48"/>
  <c r="T46" i="48"/>
  <c r="S46" i="48"/>
  <c r="Y46" i="48" s="1"/>
  <c r="Q46" i="48"/>
  <c r="R46" i="48" s="1"/>
  <c r="O46" i="48"/>
  <c r="N46" i="48"/>
  <c r="K46" i="48"/>
  <c r="J46" i="48"/>
  <c r="AD45" i="48"/>
  <c r="AA45" i="48"/>
  <c r="U45" i="48"/>
  <c r="T45" i="48"/>
  <c r="S45" i="48"/>
  <c r="Y45" i="48" s="1"/>
  <c r="Q45" i="48"/>
  <c r="R45" i="48" s="1"/>
  <c r="O45" i="48"/>
  <c r="N45" i="48"/>
  <c r="K45" i="48"/>
  <c r="J45" i="48"/>
  <c r="AD44" i="48"/>
  <c r="AA44" i="48"/>
  <c r="U44" i="48"/>
  <c r="T44" i="48"/>
  <c r="S44" i="48"/>
  <c r="Y44" i="48" s="1"/>
  <c r="Q44" i="48"/>
  <c r="R44" i="48" s="1"/>
  <c r="O44" i="48"/>
  <c r="N44" i="48"/>
  <c r="K44" i="48"/>
  <c r="J44" i="48"/>
  <c r="AD43" i="48"/>
  <c r="AA43" i="48"/>
  <c r="U43" i="48"/>
  <c r="T43" i="48"/>
  <c r="S43" i="48"/>
  <c r="Y43" i="48" s="1"/>
  <c r="Q43" i="48"/>
  <c r="R43" i="48" s="1"/>
  <c r="O43" i="48"/>
  <c r="N43" i="48"/>
  <c r="K43" i="48"/>
  <c r="J43" i="48"/>
  <c r="AD42" i="48"/>
  <c r="AA42" i="48"/>
  <c r="U42" i="48"/>
  <c r="T42" i="48"/>
  <c r="S42" i="48"/>
  <c r="Y42" i="48" s="1"/>
  <c r="Q42" i="48"/>
  <c r="R42" i="48" s="1"/>
  <c r="O42" i="48"/>
  <c r="N42" i="48"/>
  <c r="K42" i="48"/>
  <c r="J42" i="48"/>
  <c r="AD41" i="48"/>
  <c r="AA41" i="48"/>
  <c r="U41" i="48"/>
  <c r="T41" i="48"/>
  <c r="S41" i="48"/>
  <c r="Y41" i="48" s="1"/>
  <c r="Q41" i="48"/>
  <c r="R41" i="48" s="1"/>
  <c r="O41" i="48"/>
  <c r="N41" i="48"/>
  <c r="K41" i="48"/>
  <c r="J41" i="48"/>
  <c r="AD40" i="48"/>
  <c r="AA40" i="48"/>
  <c r="U40" i="48"/>
  <c r="T40" i="48"/>
  <c r="S40" i="48"/>
  <c r="Y40" i="48" s="1"/>
  <c r="Q40" i="48"/>
  <c r="R40" i="48" s="1"/>
  <c r="O40" i="48"/>
  <c r="N40" i="48"/>
  <c r="K40" i="48"/>
  <c r="J40" i="48"/>
  <c r="AD39" i="48"/>
  <c r="AA39" i="48"/>
  <c r="U39" i="48"/>
  <c r="T39" i="48"/>
  <c r="S39" i="48"/>
  <c r="Y39" i="48" s="1"/>
  <c r="Q39" i="48"/>
  <c r="R39" i="48" s="1"/>
  <c r="O39" i="48"/>
  <c r="N39" i="48"/>
  <c r="K39" i="48"/>
  <c r="J39" i="48"/>
  <c r="AD38" i="48"/>
  <c r="AA38" i="48"/>
  <c r="U38" i="48"/>
  <c r="T38" i="48"/>
  <c r="S38" i="48"/>
  <c r="Y38" i="48" s="1"/>
  <c r="Q38" i="48"/>
  <c r="R38" i="48" s="1"/>
  <c r="O38" i="48"/>
  <c r="N38" i="48"/>
  <c r="K38" i="48"/>
  <c r="J38" i="48"/>
  <c r="AD37" i="48"/>
  <c r="AA37" i="48"/>
  <c r="U37" i="48"/>
  <c r="T37" i="48"/>
  <c r="S37" i="48"/>
  <c r="Y37" i="48" s="1"/>
  <c r="Q37" i="48"/>
  <c r="R37" i="48" s="1"/>
  <c r="O37" i="48"/>
  <c r="N37" i="48"/>
  <c r="K37" i="48"/>
  <c r="J37" i="48"/>
  <c r="AD36" i="48"/>
  <c r="AA36" i="48"/>
  <c r="U36" i="48"/>
  <c r="T36" i="48"/>
  <c r="S36" i="48"/>
  <c r="Y36" i="48" s="1"/>
  <c r="Q36" i="48"/>
  <c r="R36" i="48" s="1"/>
  <c r="O36" i="48"/>
  <c r="N36" i="48"/>
  <c r="K36" i="48"/>
  <c r="J36" i="48"/>
  <c r="AD35" i="48"/>
  <c r="AA35" i="48"/>
  <c r="U35" i="48"/>
  <c r="T35" i="48"/>
  <c r="S35" i="48"/>
  <c r="Y35" i="48" s="1"/>
  <c r="Q35" i="48"/>
  <c r="R35" i="48" s="1"/>
  <c r="O35" i="48"/>
  <c r="N35" i="48"/>
  <c r="K35" i="48"/>
  <c r="J35" i="48"/>
  <c r="AD34" i="48"/>
  <c r="AA34" i="48"/>
  <c r="U34" i="48"/>
  <c r="T34" i="48"/>
  <c r="S34" i="48"/>
  <c r="Y34" i="48" s="1"/>
  <c r="Q34" i="48"/>
  <c r="R34" i="48" s="1"/>
  <c r="O34" i="48"/>
  <c r="N34" i="48"/>
  <c r="K34" i="48"/>
  <c r="J34" i="48"/>
  <c r="AD33" i="48"/>
  <c r="AA33" i="48"/>
  <c r="U33" i="48"/>
  <c r="T33" i="48"/>
  <c r="S33" i="48"/>
  <c r="Y33" i="48" s="1"/>
  <c r="Q33" i="48"/>
  <c r="R33" i="48" s="1"/>
  <c r="O33" i="48"/>
  <c r="N33" i="48"/>
  <c r="K33" i="48"/>
  <c r="J33" i="48"/>
  <c r="AD32" i="48"/>
  <c r="AA32" i="48"/>
  <c r="U32" i="48"/>
  <c r="T32" i="48"/>
  <c r="S32" i="48"/>
  <c r="Y32" i="48" s="1"/>
  <c r="Q32" i="48"/>
  <c r="R32" i="48" s="1"/>
  <c r="O32" i="48"/>
  <c r="N32" i="48"/>
  <c r="K32" i="48"/>
  <c r="J32" i="48"/>
  <c r="AD31" i="48"/>
  <c r="AA31" i="48"/>
  <c r="U31" i="48"/>
  <c r="T31" i="48"/>
  <c r="S31" i="48"/>
  <c r="Y31" i="48" s="1"/>
  <c r="Q31" i="48"/>
  <c r="R31" i="48" s="1"/>
  <c r="O31" i="48"/>
  <c r="N31" i="48"/>
  <c r="K31" i="48"/>
  <c r="J31" i="48"/>
  <c r="AD30" i="48"/>
  <c r="AA30" i="48"/>
  <c r="U30" i="48"/>
  <c r="T30" i="48"/>
  <c r="S30" i="48"/>
  <c r="Y30" i="48" s="1"/>
  <c r="Q30" i="48"/>
  <c r="R30" i="48" s="1"/>
  <c r="O30" i="48"/>
  <c r="N30" i="48"/>
  <c r="K30" i="48"/>
  <c r="J30" i="48"/>
  <c r="AD29" i="48"/>
  <c r="AA29" i="48"/>
  <c r="U29" i="48"/>
  <c r="T29" i="48"/>
  <c r="S29" i="48"/>
  <c r="Y29" i="48" s="1"/>
  <c r="Q29" i="48"/>
  <c r="R29" i="48" s="1"/>
  <c r="O29" i="48"/>
  <c r="N29" i="48"/>
  <c r="K29" i="48"/>
  <c r="J29" i="48"/>
  <c r="AD28" i="48"/>
  <c r="AA28" i="48"/>
  <c r="U28" i="48"/>
  <c r="T28" i="48"/>
  <c r="S28" i="48"/>
  <c r="Y28" i="48" s="1"/>
  <c r="Q28" i="48"/>
  <c r="R28" i="48" s="1"/>
  <c r="O28" i="48"/>
  <c r="N28" i="48"/>
  <c r="K28" i="48"/>
  <c r="J28" i="48"/>
  <c r="AD27" i="48"/>
  <c r="AA27" i="48"/>
  <c r="U27" i="48"/>
  <c r="T27" i="48"/>
  <c r="S27" i="48"/>
  <c r="Y27" i="48" s="1"/>
  <c r="Q27" i="48"/>
  <c r="R27" i="48" s="1"/>
  <c r="O27" i="48"/>
  <c r="N27" i="48"/>
  <c r="K27" i="48"/>
  <c r="J27" i="48"/>
  <c r="AD26" i="48"/>
  <c r="AA26" i="48"/>
  <c r="U26" i="48"/>
  <c r="T26" i="48"/>
  <c r="S26" i="48"/>
  <c r="Y26" i="48" s="1"/>
  <c r="Q26" i="48"/>
  <c r="R26" i="48" s="1"/>
  <c r="O26" i="48"/>
  <c r="N26" i="48"/>
  <c r="K26" i="48"/>
  <c r="J26" i="48"/>
  <c r="AD25" i="48"/>
  <c r="AA25" i="48"/>
  <c r="U25" i="48"/>
  <c r="T25" i="48"/>
  <c r="S25" i="48"/>
  <c r="Y25" i="48" s="1"/>
  <c r="Q25" i="48"/>
  <c r="R25" i="48" s="1"/>
  <c r="O25" i="48"/>
  <c r="N25" i="48"/>
  <c r="K25" i="48"/>
  <c r="J25" i="48"/>
  <c r="AD24" i="48"/>
  <c r="AA24" i="48"/>
  <c r="U24" i="48"/>
  <c r="T24" i="48"/>
  <c r="S24" i="48"/>
  <c r="Y24" i="48" s="1"/>
  <c r="Q24" i="48"/>
  <c r="R24" i="48" s="1"/>
  <c r="O24" i="48"/>
  <c r="N24" i="48"/>
  <c r="K24" i="48"/>
  <c r="J24" i="48"/>
  <c r="AD23" i="48"/>
  <c r="AA23" i="48"/>
  <c r="U23" i="48"/>
  <c r="T23" i="48"/>
  <c r="S23" i="48"/>
  <c r="Y23" i="48" s="1"/>
  <c r="Q23" i="48"/>
  <c r="R23" i="48" s="1"/>
  <c r="O23" i="48"/>
  <c r="N23" i="48"/>
  <c r="K23" i="48"/>
  <c r="J23" i="48"/>
  <c r="AD22" i="48"/>
  <c r="AA22" i="48"/>
  <c r="U22" i="48"/>
  <c r="T22" i="48"/>
  <c r="S22" i="48"/>
  <c r="Y22" i="48" s="1"/>
  <c r="Q22" i="48"/>
  <c r="R22" i="48" s="1"/>
  <c r="O22" i="48"/>
  <c r="N22" i="48"/>
  <c r="K22" i="48"/>
  <c r="J22" i="48"/>
  <c r="AD21" i="48"/>
  <c r="AA21" i="48"/>
  <c r="U21" i="48"/>
  <c r="T21" i="48"/>
  <c r="S21" i="48"/>
  <c r="Y21" i="48" s="1"/>
  <c r="Q21" i="48"/>
  <c r="R21" i="48" s="1"/>
  <c r="O21" i="48"/>
  <c r="N21" i="48"/>
  <c r="K21" i="48"/>
  <c r="J21" i="48"/>
  <c r="AD20" i="48"/>
  <c r="AA20" i="48"/>
  <c r="U20" i="48"/>
  <c r="T20" i="48"/>
  <c r="S20" i="48"/>
  <c r="Y20" i="48" s="1"/>
  <c r="Q20" i="48"/>
  <c r="R20" i="48" s="1"/>
  <c r="O20" i="48"/>
  <c r="N20" i="48"/>
  <c r="K20" i="48"/>
  <c r="J20" i="48"/>
  <c r="AD19" i="48"/>
  <c r="AA19" i="48"/>
  <c r="U19" i="48"/>
  <c r="T19" i="48"/>
  <c r="S19" i="48"/>
  <c r="Y19" i="48" s="1"/>
  <c r="Q19" i="48"/>
  <c r="R19" i="48" s="1"/>
  <c r="O19" i="48"/>
  <c r="N19" i="48"/>
  <c r="K19" i="48"/>
  <c r="J19" i="48"/>
  <c r="AD18" i="48"/>
  <c r="AA18" i="48"/>
  <c r="U18" i="48"/>
  <c r="T18" i="48"/>
  <c r="S18" i="48"/>
  <c r="Y18" i="48" s="1"/>
  <c r="Q18" i="48"/>
  <c r="R18" i="48" s="1"/>
  <c r="O18" i="48"/>
  <c r="N18" i="48"/>
  <c r="K18" i="48"/>
  <c r="J18" i="48"/>
  <c r="AD17" i="48"/>
  <c r="AA17" i="48"/>
  <c r="U17" i="48"/>
  <c r="T17" i="48"/>
  <c r="S17" i="48"/>
  <c r="Y17" i="48" s="1"/>
  <c r="Q17" i="48"/>
  <c r="R17" i="48" s="1"/>
  <c r="O17" i="48"/>
  <c r="N17" i="48"/>
  <c r="K17" i="48"/>
  <c r="J17" i="48"/>
  <c r="AD16" i="48"/>
  <c r="AA16" i="48"/>
  <c r="U16" i="48"/>
  <c r="T16" i="48"/>
  <c r="S16" i="48"/>
  <c r="Y16" i="48" s="1"/>
  <c r="Q16" i="48"/>
  <c r="R16" i="48" s="1"/>
  <c r="O16" i="48"/>
  <c r="N16" i="48"/>
  <c r="K16" i="48"/>
  <c r="J16" i="48"/>
  <c r="AD15" i="48"/>
  <c r="AA15" i="48"/>
  <c r="U15" i="48"/>
  <c r="T15" i="48"/>
  <c r="S15" i="48"/>
  <c r="Y15" i="48" s="1"/>
  <c r="Q15" i="48"/>
  <c r="R15" i="48" s="1"/>
  <c r="O15" i="48"/>
  <c r="N15" i="48"/>
  <c r="K15" i="48"/>
  <c r="J15" i="48"/>
  <c r="AD14" i="48"/>
  <c r="U14" i="48"/>
  <c r="O14" i="48"/>
  <c r="N14" i="48"/>
  <c r="K14" i="48"/>
  <c r="J14" i="48"/>
  <c r="AA12" i="48"/>
  <c r="C12" i="48"/>
  <c r="D57" i="44"/>
  <c r="C57" i="44"/>
  <c r="I64" i="44" s="1"/>
  <c r="I56" i="44"/>
  <c r="H56" i="44"/>
  <c r="C63" i="44" s="1"/>
  <c r="AD54" i="44"/>
  <c r="AA54" i="44"/>
  <c r="U54" i="44"/>
  <c r="T54" i="44"/>
  <c r="S54" i="44"/>
  <c r="Y54" i="44" s="1"/>
  <c r="Q54" i="44"/>
  <c r="R54" i="44" s="1"/>
  <c r="O54" i="44"/>
  <c r="N54" i="44"/>
  <c r="K54" i="44"/>
  <c r="J54" i="44"/>
  <c r="AD53" i="44"/>
  <c r="AA53" i="44"/>
  <c r="U53" i="44"/>
  <c r="S53" i="44"/>
  <c r="Y53" i="44" s="1"/>
  <c r="Q53" i="44"/>
  <c r="R53" i="44" s="1"/>
  <c r="O53" i="44"/>
  <c r="N53" i="44"/>
  <c r="K53" i="44"/>
  <c r="J53" i="44"/>
  <c r="AD52" i="44"/>
  <c r="AA52" i="44"/>
  <c r="U52" i="44"/>
  <c r="S52" i="44"/>
  <c r="Y52" i="44" s="1"/>
  <c r="Q52" i="44"/>
  <c r="R52" i="44" s="1"/>
  <c r="O52" i="44"/>
  <c r="N52" i="44"/>
  <c r="K52" i="44"/>
  <c r="J52" i="44"/>
  <c r="AD51" i="44"/>
  <c r="AA51" i="44"/>
  <c r="U51" i="44"/>
  <c r="S51" i="44"/>
  <c r="Y51" i="44" s="1"/>
  <c r="Q51" i="44"/>
  <c r="R51" i="44" s="1"/>
  <c r="O51" i="44"/>
  <c r="N51" i="44"/>
  <c r="K51" i="44"/>
  <c r="J51" i="44"/>
  <c r="AD50" i="44"/>
  <c r="AA50" i="44"/>
  <c r="U50" i="44"/>
  <c r="S50" i="44"/>
  <c r="Y50" i="44" s="1"/>
  <c r="Q50" i="44"/>
  <c r="R50" i="44" s="1"/>
  <c r="O50" i="44"/>
  <c r="N50" i="44"/>
  <c r="K50" i="44"/>
  <c r="J50" i="44"/>
  <c r="AD49" i="44"/>
  <c r="AA49" i="44"/>
  <c r="U49" i="44"/>
  <c r="S49" i="44"/>
  <c r="Y49" i="44" s="1"/>
  <c r="Q49" i="44"/>
  <c r="R49" i="44" s="1"/>
  <c r="O49" i="44"/>
  <c r="N49" i="44"/>
  <c r="K49" i="44"/>
  <c r="J49" i="44"/>
  <c r="AD48" i="44"/>
  <c r="AA48" i="44"/>
  <c r="U48" i="44"/>
  <c r="S48" i="44"/>
  <c r="Y48" i="44" s="1"/>
  <c r="Q48" i="44"/>
  <c r="R48" i="44" s="1"/>
  <c r="O48" i="44"/>
  <c r="N48" i="44"/>
  <c r="K48" i="44"/>
  <c r="J48" i="44"/>
  <c r="AD47" i="44"/>
  <c r="AA47" i="44"/>
  <c r="U47" i="44"/>
  <c r="S47" i="44"/>
  <c r="Y47" i="44" s="1"/>
  <c r="Q47" i="44"/>
  <c r="R47" i="44" s="1"/>
  <c r="O47" i="44"/>
  <c r="N47" i="44"/>
  <c r="K47" i="44"/>
  <c r="J47" i="44"/>
  <c r="AD46" i="44"/>
  <c r="AA46" i="44"/>
  <c r="U46" i="44"/>
  <c r="S46" i="44"/>
  <c r="Y46" i="44" s="1"/>
  <c r="Q46" i="44"/>
  <c r="R46" i="44" s="1"/>
  <c r="O46" i="44"/>
  <c r="N46" i="44"/>
  <c r="K46" i="44"/>
  <c r="J46" i="44"/>
  <c r="AD45" i="44"/>
  <c r="AA45" i="44"/>
  <c r="U45" i="44"/>
  <c r="S45" i="44"/>
  <c r="Y45" i="44" s="1"/>
  <c r="Q45" i="44"/>
  <c r="R45" i="44" s="1"/>
  <c r="O45" i="44"/>
  <c r="N45" i="44"/>
  <c r="K45" i="44"/>
  <c r="J45" i="44"/>
  <c r="AD44" i="44"/>
  <c r="AA44" i="44"/>
  <c r="U44" i="44"/>
  <c r="S44" i="44"/>
  <c r="Y44" i="44" s="1"/>
  <c r="Q44" i="44"/>
  <c r="R44" i="44" s="1"/>
  <c r="O44" i="44"/>
  <c r="N44" i="44"/>
  <c r="K44" i="44"/>
  <c r="J44" i="44"/>
  <c r="AD43" i="44"/>
  <c r="AA43" i="44"/>
  <c r="U43" i="44"/>
  <c r="S43" i="44"/>
  <c r="Y43" i="44" s="1"/>
  <c r="Q43" i="44"/>
  <c r="R43" i="44" s="1"/>
  <c r="O43" i="44"/>
  <c r="N43" i="44"/>
  <c r="K43" i="44"/>
  <c r="J43" i="44"/>
  <c r="AD42" i="44"/>
  <c r="AA42" i="44"/>
  <c r="U42" i="44"/>
  <c r="S42" i="44"/>
  <c r="Y42" i="44" s="1"/>
  <c r="Q42" i="44"/>
  <c r="R42" i="44" s="1"/>
  <c r="O42" i="44"/>
  <c r="N42" i="44"/>
  <c r="K42" i="44"/>
  <c r="J42" i="44"/>
  <c r="AD41" i="44"/>
  <c r="AA41" i="44"/>
  <c r="U41" i="44"/>
  <c r="S41" i="44"/>
  <c r="Y41" i="44" s="1"/>
  <c r="Q41" i="44"/>
  <c r="R41" i="44" s="1"/>
  <c r="O41" i="44"/>
  <c r="N41" i="44"/>
  <c r="K41" i="44"/>
  <c r="J41" i="44"/>
  <c r="AD40" i="44"/>
  <c r="AA40" i="44"/>
  <c r="U40" i="44"/>
  <c r="S40" i="44"/>
  <c r="Y40" i="44" s="1"/>
  <c r="Q40" i="44"/>
  <c r="R40" i="44" s="1"/>
  <c r="O40" i="44"/>
  <c r="N40" i="44"/>
  <c r="K40" i="44"/>
  <c r="J40" i="44"/>
  <c r="AD39" i="44"/>
  <c r="AA39" i="44"/>
  <c r="U39" i="44"/>
  <c r="S39" i="44"/>
  <c r="Y39" i="44" s="1"/>
  <c r="Q39" i="44"/>
  <c r="R39" i="44" s="1"/>
  <c r="O39" i="44"/>
  <c r="N39" i="44"/>
  <c r="K39" i="44"/>
  <c r="J39" i="44"/>
  <c r="AD38" i="44"/>
  <c r="AA38" i="44"/>
  <c r="U38" i="44"/>
  <c r="S38" i="44"/>
  <c r="Y38" i="44" s="1"/>
  <c r="Q38" i="44"/>
  <c r="R38" i="44" s="1"/>
  <c r="O38" i="44"/>
  <c r="N38" i="44"/>
  <c r="K38" i="44"/>
  <c r="J38" i="44"/>
  <c r="AD37" i="44"/>
  <c r="AA37" i="44"/>
  <c r="U37" i="44"/>
  <c r="S37" i="44"/>
  <c r="Y37" i="44" s="1"/>
  <c r="Q37" i="44"/>
  <c r="R37" i="44" s="1"/>
  <c r="O37" i="44"/>
  <c r="N37" i="44"/>
  <c r="K37" i="44"/>
  <c r="J37" i="44"/>
  <c r="AD36" i="44"/>
  <c r="AA36" i="44"/>
  <c r="U36" i="44"/>
  <c r="S36" i="44"/>
  <c r="Y36" i="44" s="1"/>
  <c r="Q36" i="44"/>
  <c r="R36" i="44" s="1"/>
  <c r="O36" i="44"/>
  <c r="N36" i="44"/>
  <c r="K36" i="44"/>
  <c r="J36" i="44"/>
  <c r="AD35" i="44"/>
  <c r="U35" i="44"/>
  <c r="O35" i="44"/>
  <c r="N35" i="44"/>
  <c r="K35" i="44"/>
  <c r="J35" i="44"/>
  <c r="AD34" i="44"/>
  <c r="U34" i="44"/>
  <c r="O34" i="44"/>
  <c r="N34" i="44"/>
  <c r="K34" i="44"/>
  <c r="J34" i="44"/>
  <c r="AD33" i="44"/>
  <c r="U33" i="44"/>
  <c r="O33" i="44"/>
  <c r="N33" i="44"/>
  <c r="K33" i="44"/>
  <c r="J33" i="44"/>
  <c r="AD32" i="44"/>
  <c r="O32" i="44"/>
  <c r="N32" i="44"/>
  <c r="K32" i="44"/>
  <c r="J32" i="44"/>
  <c r="AD31" i="44"/>
  <c r="U31" i="44"/>
  <c r="O31" i="44"/>
  <c r="N31" i="44"/>
  <c r="K31" i="44"/>
  <c r="J31" i="44"/>
  <c r="AD30" i="44"/>
  <c r="U30" i="44"/>
  <c r="O30" i="44"/>
  <c r="N30" i="44"/>
  <c r="K30" i="44"/>
  <c r="J30" i="44"/>
  <c r="AD29" i="44"/>
  <c r="U29" i="44"/>
  <c r="O29" i="44"/>
  <c r="N29" i="44"/>
  <c r="K29" i="44"/>
  <c r="J29" i="44"/>
  <c r="AD28" i="44"/>
  <c r="U28" i="44"/>
  <c r="O28" i="44"/>
  <c r="N28" i="44"/>
  <c r="K28" i="44"/>
  <c r="J28" i="44"/>
  <c r="AD27" i="44"/>
  <c r="U27" i="44"/>
  <c r="O27" i="44"/>
  <c r="N27" i="44"/>
  <c r="K27" i="44"/>
  <c r="J27" i="44"/>
  <c r="AD26" i="44"/>
  <c r="U26" i="44"/>
  <c r="O26" i="44"/>
  <c r="N26" i="44"/>
  <c r="K26" i="44"/>
  <c r="J26" i="44"/>
  <c r="AD25" i="44"/>
  <c r="U25" i="44"/>
  <c r="O25" i="44"/>
  <c r="N25" i="44"/>
  <c r="K25" i="44"/>
  <c r="J25" i="44"/>
  <c r="AD24" i="44"/>
  <c r="U24" i="44"/>
  <c r="O24" i="44"/>
  <c r="N24" i="44"/>
  <c r="K24" i="44"/>
  <c r="J24" i="44"/>
  <c r="AD23" i="44"/>
  <c r="U23" i="44"/>
  <c r="O23" i="44"/>
  <c r="N23" i="44"/>
  <c r="K23" i="44"/>
  <c r="J23" i="44"/>
  <c r="AD22" i="44"/>
  <c r="U22" i="44"/>
  <c r="O22" i="44"/>
  <c r="N22" i="44"/>
  <c r="K22" i="44"/>
  <c r="J22" i="44"/>
  <c r="AD21" i="44"/>
  <c r="U21" i="44"/>
  <c r="O21" i="44"/>
  <c r="N21" i="44"/>
  <c r="K21" i="44"/>
  <c r="J21" i="44"/>
  <c r="AD20" i="44"/>
  <c r="U20" i="44"/>
  <c r="O20" i="44"/>
  <c r="N20" i="44"/>
  <c r="K20" i="44"/>
  <c r="J20" i="44"/>
  <c r="AD19" i="44"/>
  <c r="U19" i="44"/>
  <c r="O19" i="44"/>
  <c r="N19" i="44"/>
  <c r="K19" i="44"/>
  <c r="J19" i="44"/>
  <c r="AD18" i="44"/>
  <c r="U18" i="44"/>
  <c r="O18" i="44"/>
  <c r="N18" i="44"/>
  <c r="K18" i="44"/>
  <c r="J18" i="44"/>
  <c r="AD17" i="44"/>
  <c r="U17" i="44"/>
  <c r="O17" i="44"/>
  <c r="N17" i="44"/>
  <c r="K17" i="44"/>
  <c r="J17" i="44"/>
  <c r="AD16" i="44"/>
  <c r="O16" i="44"/>
  <c r="N16" i="44"/>
  <c r="K16" i="44"/>
  <c r="J16" i="44"/>
  <c r="AD15" i="44"/>
  <c r="U15" i="44"/>
  <c r="O15" i="44"/>
  <c r="N15" i="44"/>
  <c r="K15" i="44"/>
  <c r="J15" i="44"/>
  <c r="AD14" i="44"/>
  <c r="U14" i="44"/>
  <c r="O14" i="44"/>
  <c r="N14" i="44"/>
  <c r="K14" i="44"/>
  <c r="J14" i="44"/>
  <c r="AA12" i="44"/>
  <c r="C12" i="44"/>
  <c r="V6" i="44"/>
  <c r="V5" i="44"/>
  <c r="C79" i="51"/>
  <c r="I73" i="51"/>
  <c r="H73" i="51"/>
  <c r="D73" i="51"/>
  <c r="G73" i="51" s="1"/>
  <c r="I72" i="51"/>
  <c r="H72" i="51"/>
  <c r="D72" i="51"/>
  <c r="G72" i="51"/>
  <c r="J72" i="51" s="1"/>
  <c r="I71" i="51"/>
  <c r="H71" i="51"/>
  <c r="G71" i="51"/>
  <c r="D71" i="51"/>
  <c r="I70" i="51"/>
  <c r="H70" i="51"/>
  <c r="G70" i="51"/>
  <c r="D70" i="51"/>
  <c r="I69" i="51"/>
  <c r="H69" i="51"/>
  <c r="D69" i="51"/>
  <c r="G69" i="51" s="1"/>
  <c r="I68" i="51"/>
  <c r="H68" i="51"/>
  <c r="D68" i="51"/>
  <c r="G68" i="51"/>
  <c r="I67" i="51"/>
  <c r="H67" i="51"/>
  <c r="D67" i="51"/>
  <c r="G67" i="51" s="1"/>
  <c r="E66" i="51"/>
  <c r="D66" i="51"/>
  <c r="C63" i="51"/>
  <c r="J61" i="51"/>
  <c r="I61" i="51"/>
  <c r="H61" i="51"/>
  <c r="K60" i="51"/>
  <c r="J60" i="51"/>
  <c r="I60" i="51"/>
  <c r="H60" i="51"/>
  <c r="K59" i="51"/>
  <c r="J59" i="51"/>
  <c r="I59" i="51"/>
  <c r="H59" i="51"/>
  <c r="K58" i="51"/>
  <c r="J58" i="51"/>
  <c r="I58" i="51"/>
  <c r="H58" i="51"/>
  <c r="K57" i="51"/>
  <c r="J57" i="51"/>
  <c r="I57" i="51"/>
  <c r="H57" i="51"/>
  <c r="K56" i="51"/>
  <c r="J56" i="51"/>
  <c r="I56" i="51"/>
  <c r="H56" i="51"/>
  <c r="K55" i="51"/>
  <c r="J55" i="51"/>
  <c r="I55" i="51"/>
  <c r="H55" i="51"/>
  <c r="K54" i="51"/>
  <c r="J54" i="51"/>
  <c r="I54" i="51"/>
  <c r="H54" i="51"/>
  <c r="K53" i="51"/>
  <c r="J53" i="51"/>
  <c r="I53" i="51"/>
  <c r="H53" i="51"/>
  <c r="K52" i="51"/>
  <c r="J52" i="51"/>
  <c r="I52" i="51"/>
  <c r="H52" i="51"/>
  <c r="K51" i="51"/>
  <c r="J51" i="51"/>
  <c r="I51" i="51"/>
  <c r="H51" i="51"/>
  <c r="K50" i="51"/>
  <c r="J50" i="51"/>
  <c r="L50" i="51" s="1"/>
  <c r="I50" i="51"/>
  <c r="H50" i="51"/>
  <c r="K49" i="51"/>
  <c r="J49" i="51"/>
  <c r="I49" i="51"/>
  <c r="H49" i="51"/>
  <c r="K48" i="51"/>
  <c r="J48" i="51"/>
  <c r="I48" i="51"/>
  <c r="H48" i="51"/>
  <c r="K47" i="51"/>
  <c r="J47" i="51"/>
  <c r="I47" i="51"/>
  <c r="H47" i="51"/>
  <c r="K46" i="51"/>
  <c r="J46" i="51"/>
  <c r="I46" i="51"/>
  <c r="H46" i="51"/>
  <c r="K45" i="51"/>
  <c r="J45" i="51"/>
  <c r="I45" i="51"/>
  <c r="H45" i="51"/>
  <c r="K44" i="51"/>
  <c r="J44" i="51"/>
  <c r="I44" i="51"/>
  <c r="H44" i="51"/>
  <c r="K43" i="51"/>
  <c r="J43" i="51"/>
  <c r="I43" i="51"/>
  <c r="H43" i="51"/>
  <c r="O42" i="51"/>
  <c r="K42" i="51"/>
  <c r="J42" i="51"/>
  <c r="I42" i="51"/>
  <c r="H42" i="51"/>
  <c r="X41" i="51"/>
  <c r="V41" i="51"/>
  <c r="U41" i="51"/>
  <c r="W41" i="51" s="1"/>
  <c r="K41" i="51"/>
  <c r="J41" i="51"/>
  <c r="I41" i="51"/>
  <c r="H41" i="51"/>
  <c r="X40" i="51"/>
  <c r="V40" i="51"/>
  <c r="U40" i="51"/>
  <c r="W40" i="51" s="1"/>
  <c r="K40" i="51"/>
  <c r="J40" i="51"/>
  <c r="I40" i="51"/>
  <c r="H40" i="51"/>
  <c r="X39" i="51"/>
  <c r="V39" i="51"/>
  <c r="W39" i="51"/>
  <c r="K39" i="51"/>
  <c r="J39" i="51"/>
  <c r="I39" i="51"/>
  <c r="H39" i="51"/>
  <c r="X38" i="51"/>
  <c r="V38" i="51"/>
  <c r="U38" i="51"/>
  <c r="W38" i="51" s="1"/>
  <c r="K38" i="51"/>
  <c r="J38" i="51"/>
  <c r="I38" i="51"/>
  <c r="H38" i="51"/>
  <c r="X37" i="51"/>
  <c r="V37" i="51"/>
  <c r="U37" i="51"/>
  <c r="K37" i="51"/>
  <c r="J37" i="51"/>
  <c r="I37" i="51"/>
  <c r="H37" i="51"/>
  <c r="K36" i="51"/>
  <c r="J36" i="51"/>
  <c r="I36" i="51"/>
  <c r="H36" i="51"/>
  <c r="K35" i="51"/>
  <c r="J35" i="51"/>
  <c r="I35" i="51"/>
  <c r="H35" i="51"/>
  <c r="W34" i="51"/>
  <c r="V34" i="51"/>
  <c r="X34" i="51" s="1"/>
  <c r="K34" i="51"/>
  <c r="J34" i="51"/>
  <c r="I34" i="51"/>
  <c r="H34" i="51"/>
  <c r="K33" i="51"/>
  <c r="J33" i="51"/>
  <c r="I33" i="51"/>
  <c r="H33" i="51"/>
  <c r="K32" i="51"/>
  <c r="J32" i="51"/>
  <c r="I32" i="51"/>
  <c r="H32" i="51"/>
  <c r="K31" i="51"/>
  <c r="J31" i="51"/>
  <c r="I31" i="51"/>
  <c r="H31" i="51"/>
  <c r="W30" i="51"/>
  <c r="V30" i="51"/>
  <c r="U30" i="51"/>
  <c r="K30" i="51"/>
  <c r="J30" i="51"/>
  <c r="I30" i="51"/>
  <c r="H30" i="51"/>
  <c r="W29" i="51"/>
  <c r="V29" i="51"/>
  <c r="U29" i="51"/>
  <c r="K29" i="51"/>
  <c r="J29" i="51"/>
  <c r="I29" i="51"/>
  <c r="H29" i="51"/>
  <c r="W28" i="51"/>
  <c r="V28" i="51"/>
  <c r="U28" i="51"/>
  <c r="K28" i="51"/>
  <c r="J28" i="51"/>
  <c r="I28" i="51"/>
  <c r="H28" i="51"/>
  <c r="W27" i="51"/>
  <c r="V27" i="51"/>
  <c r="U27" i="51"/>
  <c r="K27" i="51"/>
  <c r="J27" i="51"/>
  <c r="I27" i="51"/>
  <c r="H27" i="51"/>
  <c r="W26" i="51"/>
  <c r="V26" i="51"/>
  <c r="U26" i="51"/>
  <c r="K26" i="51"/>
  <c r="J26" i="51"/>
  <c r="L26" i="51" s="1"/>
  <c r="I26" i="51"/>
  <c r="H26" i="51"/>
  <c r="A26" i="5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A38" i="51" s="1"/>
  <c r="A39" i="51" s="1"/>
  <c r="A40" i="51" s="1"/>
  <c r="A41" i="51" s="1"/>
  <c r="A42" i="51" s="1"/>
  <c r="A43" i="51" s="1"/>
  <c r="A44" i="51" s="1"/>
  <c r="A45" i="51" s="1"/>
  <c r="A46" i="51" s="1"/>
  <c r="A47" i="51" s="1"/>
  <c r="A48" i="51" s="1"/>
  <c r="A49" i="51" s="1"/>
  <c r="A50" i="51" s="1"/>
  <c r="A51" i="51" s="1"/>
  <c r="A52" i="51" s="1"/>
  <c r="A53" i="51" s="1"/>
  <c r="A54" i="51" s="1"/>
  <c r="A55" i="51" s="1"/>
  <c r="A56" i="51" s="1"/>
  <c r="A57" i="51" s="1"/>
  <c r="A58" i="51" s="1"/>
  <c r="A59" i="51" s="1"/>
  <c r="A60" i="51" s="1"/>
  <c r="A61" i="51" s="1"/>
  <c r="W25" i="51"/>
  <c r="V25" i="51"/>
  <c r="U25" i="51"/>
  <c r="K25" i="51"/>
  <c r="J25" i="51"/>
  <c r="I25" i="51"/>
  <c r="H25" i="51"/>
  <c r="H21" i="51"/>
  <c r="G21" i="51"/>
  <c r="C83" i="51" s="1"/>
  <c r="D21" i="51"/>
  <c r="C21" i="51"/>
  <c r="C66" i="51" s="1"/>
  <c r="X19" i="51"/>
  <c r="S19" i="51"/>
  <c r="Q19" i="51"/>
  <c r="N19" i="51"/>
  <c r="O19" i="51" s="1"/>
  <c r="P19" i="51" s="1"/>
  <c r="L19" i="51"/>
  <c r="K19" i="51"/>
  <c r="I19" i="51"/>
  <c r="E19" i="51"/>
  <c r="R19" i="51" s="1"/>
  <c r="X18" i="51"/>
  <c r="S18" i="51"/>
  <c r="Q18" i="51"/>
  <c r="N18" i="51"/>
  <c r="O18" i="51" s="1"/>
  <c r="P18" i="51" s="1"/>
  <c r="L18" i="51"/>
  <c r="K18" i="51"/>
  <c r="I18" i="51"/>
  <c r="E18" i="51"/>
  <c r="R18" i="51" s="1"/>
  <c r="X17" i="51"/>
  <c r="S17" i="51"/>
  <c r="Q17" i="51"/>
  <c r="N17" i="51"/>
  <c r="O17" i="51" s="1"/>
  <c r="P17" i="51" s="1"/>
  <c r="L17" i="51"/>
  <c r="K17" i="51"/>
  <c r="I17" i="51"/>
  <c r="M17" i="51" s="1"/>
  <c r="V17" i="51" s="1"/>
  <c r="E17" i="51"/>
  <c r="R17" i="51" s="1"/>
  <c r="X16" i="51"/>
  <c r="Q16" i="51"/>
  <c r="N16" i="51"/>
  <c r="O16" i="51" s="1"/>
  <c r="P16" i="51" s="1"/>
  <c r="L16" i="51"/>
  <c r="K16" i="51"/>
  <c r="I16" i="51"/>
  <c r="E16" i="51"/>
  <c r="R16" i="51" s="1"/>
  <c r="X15" i="51"/>
  <c r="S15" i="51"/>
  <c r="Q15" i="51"/>
  <c r="N15" i="51"/>
  <c r="O15" i="51" s="1"/>
  <c r="P15" i="51" s="1"/>
  <c r="L15" i="51"/>
  <c r="K15" i="51"/>
  <c r="I15" i="51"/>
  <c r="E15" i="51"/>
  <c r="R15" i="51" s="1"/>
  <c r="X14" i="51"/>
  <c r="Q14" i="51"/>
  <c r="O14" i="51"/>
  <c r="P14" i="51" s="1"/>
  <c r="L14" i="51"/>
  <c r="K14" i="51"/>
  <c r="T14" i="51" s="1"/>
  <c r="I14" i="51"/>
  <c r="E14" i="51"/>
  <c r="R14" i="51" s="1"/>
  <c r="X12" i="51"/>
  <c r="C12" i="51"/>
  <c r="Y9" i="51"/>
  <c r="S16" i="51"/>
  <c r="S14" i="51"/>
  <c r="C79" i="39"/>
  <c r="I73" i="39"/>
  <c r="H73" i="39"/>
  <c r="D73" i="39"/>
  <c r="G73" i="39" s="1"/>
  <c r="I72" i="39"/>
  <c r="H72" i="39"/>
  <c r="D72" i="39"/>
  <c r="G72" i="39" s="1"/>
  <c r="I71" i="39"/>
  <c r="H71" i="39"/>
  <c r="D71" i="39"/>
  <c r="G71" i="39" s="1"/>
  <c r="I70" i="39"/>
  <c r="H70" i="39"/>
  <c r="D70" i="39"/>
  <c r="G70" i="39" s="1"/>
  <c r="J70" i="39" s="1"/>
  <c r="I69" i="39"/>
  <c r="H69" i="39"/>
  <c r="D69" i="39"/>
  <c r="G69" i="39" s="1"/>
  <c r="D68" i="39"/>
  <c r="H67" i="39"/>
  <c r="D67" i="39"/>
  <c r="G67" i="39" s="1"/>
  <c r="E66" i="39"/>
  <c r="D66" i="39"/>
  <c r="C63" i="39"/>
  <c r="J61" i="39"/>
  <c r="I61" i="39"/>
  <c r="H61" i="39"/>
  <c r="K60" i="39"/>
  <c r="J60" i="39"/>
  <c r="I60" i="39"/>
  <c r="H60" i="39"/>
  <c r="K59" i="39"/>
  <c r="J59" i="39"/>
  <c r="I59" i="39"/>
  <c r="H59" i="39"/>
  <c r="K58" i="39"/>
  <c r="J58" i="39"/>
  <c r="I58" i="39"/>
  <c r="H58" i="39"/>
  <c r="K57" i="39"/>
  <c r="J57" i="39"/>
  <c r="I57" i="39"/>
  <c r="H57" i="39"/>
  <c r="K56" i="39"/>
  <c r="J56" i="39"/>
  <c r="I56" i="39"/>
  <c r="H56" i="39"/>
  <c r="K55" i="39"/>
  <c r="J55" i="39"/>
  <c r="I55" i="39"/>
  <c r="H55" i="39"/>
  <c r="K54" i="39"/>
  <c r="J54" i="39"/>
  <c r="I54" i="39"/>
  <c r="H54" i="39"/>
  <c r="K53" i="39"/>
  <c r="J53" i="39"/>
  <c r="I53" i="39"/>
  <c r="H53" i="39"/>
  <c r="K52" i="39"/>
  <c r="J52" i="39"/>
  <c r="I52" i="39"/>
  <c r="H52" i="39"/>
  <c r="K51" i="39"/>
  <c r="J51" i="39"/>
  <c r="I51" i="39"/>
  <c r="H51" i="39"/>
  <c r="K50" i="39"/>
  <c r="J50" i="39"/>
  <c r="I50" i="39"/>
  <c r="H50" i="39"/>
  <c r="K49" i="39"/>
  <c r="J49" i="39"/>
  <c r="I49" i="39"/>
  <c r="H49" i="39"/>
  <c r="K48" i="39"/>
  <c r="J48" i="39"/>
  <c r="I48" i="39"/>
  <c r="H48" i="39"/>
  <c r="K47" i="39"/>
  <c r="J47" i="39"/>
  <c r="I47" i="39"/>
  <c r="H47" i="39"/>
  <c r="K46" i="39"/>
  <c r="J46" i="39"/>
  <c r="I46" i="39"/>
  <c r="H46" i="39"/>
  <c r="K45" i="39"/>
  <c r="J45" i="39"/>
  <c r="I45" i="39"/>
  <c r="H45" i="39"/>
  <c r="K44" i="39"/>
  <c r="J44" i="39"/>
  <c r="L44" i="39" s="1"/>
  <c r="I44" i="39"/>
  <c r="H44" i="39"/>
  <c r="K43" i="39"/>
  <c r="J43" i="39"/>
  <c r="I43" i="39"/>
  <c r="H43" i="39"/>
  <c r="O42" i="39"/>
  <c r="K42" i="39"/>
  <c r="J42" i="39"/>
  <c r="I42" i="39"/>
  <c r="H42" i="39"/>
  <c r="X41" i="39"/>
  <c r="V41" i="39"/>
  <c r="U41" i="39"/>
  <c r="W41" i="39" s="1"/>
  <c r="K41" i="39"/>
  <c r="J41" i="39"/>
  <c r="I41" i="39"/>
  <c r="H41" i="39"/>
  <c r="X40" i="39"/>
  <c r="V40" i="39"/>
  <c r="W40" i="39"/>
  <c r="K40" i="39"/>
  <c r="J40" i="39"/>
  <c r="I40" i="39"/>
  <c r="H40" i="39"/>
  <c r="X39" i="39"/>
  <c r="V39" i="39"/>
  <c r="W39" i="39"/>
  <c r="K39" i="39"/>
  <c r="J39" i="39"/>
  <c r="I39" i="39"/>
  <c r="H39" i="39"/>
  <c r="X38" i="39"/>
  <c r="V38" i="39"/>
  <c r="U38" i="39"/>
  <c r="W38" i="39" s="1"/>
  <c r="K38" i="39"/>
  <c r="J38" i="39"/>
  <c r="I38" i="39"/>
  <c r="H38" i="39"/>
  <c r="V37" i="39"/>
  <c r="U37" i="39"/>
  <c r="K37" i="39"/>
  <c r="J37" i="39"/>
  <c r="I37" i="39"/>
  <c r="H37" i="39"/>
  <c r="K36" i="39"/>
  <c r="J36" i="39"/>
  <c r="I36" i="39"/>
  <c r="K35" i="39"/>
  <c r="J35" i="39"/>
  <c r="I35" i="39"/>
  <c r="H35" i="39"/>
  <c r="W34" i="39"/>
  <c r="V34" i="39"/>
  <c r="K34" i="39"/>
  <c r="J34" i="39"/>
  <c r="I34" i="39"/>
  <c r="H34" i="39"/>
  <c r="K33" i="39"/>
  <c r="J33" i="39"/>
  <c r="I33" i="39"/>
  <c r="H33" i="39"/>
  <c r="K32" i="39"/>
  <c r="J32" i="39"/>
  <c r="I32" i="39"/>
  <c r="H32" i="39"/>
  <c r="K31" i="39"/>
  <c r="J31" i="39"/>
  <c r="I31" i="39"/>
  <c r="H31" i="39"/>
  <c r="W30" i="39"/>
  <c r="V30" i="39"/>
  <c r="U30" i="39"/>
  <c r="K30" i="39"/>
  <c r="J30" i="39"/>
  <c r="I30" i="39"/>
  <c r="H30" i="39"/>
  <c r="V29" i="39"/>
  <c r="U29" i="39"/>
  <c r="W29" i="39" s="1"/>
  <c r="K29" i="39"/>
  <c r="J29" i="39"/>
  <c r="L29" i="39" s="1"/>
  <c r="I29" i="39"/>
  <c r="H29" i="39"/>
  <c r="W28" i="39"/>
  <c r="V28" i="39"/>
  <c r="U28" i="39"/>
  <c r="J28" i="39"/>
  <c r="I28" i="39"/>
  <c r="H28" i="39"/>
  <c r="K28" i="39" s="1"/>
  <c r="W27" i="39"/>
  <c r="V27" i="39"/>
  <c r="U27" i="39"/>
  <c r="J27" i="39"/>
  <c r="K27" i="39" s="1"/>
  <c r="I27" i="39"/>
  <c r="H27" i="39"/>
  <c r="W26" i="39"/>
  <c r="V26" i="39"/>
  <c r="U26" i="39"/>
  <c r="J26" i="39"/>
  <c r="I26" i="39"/>
  <c r="H26" i="39"/>
  <c r="A26" i="39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A61" i="39" s="1"/>
  <c r="W25" i="39"/>
  <c r="V25" i="39"/>
  <c r="U25" i="39"/>
  <c r="J25" i="39"/>
  <c r="I25" i="39"/>
  <c r="H25" i="39"/>
  <c r="H21" i="39"/>
  <c r="G21" i="39"/>
  <c r="C83" i="39" s="1"/>
  <c r="D21" i="39"/>
  <c r="C21" i="39"/>
  <c r="X19" i="39"/>
  <c r="S19" i="39"/>
  <c r="Q19" i="39"/>
  <c r="N19" i="39"/>
  <c r="O19" i="39" s="1"/>
  <c r="P19" i="39" s="1"/>
  <c r="L19" i="39"/>
  <c r="K19" i="39"/>
  <c r="I19" i="39"/>
  <c r="E19" i="39"/>
  <c r="R19" i="39" s="1"/>
  <c r="X18" i="39"/>
  <c r="S18" i="39"/>
  <c r="Q18" i="39"/>
  <c r="N18" i="39"/>
  <c r="O18" i="39" s="1"/>
  <c r="P18" i="39" s="1"/>
  <c r="L18" i="39"/>
  <c r="K18" i="39"/>
  <c r="I18" i="39"/>
  <c r="E18" i="39"/>
  <c r="R18" i="39" s="1"/>
  <c r="X17" i="39"/>
  <c r="S17" i="39"/>
  <c r="Q17" i="39"/>
  <c r="N17" i="39"/>
  <c r="O17" i="39" s="1"/>
  <c r="P17" i="39" s="1"/>
  <c r="L17" i="39"/>
  <c r="K17" i="39"/>
  <c r="I17" i="39"/>
  <c r="E17" i="39"/>
  <c r="R17" i="39" s="1"/>
  <c r="X16" i="39"/>
  <c r="Q16" i="39"/>
  <c r="N16" i="39"/>
  <c r="O16" i="39" s="1"/>
  <c r="P16" i="39" s="1"/>
  <c r="L16" i="39"/>
  <c r="K16" i="39"/>
  <c r="I16" i="39"/>
  <c r="E16" i="39"/>
  <c r="R16" i="39" s="1"/>
  <c r="S15" i="39"/>
  <c r="Q15" i="39"/>
  <c r="N15" i="39"/>
  <c r="O15" i="39" s="1"/>
  <c r="P15" i="39" s="1"/>
  <c r="L15" i="39"/>
  <c r="K15" i="39"/>
  <c r="I15" i="39"/>
  <c r="E15" i="39"/>
  <c r="R15" i="39" s="1"/>
  <c r="Q14" i="39"/>
  <c r="N14" i="39"/>
  <c r="O14" i="39" s="1"/>
  <c r="P14" i="39" s="1"/>
  <c r="L14" i="39"/>
  <c r="K14" i="39"/>
  <c r="I14" i="39"/>
  <c r="E14" i="39"/>
  <c r="R14" i="39" s="1"/>
  <c r="X12" i="39"/>
  <c r="C12" i="39"/>
  <c r="Y9" i="39"/>
  <c r="S16" i="39"/>
  <c r="S14" i="39"/>
  <c r="L66" i="43"/>
  <c r="F66" i="43"/>
  <c r="H57" i="43"/>
  <c r="G57" i="43"/>
  <c r="C57" i="43"/>
  <c r="O56" i="43"/>
  <c r="Q56" i="43" s="1"/>
  <c r="N56" i="43"/>
  <c r="M56" i="43"/>
  <c r="O55" i="43"/>
  <c r="Q55" i="43" s="1"/>
  <c r="N55" i="43"/>
  <c r="M55" i="43"/>
  <c r="O54" i="43"/>
  <c r="Q54" i="43" s="1"/>
  <c r="N54" i="43"/>
  <c r="M54" i="43"/>
  <c r="K54" i="43"/>
  <c r="O53" i="43"/>
  <c r="Q53" i="43" s="1"/>
  <c r="N53" i="43"/>
  <c r="M53" i="43"/>
  <c r="K53" i="43"/>
  <c r="I48" i="43"/>
  <c r="H48" i="43"/>
  <c r="L46" i="43"/>
  <c r="P46" i="43" s="1"/>
  <c r="K46" i="43"/>
  <c r="J46" i="43"/>
  <c r="M46" i="43" s="1"/>
  <c r="L45" i="43"/>
  <c r="K45" i="43"/>
  <c r="J45" i="43"/>
  <c r="L44" i="43"/>
  <c r="K44" i="43"/>
  <c r="J44" i="43"/>
  <c r="L43" i="43"/>
  <c r="N43" i="43" s="1"/>
  <c r="K43" i="43"/>
  <c r="J43" i="43"/>
  <c r="M43" i="43" s="1"/>
  <c r="L42" i="43"/>
  <c r="O42" i="43" s="1"/>
  <c r="K42" i="43"/>
  <c r="J42" i="43"/>
  <c r="L41" i="43"/>
  <c r="K41" i="43"/>
  <c r="J41" i="43"/>
  <c r="M41" i="43" s="1"/>
  <c r="L40" i="43"/>
  <c r="K40" i="43"/>
  <c r="J40" i="43"/>
  <c r="M40" i="43" s="1"/>
  <c r="L39" i="43"/>
  <c r="N39" i="43" s="1"/>
  <c r="K39" i="43"/>
  <c r="J39" i="43"/>
  <c r="M39" i="43" s="1"/>
  <c r="L38" i="43"/>
  <c r="O38" i="43" s="1"/>
  <c r="K38" i="43"/>
  <c r="J38" i="43"/>
  <c r="M38" i="43" s="1"/>
  <c r="L37" i="43"/>
  <c r="K37" i="43"/>
  <c r="J37" i="43"/>
  <c r="M37" i="43" s="1"/>
  <c r="N36" i="43"/>
  <c r="L36" i="43"/>
  <c r="O36" i="43" s="1"/>
  <c r="T36" i="43"/>
  <c r="K36" i="43"/>
  <c r="J36" i="43"/>
  <c r="S36" i="43" s="1"/>
  <c r="M35" i="43"/>
  <c r="L35" i="43"/>
  <c r="T35" i="43" s="1"/>
  <c r="K35" i="43"/>
  <c r="J35" i="43"/>
  <c r="L34" i="43"/>
  <c r="N34" i="43" s="1"/>
  <c r="K34" i="43"/>
  <c r="J34" i="43"/>
  <c r="M34" i="43" s="1"/>
  <c r="L33" i="43"/>
  <c r="T33" i="43" s="1"/>
  <c r="K33" i="43"/>
  <c r="J33" i="43"/>
  <c r="M33" i="43" s="1"/>
  <c r="L32" i="43"/>
  <c r="O32" i="43" s="1"/>
  <c r="K32" i="43"/>
  <c r="J32" i="43"/>
  <c r="M32" i="43" s="1"/>
  <c r="L31" i="43"/>
  <c r="N31" i="43" s="1"/>
  <c r="K31" i="43"/>
  <c r="J31" i="43"/>
  <c r="M31" i="43" s="1"/>
  <c r="L30" i="43"/>
  <c r="N30" i="43" s="1"/>
  <c r="K30" i="43"/>
  <c r="J30" i="43"/>
  <c r="M30" i="43" s="1"/>
  <c r="L29" i="43"/>
  <c r="O29" i="43" s="1"/>
  <c r="K29" i="43"/>
  <c r="J29" i="43"/>
  <c r="M29" i="43" s="1"/>
  <c r="L28" i="43"/>
  <c r="K28" i="43"/>
  <c r="J28" i="43"/>
  <c r="M28" i="43" s="1"/>
  <c r="L27" i="43"/>
  <c r="P27" i="43" s="1"/>
  <c r="K27" i="43"/>
  <c r="J27" i="43"/>
  <c r="M27" i="43" s="1"/>
  <c r="L26" i="43"/>
  <c r="T26" i="43" s="1"/>
  <c r="K26" i="43"/>
  <c r="J26" i="43"/>
  <c r="M26" i="43" s="1"/>
  <c r="L25" i="43"/>
  <c r="O25" i="43" s="1"/>
  <c r="K25" i="43"/>
  <c r="J25" i="43"/>
  <c r="L24" i="43"/>
  <c r="K24" i="43"/>
  <c r="J24" i="43"/>
  <c r="M24" i="43" s="1"/>
  <c r="L23" i="43"/>
  <c r="O23" i="43" s="1"/>
  <c r="K23" i="43"/>
  <c r="J23" i="43"/>
  <c r="L22" i="43"/>
  <c r="T22" i="43" s="1"/>
  <c r="K22" i="43"/>
  <c r="J22" i="43"/>
  <c r="L21" i="43"/>
  <c r="P21" i="43" s="1"/>
  <c r="K21" i="43"/>
  <c r="J21" i="43"/>
  <c r="M21" i="43" s="1"/>
  <c r="L20" i="43"/>
  <c r="O20" i="43" s="1"/>
  <c r="K20" i="43"/>
  <c r="J20" i="43"/>
  <c r="M20" i="43" s="1"/>
  <c r="L19" i="43"/>
  <c r="K19" i="43"/>
  <c r="J19" i="43"/>
  <c r="M19" i="43" s="1"/>
  <c r="L18" i="43"/>
  <c r="K18" i="43"/>
  <c r="J18" i="43"/>
  <c r="M18" i="43" s="1"/>
  <c r="L17" i="43"/>
  <c r="N17" i="43" s="1"/>
  <c r="K17" i="43"/>
  <c r="J17" i="43"/>
  <c r="M17" i="43" s="1"/>
  <c r="L16" i="43"/>
  <c r="K16" i="43"/>
  <c r="J16" i="43"/>
  <c r="M16" i="43" s="1"/>
  <c r="L15" i="43"/>
  <c r="K15" i="43"/>
  <c r="J15" i="43"/>
  <c r="M15" i="43" s="1"/>
  <c r="L14" i="43"/>
  <c r="P14" i="43" s="1"/>
  <c r="K14" i="43"/>
  <c r="J14" i="43"/>
  <c r="M14" i="43"/>
  <c r="R14" i="43" s="1"/>
  <c r="L13" i="43"/>
  <c r="N13" i="43" s="1"/>
  <c r="K13" i="43"/>
  <c r="J13" i="43"/>
  <c r="M13" i="43" s="1"/>
  <c r="L12" i="43"/>
  <c r="N12" i="43" s="1"/>
  <c r="K12" i="43"/>
  <c r="J12" i="43"/>
  <c r="M12" i="43" s="1"/>
  <c r="L11" i="43"/>
  <c r="K11" i="43"/>
  <c r="J11" i="43"/>
  <c r="M11" i="43" s="1"/>
  <c r="V7" i="43"/>
  <c r="I55" i="43"/>
  <c r="O4" i="43"/>
  <c r="C7" i="43" s="1"/>
  <c r="L66" i="42"/>
  <c r="F66" i="42"/>
  <c r="H57" i="42"/>
  <c r="G57" i="42"/>
  <c r="C57" i="42"/>
  <c r="O56" i="42"/>
  <c r="Q56" i="42" s="1"/>
  <c r="N56" i="42"/>
  <c r="M56" i="42"/>
  <c r="O55" i="42"/>
  <c r="Q55" i="42" s="1"/>
  <c r="N55" i="42"/>
  <c r="M55" i="42"/>
  <c r="O54" i="42"/>
  <c r="Q54" i="42" s="1"/>
  <c r="N54" i="42"/>
  <c r="M54" i="42"/>
  <c r="K54" i="42"/>
  <c r="O53" i="42"/>
  <c r="Q53" i="42" s="1"/>
  <c r="N53" i="42"/>
  <c r="M53" i="42"/>
  <c r="K53" i="42"/>
  <c r="I48" i="42"/>
  <c r="H48" i="42"/>
  <c r="L46" i="42"/>
  <c r="K46" i="42"/>
  <c r="J46" i="42"/>
  <c r="M46" i="42" s="1"/>
  <c r="N45" i="42"/>
  <c r="L45" i="42"/>
  <c r="T45" i="42" s="1"/>
  <c r="K45" i="42"/>
  <c r="J45" i="42"/>
  <c r="L44" i="42"/>
  <c r="P44" i="42" s="1"/>
  <c r="K44" i="42"/>
  <c r="J44" i="42"/>
  <c r="M44" i="42" s="1"/>
  <c r="L43" i="42"/>
  <c r="K43" i="42"/>
  <c r="J43" i="42"/>
  <c r="M43" i="42" s="1"/>
  <c r="L42" i="42"/>
  <c r="P42" i="42" s="1"/>
  <c r="K42" i="42"/>
  <c r="J42" i="42"/>
  <c r="M42" i="42"/>
  <c r="L41" i="42"/>
  <c r="O41" i="42" s="1"/>
  <c r="K41" i="42"/>
  <c r="J41" i="42"/>
  <c r="M41" i="42" s="1"/>
  <c r="L40" i="42"/>
  <c r="O40" i="42" s="1"/>
  <c r="K40" i="42"/>
  <c r="J40" i="42"/>
  <c r="L39" i="42"/>
  <c r="N39" i="42" s="1"/>
  <c r="K39" i="42"/>
  <c r="J39" i="42"/>
  <c r="M39" i="42" s="1"/>
  <c r="L38" i="42"/>
  <c r="K38" i="42"/>
  <c r="J38" i="42"/>
  <c r="M38" i="42" s="1"/>
  <c r="L37" i="42"/>
  <c r="K37" i="42"/>
  <c r="J37" i="42"/>
  <c r="M37" i="42" s="1"/>
  <c r="L36" i="42"/>
  <c r="T36" i="42" s="1"/>
  <c r="K36" i="42"/>
  <c r="J36" i="42"/>
  <c r="L35" i="42"/>
  <c r="N35" i="42" s="1"/>
  <c r="K35" i="42"/>
  <c r="J35" i="42"/>
  <c r="M35" i="42" s="1"/>
  <c r="L34" i="42"/>
  <c r="K34" i="42"/>
  <c r="J34" i="42"/>
  <c r="L33" i="42"/>
  <c r="N33" i="42" s="1"/>
  <c r="T33" i="42"/>
  <c r="K33" i="42"/>
  <c r="J33" i="42"/>
  <c r="L32" i="42"/>
  <c r="K32" i="42"/>
  <c r="J32" i="42"/>
  <c r="S32" i="42" s="1"/>
  <c r="N31" i="42"/>
  <c r="L31" i="42"/>
  <c r="T31" i="42" s="1"/>
  <c r="K31" i="42"/>
  <c r="J31" i="42"/>
  <c r="M31" i="42" s="1"/>
  <c r="L30" i="42"/>
  <c r="P30" i="42" s="1"/>
  <c r="K30" i="42"/>
  <c r="J30" i="42"/>
  <c r="M30" i="42" s="1"/>
  <c r="L29" i="42"/>
  <c r="T29" i="42" s="1"/>
  <c r="K29" i="42"/>
  <c r="J29" i="42"/>
  <c r="M29" i="42" s="1"/>
  <c r="L28" i="42"/>
  <c r="K28" i="42"/>
  <c r="J28" i="42"/>
  <c r="L27" i="42"/>
  <c r="N27" i="42" s="1"/>
  <c r="K27" i="42"/>
  <c r="J27" i="42"/>
  <c r="L26" i="42"/>
  <c r="O26" i="42" s="1"/>
  <c r="K26" i="42"/>
  <c r="J26" i="42"/>
  <c r="M26" i="42" s="1"/>
  <c r="L25" i="42"/>
  <c r="N25" i="42" s="1"/>
  <c r="K25" i="42"/>
  <c r="J25" i="42"/>
  <c r="M25" i="42" s="1"/>
  <c r="L24" i="42"/>
  <c r="O24" i="42" s="1"/>
  <c r="K24" i="42"/>
  <c r="J24" i="42"/>
  <c r="L23" i="42"/>
  <c r="K23" i="42"/>
  <c r="J23" i="42"/>
  <c r="M23" i="42" s="1"/>
  <c r="L22" i="42"/>
  <c r="K22" i="42"/>
  <c r="J22" i="42"/>
  <c r="M22" i="42" s="1"/>
  <c r="L21" i="42"/>
  <c r="K21" i="42"/>
  <c r="J21" i="42"/>
  <c r="M21" i="42" s="1"/>
  <c r="L20" i="42"/>
  <c r="O20" i="42" s="1"/>
  <c r="K20" i="42"/>
  <c r="J20" i="42"/>
  <c r="L19" i="42"/>
  <c r="P19" i="42" s="1"/>
  <c r="K19" i="42"/>
  <c r="J19" i="42"/>
  <c r="M19" i="42" s="1"/>
  <c r="L18" i="42"/>
  <c r="K18" i="42"/>
  <c r="J18" i="42"/>
  <c r="M18" i="42" s="1"/>
  <c r="L17" i="42"/>
  <c r="K17" i="42"/>
  <c r="J17" i="42"/>
  <c r="S17" i="42" s="1"/>
  <c r="L16" i="42"/>
  <c r="T16" i="42" s="1"/>
  <c r="K16" i="42"/>
  <c r="J16" i="42"/>
  <c r="L15" i="42"/>
  <c r="K15" i="42"/>
  <c r="J15" i="42"/>
  <c r="L14" i="42"/>
  <c r="K14" i="42"/>
  <c r="J14" i="42"/>
  <c r="M14" i="42" s="1"/>
  <c r="L13" i="42"/>
  <c r="N13" i="42" s="1"/>
  <c r="K13" i="42"/>
  <c r="J13" i="42"/>
  <c r="M13" i="42" s="1"/>
  <c r="L12" i="42"/>
  <c r="N12" i="42" s="1"/>
  <c r="K12" i="42"/>
  <c r="J12" i="42"/>
  <c r="M12" i="42" s="1"/>
  <c r="L11" i="42"/>
  <c r="P11" i="42" s="1"/>
  <c r="K11" i="42"/>
  <c r="J11" i="42"/>
  <c r="M11" i="42" s="1"/>
  <c r="V7" i="42"/>
  <c r="I54" i="42"/>
  <c r="O4" i="42"/>
  <c r="P4" i="42" s="1"/>
  <c r="L66" i="41"/>
  <c r="F66" i="41"/>
  <c r="H57" i="41"/>
  <c r="G57" i="41"/>
  <c r="C57" i="41"/>
  <c r="O56" i="41"/>
  <c r="Q56" i="41" s="1"/>
  <c r="N56" i="41"/>
  <c r="M56" i="41"/>
  <c r="O55" i="41"/>
  <c r="Q55" i="41" s="1"/>
  <c r="N55" i="41"/>
  <c r="M55" i="41"/>
  <c r="O54" i="41"/>
  <c r="Q54" i="41" s="1"/>
  <c r="N54" i="41"/>
  <c r="M54" i="41"/>
  <c r="K54" i="41"/>
  <c r="O53" i="41"/>
  <c r="Q53" i="41" s="1"/>
  <c r="N53" i="41"/>
  <c r="M53" i="41"/>
  <c r="K53" i="41"/>
  <c r="I48" i="41"/>
  <c r="H48" i="41"/>
  <c r="K46" i="41"/>
  <c r="J46" i="41"/>
  <c r="M46" i="41" s="1"/>
  <c r="K45" i="41"/>
  <c r="J45" i="41"/>
  <c r="M45" i="41" s="1"/>
  <c r="K44" i="41"/>
  <c r="J44" i="41"/>
  <c r="M44" i="41" s="1"/>
  <c r="O43" i="41"/>
  <c r="K43" i="41"/>
  <c r="J43" i="41"/>
  <c r="K42" i="41"/>
  <c r="J42" i="41"/>
  <c r="M42" i="41" s="1"/>
  <c r="K41" i="41"/>
  <c r="J41" i="41"/>
  <c r="M41" i="41" s="1"/>
  <c r="R41" i="41" s="1"/>
  <c r="K40" i="41"/>
  <c r="J40" i="41"/>
  <c r="M40" i="41" s="1"/>
  <c r="K39" i="41"/>
  <c r="J39" i="41"/>
  <c r="K38" i="41"/>
  <c r="J38" i="41"/>
  <c r="M38" i="41" s="1"/>
  <c r="K37" i="41"/>
  <c r="J37" i="41"/>
  <c r="M37" i="41" s="1"/>
  <c r="R37" i="41" s="1"/>
  <c r="K36" i="41"/>
  <c r="J36" i="41"/>
  <c r="M36" i="41" s="1"/>
  <c r="O35" i="41"/>
  <c r="K35" i="41"/>
  <c r="J35" i="41"/>
  <c r="S35" i="41" s="1"/>
  <c r="K34" i="41"/>
  <c r="J34" i="41"/>
  <c r="M34" i="41" s="1"/>
  <c r="K33" i="41"/>
  <c r="J33" i="41"/>
  <c r="M33" i="41" s="1"/>
  <c r="R33" i="41" s="1"/>
  <c r="K32" i="41"/>
  <c r="J32" i="41"/>
  <c r="M32" i="41" s="1"/>
  <c r="K31" i="41"/>
  <c r="J31" i="41"/>
  <c r="K30" i="41"/>
  <c r="J30" i="41"/>
  <c r="M30" i="41" s="1"/>
  <c r="O29" i="41"/>
  <c r="K29" i="41"/>
  <c r="J29" i="41"/>
  <c r="M29" i="41" s="1"/>
  <c r="R29" i="41" s="1"/>
  <c r="K28" i="41"/>
  <c r="J28" i="41"/>
  <c r="M28" i="41" s="1"/>
  <c r="O27" i="41"/>
  <c r="K27" i="41"/>
  <c r="J27" i="41"/>
  <c r="K26" i="41"/>
  <c r="J26" i="41"/>
  <c r="M26" i="41" s="1"/>
  <c r="O25" i="41"/>
  <c r="K25" i="41"/>
  <c r="J25" i="41"/>
  <c r="M25" i="41" s="1"/>
  <c r="R25" i="41" s="1"/>
  <c r="K24" i="41"/>
  <c r="J24" i="41"/>
  <c r="M24" i="41" s="1"/>
  <c r="K23" i="41"/>
  <c r="J23" i="41"/>
  <c r="K22" i="41"/>
  <c r="J22" i="41"/>
  <c r="M22" i="41" s="1"/>
  <c r="K21" i="41"/>
  <c r="J21" i="41"/>
  <c r="M21" i="41" s="1"/>
  <c r="K20" i="41"/>
  <c r="J20" i="41"/>
  <c r="M20" i="41" s="1"/>
  <c r="O19" i="41"/>
  <c r="K19" i="41"/>
  <c r="J19" i="41"/>
  <c r="S19" i="41" s="1"/>
  <c r="K18" i="41"/>
  <c r="J18" i="41"/>
  <c r="M18" i="41" s="1"/>
  <c r="O17" i="41"/>
  <c r="K17" i="41"/>
  <c r="J17" i="41"/>
  <c r="M17" i="41" s="1"/>
  <c r="K16" i="41"/>
  <c r="J16" i="41"/>
  <c r="M16" i="41" s="1"/>
  <c r="K15" i="41"/>
  <c r="J15" i="41"/>
  <c r="K14" i="41"/>
  <c r="J14" i="41"/>
  <c r="M14" i="41" s="1"/>
  <c r="K13" i="41"/>
  <c r="J13" i="41"/>
  <c r="M13" i="41" s="1"/>
  <c r="K12" i="41"/>
  <c r="J12" i="41"/>
  <c r="M12" i="41" s="1"/>
  <c r="K11" i="41"/>
  <c r="J11" i="41"/>
  <c r="M11" i="41" s="1"/>
  <c r="V7" i="41"/>
  <c r="K55" i="41"/>
  <c r="O4" i="41"/>
  <c r="P4" i="41" s="1"/>
  <c r="N33" i="43"/>
  <c r="O33" i="43"/>
  <c r="N23" i="43"/>
  <c r="N27" i="43"/>
  <c r="S27" i="43"/>
  <c r="O27" i="43"/>
  <c r="S35" i="43"/>
  <c r="T15" i="43"/>
  <c r="T23" i="43"/>
  <c r="T13" i="43"/>
  <c r="P17" i="43"/>
  <c r="S30" i="43"/>
  <c r="P15" i="43"/>
  <c r="T27" i="43"/>
  <c r="T37" i="43"/>
  <c r="T41" i="43"/>
  <c r="P45" i="43"/>
  <c r="T45" i="43"/>
  <c r="O41" i="43"/>
  <c r="O45" i="43"/>
  <c r="P12" i="43"/>
  <c r="P18" i="43"/>
  <c r="P30" i="43"/>
  <c r="P32" i="43"/>
  <c r="P36" i="43"/>
  <c r="N45" i="43"/>
  <c r="K55" i="43"/>
  <c r="T18" i="42"/>
  <c r="T20" i="42"/>
  <c r="T26" i="42"/>
  <c r="T28" i="42"/>
  <c r="T32" i="42"/>
  <c r="T34" i="42"/>
  <c r="T38" i="42"/>
  <c r="M15" i="42"/>
  <c r="M27" i="42"/>
  <c r="O25" i="42"/>
  <c r="O31" i="42"/>
  <c r="S31" i="42"/>
  <c r="O33" i="42"/>
  <c r="O39" i="42"/>
  <c r="S39" i="42"/>
  <c r="O43" i="42"/>
  <c r="P18" i="42"/>
  <c r="P26" i="42"/>
  <c r="P28" i="42"/>
  <c r="P32" i="42"/>
  <c r="P34" i="42"/>
  <c r="P38" i="42"/>
  <c r="O12" i="42"/>
  <c r="O18" i="42"/>
  <c r="O28" i="42"/>
  <c r="O32" i="42"/>
  <c r="O34" i="42"/>
  <c r="O36" i="42"/>
  <c r="O38" i="42"/>
  <c r="S38" i="42"/>
  <c r="S42" i="42"/>
  <c r="P17" i="42"/>
  <c r="N18" i="42"/>
  <c r="P21" i="42"/>
  <c r="P25" i="42"/>
  <c r="N28" i="42"/>
  <c r="P29" i="42"/>
  <c r="P31" i="42"/>
  <c r="N32" i="42"/>
  <c r="N34" i="42"/>
  <c r="N38" i="42"/>
  <c r="P39" i="42"/>
  <c r="P43" i="42"/>
  <c r="N46" i="42"/>
  <c r="P14" i="41"/>
  <c r="P38" i="41"/>
  <c r="K56" i="41"/>
  <c r="O20" i="41"/>
  <c r="O28" i="41"/>
  <c r="O30" i="41"/>
  <c r="S32" i="41"/>
  <c r="P20" i="41"/>
  <c r="P30" i="41"/>
  <c r="P32" i="41"/>
  <c r="P11" i="41"/>
  <c r="P17" i="41"/>
  <c r="P19" i="41"/>
  <c r="P23" i="41"/>
  <c r="P25" i="41"/>
  <c r="P27" i="41"/>
  <c r="P33" i="41"/>
  <c r="P35" i="41"/>
  <c r="P39" i="41"/>
  <c r="P41" i="41"/>
  <c r="P43" i="41"/>
  <c r="N20" i="42" l="1"/>
  <c r="O35" i="43"/>
  <c r="N25" i="43"/>
  <c r="Y41" i="51"/>
  <c r="J70" i="51"/>
  <c r="N37" i="41"/>
  <c r="N29" i="41"/>
  <c r="N35" i="43"/>
  <c r="S16" i="42"/>
  <c r="S24" i="42"/>
  <c r="N42" i="42"/>
  <c r="Q42" i="42" s="1"/>
  <c r="T42" i="42"/>
  <c r="P25" i="43"/>
  <c r="N16" i="42"/>
  <c r="T21" i="43"/>
  <c r="L45" i="51"/>
  <c r="O42" i="42"/>
  <c r="O19" i="42"/>
  <c r="P20" i="42"/>
  <c r="N13" i="41"/>
  <c r="A13" i="12"/>
  <c r="S43" i="42"/>
  <c r="L25" i="51"/>
  <c r="S22" i="41"/>
  <c r="P16" i="42"/>
  <c r="O21" i="43"/>
  <c r="T30" i="43"/>
  <c r="U42" i="51"/>
  <c r="O44" i="41"/>
  <c r="O16" i="42"/>
  <c r="T43" i="43"/>
  <c r="T25" i="43"/>
  <c r="T17" i="43"/>
  <c r="M57" i="41"/>
  <c r="T34" i="43"/>
  <c r="L37" i="39"/>
  <c r="N44" i="41"/>
  <c r="P35" i="43"/>
  <c r="Y38" i="51"/>
  <c r="X28" i="39"/>
  <c r="L32" i="51"/>
  <c r="M19" i="51"/>
  <c r="V19" i="51" s="1"/>
  <c r="M18" i="51"/>
  <c r="V18" i="51" s="1"/>
  <c r="M14" i="39"/>
  <c r="V14" i="39" s="1"/>
  <c r="Q45" i="43"/>
  <c r="Q38" i="42"/>
  <c r="N11" i="43"/>
  <c r="N11" i="41"/>
  <c r="Y40" i="39"/>
  <c r="L59" i="39"/>
  <c r="L51" i="51"/>
  <c r="L55" i="51"/>
  <c r="L53" i="51"/>
  <c r="L42" i="51"/>
  <c r="M16" i="51"/>
  <c r="V16" i="51" s="1"/>
  <c r="M16" i="39"/>
  <c r="V16" i="39" s="1"/>
  <c r="S15" i="43"/>
  <c r="R41" i="43"/>
  <c r="S16" i="43"/>
  <c r="R21" i="42"/>
  <c r="R25" i="42"/>
  <c r="S14" i="42"/>
  <c r="S25" i="42"/>
  <c r="R37" i="42"/>
  <c r="S13" i="42"/>
  <c r="M16" i="42"/>
  <c r="R16" i="42" s="1"/>
  <c r="N57" i="41"/>
  <c r="S26" i="41"/>
  <c r="J57" i="41"/>
  <c r="Q18" i="42"/>
  <c r="N40" i="42"/>
  <c r="N24" i="42"/>
  <c r="M17" i="42"/>
  <c r="S40" i="42"/>
  <c r="L41" i="39"/>
  <c r="L43" i="44"/>
  <c r="M43" i="44" s="1"/>
  <c r="V43" i="44" s="1"/>
  <c r="S12" i="42"/>
  <c r="T24" i="42"/>
  <c r="O29" i="42"/>
  <c r="P24" i="42"/>
  <c r="P34" i="43"/>
  <c r="R12" i="41"/>
  <c r="M24" i="42"/>
  <c r="R24" i="42" s="1"/>
  <c r="R43" i="42"/>
  <c r="N57" i="43"/>
  <c r="L46" i="39"/>
  <c r="L55" i="39"/>
  <c r="K61" i="39"/>
  <c r="J67" i="51"/>
  <c r="L47" i="44"/>
  <c r="M47" i="44" s="1"/>
  <c r="V47" i="44" s="1"/>
  <c r="L51" i="44"/>
  <c r="M51" i="44" s="1"/>
  <c r="V51" i="44" s="1"/>
  <c r="N26" i="41"/>
  <c r="R39" i="43"/>
  <c r="R31" i="43"/>
  <c r="N36" i="42"/>
  <c r="T44" i="42"/>
  <c r="P43" i="43"/>
  <c r="T31" i="43"/>
  <c r="Q27" i="43"/>
  <c r="C7" i="42"/>
  <c r="R13" i="42"/>
  <c r="T27" i="42"/>
  <c r="R21" i="43"/>
  <c r="M17" i="39"/>
  <c r="V17" i="39" s="1"/>
  <c r="L42" i="44"/>
  <c r="M42" i="44" s="1"/>
  <c r="W42" i="44" s="1"/>
  <c r="J57" i="43"/>
  <c r="R30" i="43"/>
  <c r="N12" i="41"/>
  <c r="R45" i="41"/>
  <c r="T12" i="42"/>
  <c r="P13" i="42"/>
  <c r="O13" i="42"/>
  <c r="P12" i="42"/>
  <c r="Q12" i="42" s="1"/>
  <c r="P31" i="43"/>
  <c r="N21" i="43"/>
  <c r="Q21" i="43" s="1"/>
  <c r="R31" i="42"/>
  <c r="R38" i="42"/>
  <c r="R42" i="42"/>
  <c r="N57" i="42"/>
  <c r="R37" i="43"/>
  <c r="L49" i="51"/>
  <c r="L50" i="44"/>
  <c r="M50" i="44" s="1"/>
  <c r="W50" i="44" s="1"/>
  <c r="J71" i="51"/>
  <c r="P26" i="41"/>
  <c r="N30" i="42"/>
  <c r="S30" i="42"/>
  <c r="P36" i="42"/>
  <c r="S41" i="42"/>
  <c r="R29" i="42"/>
  <c r="R18" i="42"/>
  <c r="T25" i="42"/>
  <c r="S12" i="43"/>
  <c r="R29" i="43"/>
  <c r="L49" i="44"/>
  <c r="M49" i="44" s="1"/>
  <c r="V49" i="44" s="1"/>
  <c r="L53" i="44"/>
  <c r="M53" i="44" s="1"/>
  <c r="V53" i="44" s="1"/>
  <c r="N36" i="41"/>
  <c r="P16" i="43"/>
  <c r="R44" i="42"/>
  <c r="L57" i="51"/>
  <c r="N44" i="42"/>
  <c r="O30" i="42"/>
  <c r="P23" i="43"/>
  <c r="Q23" i="43" s="1"/>
  <c r="O31" i="43"/>
  <c r="K57" i="41"/>
  <c r="S29" i="42"/>
  <c r="M32" i="42"/>
  <c r="X27" i="39"/>
  <c r="L38" i="51"/>
  <c r="J69" i="51"/>
  <c r="L45" i="44"/>
  <c r="M45" i="44" s="1"/>
  <c r="I55" i="42"/>
  <c r="L46" i="44"/>
  <c r="M46" i="44"/>
  <c r="S44" i="42"/>
  <c r="O43" i="43"/>
  <c r="S31" i="43"/>
  <c r="Q25" i="42"/>
  <c r="J72" i="39"/>
  <c r="J79" i="51"/>
  <c r="J80" i="51" s="1"/>
  <c r="L58" i="51"/>
  <c r="L61" i="51"/>
  <c r="L44" i="44"/>
  <c r="M44" i="44" s="1"/>
  <c r="W44" i="44" s="1"/>
  <c r="I56" i="43"/>
  <c r="N33" i="41"/>
  <c r="L54" i="44"/>
  <c r="M54" i="44" s="1"/>
  <c r="P40" i="42"/>
  <c r="T40" i="42"/>
  <c r="Q4" i="42"/>
  <c r="N26" i="42"/>
  <c r="Q26" i="42" s="1"/>
  <c r="T30" i="42"/>
  <c r="R26" i="42"/>
  <c r="S13" i="43"/>
  <c r="L34" i="51"/>
  <c r="L48" i="44"/>
  <c r="M48" i="44"/>
  <c r="L52" i="44"/>
  <c r="M52" i="44" s="1"/>
  <c r="W52" i="44" s="1"/>
  <c r="I56" i="42"/>
  <c r="R42" i="41"/>
  <c r="G68" i="39"/>
  <c r="J68" i="39" s="1"/>
  <c r="O44" i="42"/>
  <c r="P41" i="42"/>
  <c r="S39" i="43"/>
  <c r="M40" i="42"/>
  <c r="R40" i="42" s="1"/>
  <c r="Q4" i="43"/>
  <c r="R46" i="43"/>
  <c r="M18" i="39"/>
  <c r="V18" i="39" s="1"/>
  <c r="L45" i="39"/>
  <c r="L48" i="39"/>
  <c r="N28" i="41"/>
  <c r="Q28" i="41" s="1"/>
  <c r="R19" i="42"/>
  <c r="I53" i="43"/>
  <c r="L53" i="43" s="1"/>
  <c r="P53" i="43" s="1"/>
  <c r="Q25" i="43"/>
  <c r="L14" i="44"/>
  <c r="M14" i="44" s="1"/>
  <c r="T16" i="51"/>
  <c r="W16" i="51" s="1"/>
  <c r="P21" i="51"/>
  <c r="J77" i="51" s="1"/>
  <c r="M78" i="51" s="1"/>
  <c r="T15" i="51"/>
  <c r="W15" i="51" s="1"/>
  <c r="S21" i="39"/>
  <c r="G78" i="39" s="1"/>
  <c r="G81" i="39" s="1"/>
  <c r="S21" i="51"/>
  <c r="G78" i="51" s="1"/>
  <c r="G81" i="51" s="1"/>
  <c r="W14" i="51"/>
  <c r="K61" i="51"/>
  <c r="X26" i="51"/>
  <c r="L37" i="51"/>
  <c r="L43" i="51"/>
  <c r="L36" i="51"/>
  <c r="L59" i="51"/>
  <c r="L40" i="51"/>
  <c r="L44" i="51"/>
  <c r="L30" i="51"/>
  <c r="L32" i="39"/>
  <c r="L39" i="39"/>
  <c r="L56" i="39"/>
  <c r="C60" i="49"/>
  <c r="L54" i="42"/>
  <c r="P54" i="42" s="1"/>
  <c r="Q34" i="42"/>
  <c r="Q28" i="42"/>
  <c r="L26" i="39"/>
  <c r="L25" i="39"/>
  <c r="T16" i="39"/>
  <c r="W16" i="39" s="1"/>
  <c r="T15" i="42"/>
  <c r="R15" i="42"/>
  <c r="P15" i="42"/>
  <c r="N15" i="42"/>
  <c r="P24" i="43"/>
  <c r="R24" i="43"/>
  <c r="T23" i="42"/>
  <c r="R23" i="42"/>
  <c r="P23" i="42"/>
  <c r="O23" i="42"/>
  <c r="N23" i="42"/>
  <c r="R46" i="42"/>
  <c r="P46" i="42"/>
  <c r="T46" i="42"/>
  <c r="P33" i="42"/>
  <c r="Q33" i="42" s="1"/>
  <c r="S35" i="42"/>
  <c r="S11" i="43"/>
  <c r="M20" i="42"/>
  <c r="S20" i="42"/>
  <c r="R22" i="42"/>
  <c r="N22" i="42"/>
  <c r="O22" i="42"/>
  <c r="P22" i="42"/>
  <c r="S33" i="42"/>
  <c r="M33" i="42"/>
  <c r="R33" i="42" s="1"/>
  <c r="N37" i="42"/>
  <c r="O37" i="42"/>
  <c r="P19" i="43"/>
  <c r="N19" i="43"/>
  <c r="T19" i="43"/>
  <c r="R19" i="43"/>
  <c r="S19" i="43"/>
  <c r="O19" i="43"/>
  <c r="R28" i="43"/>
  <c r="O28" i="43"/>
  <c r="O44" i="43"/>
  <c r="P44" i="43"/>
  <c r="J68" i="51"/>
  <c r="N42" i="41"/>
  <c r="R34" i="41"/>
  <c r="O26" i="41"/>
  <c r="Q32" i="42"/>
  <c r="O35" i="42"/>
  <c r="S23" i="42"/>
  <c r="S26" i="42"/>
  <c r="P38" i="43"/>
  <c r="S28" i="43"/>
  <c r="S33" i="43"/>
  <c r="R12" i="42"/>
  <c r="N17" i="42"/>
  <c r="T17" i="42"/>
  <c r="O17" i="42"/>
  <c r="S27" i="42"/>
  <c r="T35" i="42"/>
  <c r="P13" i="43"/>
  <c r="O13" i="43"/>
  <c r="O15" i="43"/>
  <c r="N15" i="43"/>
  <c r="M22" i="43"/>
  <c r="R22" i="43" s="1"/>
  <c r="S22" i="43"/>
  <c r="N26" i="43"/>
  <c r="R26" i="43"/>
  <c r="P26" i="43"/>
  <c r="N28" i="43"/>
  <c r="S40" i="43"/>
  <c r="T42" i="43"/>
  <c r="P42" i="43"/>
  <c r="N42" i="43"/>
  <c r="Q42" i="43" s="1"/>
  <c r="M45" i="43"/>
  <c r="R45" i="43" s="1"/>
  <c r="S45" i="43"/>
  <c r="C66" i="39"/>
  <c r="J79" i="39"/>
  <c r="J80" i="39" s="1"/>
  <c r="L30" i="39"/>
  <c r="L47" i="39"/>
  <c r="J63" i="51"/>
  <c r="G77" i="51" s="1"/>
  <c r="G80" i="51" s="1"/>
  <c r="L60" i="51"/>
  <c r="I63" i="48"/>
  <c r="A11" i="12"/>
  <c r="I53" i="42"/>
  <c r="L53" i="42" s="1"/>
  <c r="P53" i="42" s="1"/>
  <c r="R41" i="42"/>
  <c r="R13" i="43"/>
  <c r="Y39" i="51"/>
  <c r="S46" i="42"/>
  <c r="M45" i="42"/>
  <c r="R45" i="42" s="1"/>
  <c r="S45" i="42"/>
  <c r="N22" i="43"/>
  <c r="P22" i="43"/>
  <c r="P29" i="43"/>
  <c r="S29" i="43"/>
  <c r="V42" i="51"/>
  <c r="C60" i="50"/>
  <c r="R26" i="41"/>
  <c r="R38" i="43"/>
  <c r="O46" i="42"/>
  <c r="S22" i="42"/>
  <c r="T22" i="42"/>
  <c r="S18" i="42"/>
  <c r="S43" i="43"/>
  <c r="P33" i="43"/>
  <c r="Q33" i="43" s="1"/>
  <c r="N29" i="43"/>
  <c r="O17" i="43"/>
  <c r="Q17" i="43" s="1"/>
  <c r="R11" i="42"/>
  <c r="O11" i="42"/>
  <c r="S11" i="42"/>
  <c r="N11" i="42"/>
  <c r="S19" i="42"/>
  <c r="N21" i="42"/>
  <c r="O21" i="42"/>
  <c r="S21" i="42"/>
  <c r="M28" i="42"/>
  <c r="R28" i="42" s="1"/>
  <c r="S28" i="42"/>
  <c r="N18" i="43"/>
  <c r="R18" i="43"/>
  <c r="T18" i="43"/>
  <c r="M23" i="43"/>
  <c r="R23" i="43" s="1"/>
  <c r="S23" i="43"/>
  <c r="R35" i="43"/>
  <c r="R43" i="43"/>
  <c r="L36" i="39"/>
  <c r="V42" i="39"/>
  <c r="L42" i="39"/>
  <c r="L29" i="51"/>
  <c r="L41" i="51"/>
  <c r="P40" i="41"/>
  <c r="R40" i="41"/>
  <c r="N40" i="41"/>
  <c r="O32" i="41"/>
  <c r="R32" i="41"/>
  <c r="N32" i="41"/>
  <c r="S24" i="41"/>
  <c r="O24" i="41"/>
  <c r="R24" i="41"/>
  <c r="N24" i="41"/>
  <c r="R17" i="42"/>
  <c r="M36" i="42"/>
  <c r="R36" i="42" s="1"/>
  <c r="S36" i="42"/>
  <c r="P42" i="41"/>
  <c r="O42" i="41"/>
  <c r="O34" i="41"/>
  <c r="P34" i="41"/>
  <c r="R18" i="41"/>
  <c r="S42" i="41"/>
  <c r="M34" i="42"/>
  <c r="R34" i="42" s="1"/>
  <c r="S34" i="42"/>
  <c r="P27" i="42"/>
  <c r="O27" i="42"/>
  <c r="P28" i="43"/>
  <c r="R30" i="42"/>
  <c r="R39" i="42"/>
  <c r="N14" i="43"/>
  <c r="T14" i="43"/>
  <c r="S14" i="43"/>
  <c r="S17" i="43"/>
  <c r="P41" i="43"/>
  <c r="N41" i="43"/>
  <c r="S44" i="43"/>
  <c r="M44" i="43"/>
  <c r="R44" i="43" s="1"/>
  <c r="N46" i="43"/>
  <c r="T46" i="43"/>
  <c r="L52" i="39"/>
  <c r="L60" i="39"/>
  <c r="L28" i="51"/>
  <c r="L39" i="51"/>
  <c r="O39" i="41"/>
  <c r="N39" i="41"/>
  <c r="N31" i="41"/>
  <c r="O31" i="41"/>
  <c r="P31" i="41"/>
  <c r="N23" i="41"/>
  <c r="O23" i="41"/>
  <c r="P15" i="41"/>
  <c r="O15" i="41"/>
  <c r="N15" i="41"/>
  <c r="R33" i="43"/>
  <c r="R17" i="43"/>
  <c r="R20" i="42"/>
  <c r="M25" i="43"/>
  <c r="R25" i="43" s="1"/>
  <c r="S25" i="43"/>
  <c r="N40" i="43"/>
  <c r="T40" i="43"/>
  <c r="R40" i="43"/>
  <c r="I66" i="51"/>
  <c r="I75" i="51" s="1"/>
  <c r="G66" i="51"/>
  <c r="H66" i="51"/>
  <c r="H75" i="51" s="1"/>
  <c r="Y40" i="51"/>
  <c r="R35" i="42"/>
  <c r="O18" i="41"/>
  <c r="P37" i="42"/>
  <c r="O15" i="42"/>
  <c r="P11" i="43"/>
  <c r="T20" i="43"/>
  <c r="S20" i="43"/>
  <c r="R20" i="43"/>
  <c r="N20" i="43"/>
  <c r="P20" i="43"/>
  <c r="Q36" i="43"/>
  <c r="L49" i="39"/>
  <c r="L53" i="39"/>
  <c r="P35" i="42"/>
  <c r="C7" i="41"/>
  <c r="Q4" i="41"/>
  <c r="S37" i="42"/>
  <c r="P40" i="43"/>
  <c r="S41" i="43"/>
  <c r="T29" i="43"/>
  <c r="S21" i="43"/>
  <c r="O11" i="43"/>
  <c r="I54" i="41"/>
  <c r="L54" i="41" s="1"/>
  <c r="P54" i="41" s="1"/>
  <c r="I55" i="41"/>
  <c r="L55" i="41" s="1"/>
  <c r="P55" i="41" s="1"/>
  <c r="I56" i="41"/>
  <c r="L56" i="41" s="1"/>
  <c r="P56" i="41" s="1"/>
  <c r="R14" i="42"/>
  <c r="P14" i="42"/>
  <c r="N14" i="42"/>
  <c r="T14" i="42"/>
  <c r="O14" i="42"/>
  <c r="N19" i="42"/>
  <c r="Q19" i="42" s="1"/>
  <c r="T19" i="42"/>
  <c r="R32" i="42"/>
  <c r="N41" i="42"/>
  <c r="P45" i="42"/>
  <c r="O45" i="42"/>
  <c r="T28" i="43"/>
  <c r="O37" i="43"/>
  <c r="S37" i="43"/>
  <c r="N37" i="43"/>
  <c r="P37" i="43"/>
  <c r="P39" i="43"/>
  <c r="T39" i="43"/>
  <c r="O39" i="43"/>
  <c r="S46" i="43"/>
  <c r="X34" i="39"/>
  <c r="H63" i="51"/>
  <c r="L35" i="51"/>
  <c r="C60" i="48"/>
  <c r="I53" i="41"/>
  <c r="L53" i="41" s="1"/>
  <c r="P53" i="41" s="1"/>
  <c r="R46" i="41"/>
  <c r="N46" i="41"/>
  <c r="Q46" i="41" s="1"/>
  <c r="T46" i="41" s="1"/>
  <c r="R38" i="41"/>
  <c r="N38" i="41"/>
  <c r="Q38" i="41" s="1"/>
  <c r="R30" i="41"/>
  <c r="N30" i="41"/>
  <c r="Q30" i="41" s="1"/>
  <c r="R22" i="41"/>
  <c r="P22" i="41"/>
  <c r="R27" i="42"/>
  <c r="R11" i="43"/>
  <c r="R15" i="43"/>
  <c r="T17" i="39"/>
  <c r="W17" i="39" s="1"/>
  <c r="T18" i="39"/>
  <c r="W18" i="39" s="1"/>
  <c r="X25" i="39"/>
  <c r="X26" i="39"/>
  <c r="L31" i="39"/>
  <c r="U42" i="39"/>
  <c r="Y38" i="39"/>
  <c r="Y39" i="39"/>
  <c r="L51" i="39"/>
  <c r="I63" i="51"/>
  <c r="C80" i="51" s="1"/>
  <c r="L27" i="51"/>
  <c r="L33" i="51"/>
  <c r="L47" i="51"/>
  <c r="L54" i="51"/>
  <c r="J73" i="51"/>
  <c r="R44" i="41"/>
  <c r="R36" i="41"/>
  <c r="R28" i="41"/>
  <c r="R32" i="43"/>
  <c r="R16" i="43"/>
  <c r="Q16" i="42"/>
  <c r="S39" i="41"/>
  <c r="S15" i="42"/>
  <c r="K56" i="43"/>
  <c r="K57" i="43" s="1"/>
  <c r="S42" i="43"/>
  <c r="K26" i="39"/>
  <c r="L33" i="39"/>
  <c r="L35" i="39"/>
  <c r="L40" i="39"/>
  <c r="L50" i="39"/>
  <c r="L57" i="39"/>
  <c r="M14" i="51"/>
  <c r="V14" i="51" s="1"/>
  <c r="X28" i="51"/>
  <c r="X29" i="51"/>
  <c r="L48" i="51"/>
  <c r="I54" i="43"/>
  <c r="R12" i="43"/>
  <c r="Q31" i="42"/>
  <c r="T12" i="43"/>
  <c r="S38" i="43"/>
  <c r="T19" i="39"/>
  <c r="W19" i="39" s="1"/>
  <c r="K25" i="39"/>
  <c r="X30" i="39"/>
  <c r="L38" i="39"/>
  <c r="L54" i="39"/>
  <c r="L61" i="39"/>
  <c r="J73" i="39"/>
  <c r="T19" i="51"/>
  <c r="U19" i="51" s="1"/>
  <c r="M15" i="51"/>
  <c r="V15" i="51" s="1"/>
  <c r="L31" i="51"/>
  <c r="L52" i="51"/>
  <c r="U16" i="44"/>
  <c r="U32" i="44"/>
  <c r="R27" i="43"/>
  <c r="Q39" i="42"/>
  <c r="S23" i="41"/>
  <c r="M57" i="43"/>
  <c r="I63" i="39"/>
  <c r="C80" i="39" s="1"/>
  <c r="L34" i="39"/>
  <c r="Y41" i="39"/>
  <c r="L43" i="39"/>
  <c r="L58" i="39"/>
  <c r="J69" i="39"/>
  <c r="J71" i="39"/>
  <c r="Q21" i="51"/>
  <c r="L46" i="51"/>
  <c r="L56" i="51"/>
  <c r="R34" i="43"/>
  <c r="A12" i="12"/>
  <c r="I68" i="39"/>
  <c r="J67" i="39"/>
  <c r="I67" i="39"/>
  <c r="L27" i="39"/>
  <c r="J63" i="39"/>
  <c r="H63" i="39"/>
  <c r="X29" i="39"/>
  <c r="U31" i="39"/>
  <c r="P21" i="39"/>
  <c r="J77" i="39" s="1"/>
  <c r="Q21" i="39"/>
  <c r="T14" i="39"/>
  <c r="M19" i="39"/>
  <c r="V19" i="39" s="1"/>
  <c r="M15" i="39"/>
  <c r="V15" i="39" s="1"/>
  <c r="R14" i="41"/>
  <c r="P18" i="41"/>
  <c r="O22" i="41"/>
  <c r="N22" i="41"/>
  <c r="O11" i="41"/>
  <c r="N16" i="41"/>
  <c r="S12" i="41"/>
  <c r="N18" i="41"/>
  <c r="R20" i="41"/>
  <c r="N14" i="41"/>
  <c r="R16" i="41"/>
  <c r="R11" i="41"/>
  <c r="R21" i="41"/>
  <c r="R17" i="41"/>
  <c r="R13" i="41"/>
  <c r="N21" i="41"/>
  <c r="S20" i="41"/>
  <c r="C60" i="44"/>
  <c r="C61" i="44"/>
  <c r="A10" i="12"/>
  <c r="V31" i="51"/>
  <c r="C78" i="51" s="1"/>
  <c r="X27" i="51"/>
  <c r="X30" i="51"/>
  <c r="X25" i="51"/>
  <c r="V31" i="39"/>
  <c r="C78" i="39" s="1"/>
  <c r="P24" i="41"/>
  <c r="P12" i="41"/>
  <c r="O40" i="41"/>
  <c r="S28" i="41"/>
  <c r="P16" i="41"/>
  <c r="S40" i="41"/>
  <c r="O36" i="41"/>
  <c r="S16" i="41"/>
  <c r="O13" i="41"/>
  <c r="S36" i="41"/>
  <c r="S38" i="41"/>
  <c r="S34" i="41"/>
  <c r="S30" i="41"/>
  <c r="T30" i="41" s="1"/>
  <c r="S18" i="41"/>
  <c r="S11" i="41"/>
  <c r="Q29" i="41"/>
  <c r="P45" i="41"/>
  <c r="S46" i="41"/>
  <c r="S45" i="41"/>
  <c r="Q44" i="41"/>
  <c r="S44" i="41"/>
  <c r="T34" i="41"/>
  <c r="S14" i="41"/>
  <c r="Q17" i="41"/>
  <c r="O21" i="41"/>
  <c r="S27" i="41"/>
  <c r="Q33" i="41"/>
  <c r="O37" i="41"/>
  <c r="S43" i="41"/>
  <c r="Q20" i="41"/>
  <c r="T42" i="41"/>
  <c r="S15" i="41"/>
  <c r="S31" i="41"/>
  <c r="T26" i="41"/>
  <c r="Q25" i="41"/>
  <c r="Q41" i="41"/>
  <c r="T22" i="41"/>
  <c r="O14" i="41"/>
  <c r="U14" i="51"/>
  <c r="R21" i="51"/>
  <c r="C77" i="51" s="1"/>
  <c r="R21" i="39"/>
  <c r="C77" i="39" s="1"/>
  <c r="Q57" i="43"/>
  <c r="AD57" i="48"/>
  <c r="I62" i="48" s="1"/>
  <c r="AD57" i="49"/>
  <c r="I62" i="49" s="1"/>
  <c r="AD57" i="50"/>
  <c r="I62" i="50" s="1"/>
  <c r="I64" i="48"/>
  <c r="I64" i="49"/>
  <c r="I64" i="50"/>
  <c r="I63" i="44"/>
  <c r="U56" i="48"/>
  <c r="U56" i="49"/>
  <c r="U56" i="50"/>
  <c r="L17" i="50"/>
  <c r="M17" i="50" s="1"/>
  <c r="L14" i="50"/>
  <c r="M14" i="50" s="1"/>
  <c r="L15" i="50"/>
  <c r="M15" i="50" s="1"/>
  <c r="L16" i="50"/>
  <c r="L18" i="50"/>
  <c r="M18" i="50" s="1"/>
  <c r="L19" i="50"/>
  <c r="M19" i="50" s="1"/>
  <c r="L20" i="50"/>
  <c r="M20" i="50" s="1"/>
  <c r="L21" i="50"/>
  <c r="M21" i="50" s="1"/>
  <c r="L22" i="50"/>
  <c r="M22" i="50" s="1"/>
  <c r="L23" i="50"/>
  <c r="M23" i="50" s="1"/>
  <c r="L24" i="50"/>
  <c r="M24" i="50" s="1"/>
  <c r="L25" i="50"/>
  <c r="M25" i="50" s="1"/>
  <c r="L26" i="50"/>
  <c r="M26" i="50" s="1"/>
  <c r="L27" i="50"/>
  <c r="M27" i="50" s="1"/>
  <c r="L28" i="50"/>
  <c r="M28" i="50" s="1"/>
  <c r="L29" i="50"/>
  <c r="L30" i="50"/>
  <c r="M30" i="50" s="1"/>
  <c r="L31" i="50"/>
  <c r="M31" i="50" s="1"/>
  <c r="L32" i="50"/>
  <c r="M32" i="50" s="1"/>
  <c r="L33" i="50"/>
  <c r="M33" i="50" s="1"/>
  <c r="L34" i="50"/>
  <c r="M34" i="50" s="1"/>
  <c r="L35" i="50"/>
  <c r="M35" i="50" s="1"/>
  <c r="L36" i="50"/>
  <c r="M36" i="50" s="1"/>
  <c r="L37" i="50"/>
  <c r="M37" i="50" s="1"/>
  <c r="L38" i="50"/>
  <c r="M38" i="50" s="1"/>
  <c r="L39" i="50"/>
  <c r="M39" i="50" s="1"/>
  <c r="L40" i="50"/>
  <c r="M40" i="50" s="1"/>
  <c r="L41" i="50"/>
  <c r="M41" i="50" s="1"/>
  <c r="L42" i="50"/>
  <c r="M42" i="50" s="1"/>
  <c r="L43" i="50"/>
  <c r="M43" i="50" s="1"/>
  <c r="L44" i="50"/>
  <c r="M44" i="50" s="1"/>
  <c r="L45" i="50"/>
  <c r="L46" i="50"/>
  <c r="M46" i="50" s="1"/>
  <c r="L47" i="50"/>
  <c r="M47" i="50" s="1"/>
  <c r="L48" i="50"/>
  <c r="M48" i="50" s="1"/>
  <c r="L49" i="50"/>
  <c r="M49" i="50" s="1"/>
  <c r="L50" i="50"/>
  <c r="M50" i="50" s="1"/>
  <c r="L51" i="50"/>
  <c r="M51" i="50" s="1"/>
  <c r="L52" i="50"/>
  <c r="M52" i="50" s="1"/>
  <c r="L53" i="50"/>
  <c r="M53" i="50" s="1"/>
  <c r="L54" i="50"/>
  <c r="M54" i="50" s="1"/>
  <c r="L15" i="49"/>
  <c r="M15" i="49" s="1"/>
  <c r="L16" i="49"/>
  <c r="M16" i="49" s="1"/>
  <c r="L17" i="49"/>
  <c r="M17" i="49" s="1"/>
  <c r="L18" i="49"/>
  <c r="L20" i="49"/>
  <c r="M20" i="49" s="1"/>
  <c r="L21" i="49"/>
  <c r="M21" i="49" s="1"/>
  <c r="L27" i="49"/>
  <c r="M27" i="49" s="1"/>
  <c r="L28" i="49"/>
  <c r="M28" i="49" s="1"/>
  <c r="L31" i="49"/>
  <c r="M31" i="49" s="1"/>
  <c r="L32" i="49"/>
  <c r="M32" i="49" s="1"/>
  <c r="L33" i="49"/>
  <c r="M33" i="49" s="1"/>
  <c r="L34" i="49"/>
  <c r="L40" i="49"/>
  <c r="M40" i="49" s="1"/>
  <c r="L14" i="49"/>
  <c r="L19" i="49"/>
  <c r="M19" i="49" s="1"/>
  <c r="L22" i="49"/>
  <c r="L23" i="49"/>
  <c r="M23" i="49" s="1"/>
  <c r="L24" i="49"/>
  <c r="M24" i="49" s="1"/>
  <c r="L25" i="49"/>
  <c r="M25" i="49" s="1"/>
  <c r="L26" i="49"/>
  <c r="M26" i="49" s="1"/>
  <c r="L29" i="49"/>
  <c r="M29" i="49" s="1"/>
  <c r="L30" i="49"/>
  <c r="M30" i="49" s="1"/>
  <c r="L35" i="49"/>
  <c r="M35" i="49" s="1"/>
  <c r="L36" i="49"/>
  <c r="M36" i="49" s="1"/>
  <c r="L37" i="49"/>
  <c r="M37" i="49" s="1"/>
  <c r="L38" i="49"/>
  <c r="M38" i="49" s="1"/>
  <c r="L39" i="49"/>
  <c r="M39" i="49" s="1"/>
  <c r="L41" i="49"/>
  <c r="M41" i="49" s="1"/>
  <c r="L42" i="49"/>
  <c r="M42" i="49" s="1"/>
  <c r="L43" i="49"/>
  <c r="M43" i="49" s="1"/>
  <c r="L44" i="49"/>
  <c r="M44" i="49" s="1"/>
  <c r="L45" i="49"/>
  <c r="M45" i="49" s="1"/>
  <c r="L46" i="49"/>
  <c r="M46" i="49" s="1"/>
  <c r="L47" i="49"/>
  <c r="M47" i="49" s="1"/>
  <c r="L48" i="49"/>
  <c r="M48" i="49" s="1"/>
  <c r="L49" i="49"/>
  <c r="M49" i="49" s="1"/>
  <c r="L50" i="49"/>
  <c r="M50" i="49" s="1"/>
  <c r="L51" i="49"/>
  <c r="M51" i="49" s="1"/>
  <c r="L52" i="49"/>
  <c r="M52" i="49" s="1"/>
  <c r="L53" i="49"/>
  <c r="M53" i="49" s="1"/>
  <c r="L54" i="49"/>
  <c r="M54" i="49" s="1"/>
  <c r="L16" i="48"/>
  <c r="M16" i="48" s="1"/>
  <c r="L17" i="48"/>
  <c r="M17" i="48" s="1"/>
  <c r="L18" i="48"/>
  <c r="M18" i="48" s="1"/>
  <c r="L23" i="48"/>
  <c r="M23" i="48" s="1"/>
  <c r="L24" i="48"/>
  <c r="M24" i="48" s="1"/>
  <c r="L25" i="48"/>
  <c r="M25" i="48" s="1"/>
  <c r="L27" i="48"/>
  <c r="M27" i="48" s="1"/>
  <c r="L28" i="48"/>
  <c r="M28" i="48" s="1"/>
  <c r="L35" i="48"/>
  <c r="M35" i="48" s="1"/>
  <c r="L15" i="48"/>
  <c r="M15" i="48" s="1"/>
  <c r="L19" i="48"/>
  <c r="M19" i="48" s="1"/>
  <c r="L20" i="48"/>
  <c r="M20" i="48" s="1"/>
  <c r="L21" i="48"/>
  <c r="M21" i="48" s="1"/>
  <c r="L22" i="48"/>
  <c r="M22" i="48" s="1"/>
  <c r="L26" i="48"/>
  <c r="M26" i="48" s="1"/>
  <c r="L29" i="48"/>
  <c r="M29" i="48" s="1"/>
  <c r="L30" i="48"/>
  <c r="M30" i="48" s="1"/>
  <c r="L31" i="48"/>
  <c r="L32" i="48"/>
  <c r="M32" i="48" s="1"/>
  <c r="L33" i="48"/>
  <c r="M33" i="48" s="1"/>
  <c r="L34" i="48"/>
  <c r="M34" i="48" s="1"/>
  <c r="L14" i="48"/>
  <c r="M14" i="48" s="1"/>
  <c r="L36" i="48"/>
  <c r="M36" i="48" s="1"/>
  <c r="L37" i="48"/>
  <c r="L38" i="48"/>
  <c r="M38" i="48" s="1"/>
  <c r="L39" i="48"/>
  <c r="M39" i="48" s="1"/>
  <c r="L40" i="48"/>
  <c r="M40" i="48" s="1"/>
  <c r="L41" i="48"/>
  <c r="M41" i="48" s="1"/>
  <c r="L42" i="48"/>
  <c r="M42" i="48" s="1"/>
  <c r="L43" i="48"/>
  <c r="M43" i="48" s="1"/>
  <c r="L44" i="48"/>
  <c r="M44" i="48" s="1"/>
  <c r="L45" i="48"/>
  <c r="M45" i="48" s="1"/>
  <c r="L46" i="48"/>
  <c r="M46" i="48" s="1"/>
  <c r="L47" i="48"/>
  <c r="M47" i="48" s="1"/>
  <c r="L48" i="48"/>
  <c r="M48" i="48" s="1"/>
  <c r="L49" i="48"/>
  <c r="M49" i="48" s="1"/>
  <c r="L50" i="48"/>
  <c r="M50" i="48" s="1"/>
  <c r="L51" i="48"/>
  <c r="M51" i="48" s="1"/>
  <c r="L52" i="48"/>
  <c r="M52" i="48" s="1"/>
  <c r="L53" i="48"/>
  <c r="M53" i="48" s="1"/>
  <c r="L54" i="48"/>
  <c r="M54" i="48" s="1"/>
  <c r="AD57" i="44"/>
  <c r="W48" i="44"/>
  <c r="L15" i="44"/>
  <c r="M15" i="44" s="1"/>
  <c r="L16" i="44"/>
  <c r="M16" i="44" s="1"/>
  <c r="L17" i="44"/>
  <c r="M17" i="44" s="1"/>
  <c r="L18" i="44"/>
  <c r="M18" i="44" s="1"/>
  <c r="L19" i="44"/>
  <c r="M19" i="44" s="1"/>
  <c r="L20" i="44"/>
  <c r="M20" i="44" s="1"/>
  <c r="L21" i="44"/>
  <c r="M21" i="44" s="1"/>
  <c r="L22" i="44"/>
  <c r="M22" i="44" s="1"/>
  <c r="L23" i="44"/>
  <c r="M23" i="44" s="1"/>
  <c r="L24" i="44"/>
  <c r="M24" i="44" s="1"/>
  <c r="L25" i="44"/>
  <c r="M25" i="44" s="1"/>
  <c r="L26" i="44"/>
  <c r="M26" i="44" s="1"/>
  <c r="L27" i="44"/>
  <c r="M27" i="44" s="1"/>
  <c r="L28" i="44"/>
  <c r="M28" i="44" s="1"/>
  <c r="L29" i="44"/>
  <c r="M29" i="44" s="1"/>
  <c r="L30" i="44"/>
  <c r="M30" i="44" s="1"/>
  <c r="L31" i="44"/>
  <c r="M31" i="44" s="1"/>
  <c r="L32" i="44"/>
  <c r="M32" i="44" s="1"/>
  <c r="L33" i="44"/>
  <c r="M33" i="44" s="1"/>
  <c r="L34" i="44"/>
  <c r="M34" i="44" s="1"/>
  <c r="L35" i="44"/>
  <c r="M35" i="44" s="1"/>
  <c r="L36" i="44"/>
  <c r="M36" i="44" s="1"/>
  <c r="L37" i="44"/>
  <c r="M37" i="44" s="1"/>
  <c r="L38" i="44"/>
  <c r="M38" i="44" s="1"/>
  <c r="L39" i="44"/>
  <c r="M39" i="44" s="1"/>
  <c r="L40" i="44"/>
  <c r="M40" i="44" s="1"/>
  <c r="L41" i="44"/>
  <c r="M41" i="44" s="1"/>
  <c r="Q57" i="42"/>
  <c r="Q57" i="41"/>
  <c r="O24" i="43"/>
  <c r="T24" i="43"/>
  <c r="N24" i="43"/>
  <c r="T12" i="41"/>
  <c r="T39" i="42"/>
  <c r="T43" i="42"/>
  <c r="N43" i="42"/>
  <c r="Q43" i="42" s="1"/>
  <c r="M15" i="41"/>
  <c r="R15" i="41" s="1"/>
  <c r="M19" i="41"/>
  <c r="R19" i="41" s="1"/>
  <c r="M23" i="41"/>
  <c r="R23" i="41" s="1"/>
  <c r="M27" i="41"/>
  <c r="R27" i="41" s="1"/>
  <c r="M31" i="41"/>
  <c r="R31" i="41" s="1"/>
  <c r="M35" i="41"/>
  <c r="R35" i="41" s="1"/>
  <c r="M39" i="41"/>
  <c r="R39" i="41" s="1"/>
  <c r="M43" i="41"/>
  <c r="R43" i="41" s="1"/>
  <c r="T13" i="42"/>
  <c r="T37" i="42"/>
  <c r="J57" i="42"/>
  <c r="T21" i="42"/>
  <c r="O16" i="43"/>
  <c r="T16" i="43"/>
  <c r="N16" i="43"/>
  <c r="K56" i="42"/>
  <c r="K55" i="42"/>
  <c r="T41" i="42"/>
  <c r="S13" i="41"/>
  <c r="S17" i="41"/>
  <c r="S21" i="41"/>
  <c r="S25" i="41"/>
  <c r="S29" i="41"/>
  <c r="S33" i="41"/>
  <c r="S37" i="41"/>
  <c r="S41" i="41"/>
  <c r="N29" i="42"/>
  <c r="M57" i="42"/>
  <c r="S24" i="43"/>
  <c r="S18" i="43"/>
  <c r="S26" i="43"/>
  <c r="N32" i="43"/>
  <c r="Q32" i="43" s="1"/>
  <c r="S34" i="43"/>
  <c r="N38" i="43"/>
  <c r="N44" i="43"/>
  <c r="S32" i="43"/>
  <c r="P4" i="43"/>
  <c r="O12" i="43"/>
  <c r="O14" i="43"/>
  <c r="O18" i="43"/>
  <c r="Q18" i="43" s="1"/>
  <c r="O22" i="43"/>
  <c r="O26" i="43"/>
  <c r="O30" i="43"/>
  <c r="Q30" i="43" s="1"/>
  <c r="T32" i="43"/>
  <c r="O34" i="43"/>
  <c r="M36" i="43"/>
  <c r="R36" i="43" s="1"/>
  <c r="T38" i="43"/>
  <c r="O40" i="43"/>
  <c r="M42" i="43"/>
  <c r="T44" i="43"/>
  <c r="O46" i="43"/>
  <c r="Q46" i="43" s="1"/>
  <c r="L55" i="43"/>
  <c r="P55" i="43" s="1"/>
  <c r="L28" i="39"/>
  <c r="Y34" i="39"/>
  <c r="W37" i="39"/>
  <c r="X37" i="39" s="1"/>
  <c r="Y34" i="51"/>
  <c r="W37" i="51"/>
  <c r="W42" i="51" s="1"/>
  <c r="T15" i="39"/>
  <c r="U15" i="39" s="1"/>
  <c r="T17" i="51"/>
  <c r="W17" i="51" s="1"/>
  <c r="T18" i="51"/>
  <c r="U18" i="51" s="1"/>
  <c r="U31" i="51"/>
  <c r="Q35" i="43" l="1"/>
  <c r="Q40" i="42"/>
  <c r="U38" i="42"/>
  <c r="V38" i="42" s="1"/>
  <c r="Q20" i="42"/>
  <c r="Q13" i="41"/>
  <c r="Q37" i="41"/>
  <c r="T37" i="41" s="1"/>
  <c r="Q41" i="43"/>
  <c r="U41" i="43" s="1"/>
  <c r="V41" i="43" s="1"/>
  <c r="U35" i="43"/>
  <c r="V35" i="43" s="1"/>
  <c r="Q34" i="41"/>
  <c r="Q31" i="43"/>
  <c r="U31" i="43" s="1"/>
  <c r="V31" i="43" s="1"/>
  <c r="U30" i="43"/>
  <c r="V30" i="43" s="1"/>
  <c r="Q24" i="41"/>
  <c r="U24" i="41" s="1"/>
  <c r="V24" i="41" s="1"/>
  <c r="Q41" i="42"/>
  <c r="U41" i="42" s="1"/>
  <c r="V41" i="42" s="1"/>
  <c r="Q13" i="42"/>
  <c r="U13" i="42" s="1"/>
  <c r="V13" i="42" s="1"/>
  <c r="K57" i="42"/>
  <c r="U26" i="42"/>
  <c r="V26" i="42" s="1"/>
  <c r="Q30" i="42"/>
  <c r="U30" i="42" s="1"/>
  <c r="V30" i="42" s="1"/>
  <c r="Q24" i="42"/>
  <c r="U24" i="42" s="1"/>
  <c r="V24" i="42" s="1"/>
  <c r="Q27" i="42"/>
  <c r="U27" i="42" s="1"/>
  <c r="V27" i="42" s="1"/>
  <c r="Q34" i="43"/>
  <c r="U34" i="43" s="1"/>
  <c r="V34" i="43" s="1"/>
  <c r="Q43" i="43"/>
  <c r="U43" i="43" s="1"/>
  <c r="V43" i="43" s="1"/>
  <c r="U21" i="43"/>
  <c r="V21" i="43" s="1"/>
  <c r="U27" i="43"/>
  <c r="V27" i="43" s="1"/>
  <c r="U17" i="43"/>
  <c r="V17" i="43" s="1"/>
  <c r="U46" i="43"/>
  <c r="V46" i="43" s="1"/>
  <c r="U45" i="43"/>
  <c r="V45" i="43" s="1"/>
  <c r="U25" i="42"/>
  <c r="V25" i="42" s="1"/>
  <c r="U19" i="42"/>
  <c r="V19" i="42" s="1"/>
  <c r="U42" i="42"/>
  <c r="V42" i="42" s="1"/>
  <c r="U40" i="42"/>
  <c r="V40" i="42" s="1"/>
  <c r="U31" i="42"/>
  <c r="V31" i="42" s="1"/>
  <c r="Q12" i="41"/>
  <c r="Q14" i="43"/>
  <c r="U14" i="43" s="1"/>
  <c r="V14" i="43" s="1"/>
  <c r="U18" i="42"/>
  <c r="V18" i="42" s="1"/>
  <c r="Q36" i="41"/>
  <c r="U36" i="41" s="1"/>
  <c r="V36" i="41" s="1"/>
  <c r="Q26" i="41"/>
  <c r="U26" i="41" s="1"/>
  <c r="V26" i="41" s="1"/>
  <c r="P45" i="44"/>
  <c r="AC45" i="44" s="1"/>
  <c r="V45" i="44"/>
  <c r="W14" i="48"/>
  <c r="Q29" i="43"/>
  <c r="U29" i="43" s="1"/>
  <c r="V29" i="43" s="1"/>
  <c r="U32" i="42"/>
  <c r="V32" i="42" s="1"/>
  <c r="P48" i="42"/>
  <c r="W46" i="48"/>
  <c r="W50" i="49"/>
  <c r="Q45" i="42"/>
  <c r="U45" i="42" s="1"/>
  <c r="V45" i="42" s="1"/>
  <c r="Q36" i="42"/>
  <c r="U36" i="42" s="1"/>
  <c r="V36" i="42" s="1"/>
  <c r="W36" i="49"/>
  <c r="W54" i="50"/>
  <c r="U20" i="42"/>
  <c r="V20" i="42" s="1"/>
  <c r="M34" i="49"/>
  <c r="W34" i="49" s="1"/>
  <c r="W25" i="48"/>
  <c r="U34" i="41"/>
  <c r="V34" i="41" s="1"/>
  <c r="M79" i="51"/>
  <c r="M80" i="51" s="1"/>
  <c r="M45" i="50"/>
  <c r="P45" i="50" s="1"/>
  <c r="AC45" i="50" s="1"/>
  <c r="U16" i="51"/>
  <c r="Y16" i="51" s="1"/>
  <c r="Q15" i="42"/>
  <c r="U15" i="42" s="1"/>
  <c r="V15" i="42" s="1"/>
  <c r="Q44" i="42"/>
  <c r="U44" i="42" s="1"/>
  <c r="V44" i="42" s="1"/>
  <c r="S48" i="42"/>
  <c r="T56" i="42" s="1"/>
  <c r="N15" i="12" s="1"/>
  <c r="U25" i="43"/>
  <c r="V25" i="43" s="1"/>
  <c r="M29" i="50"/>
  <c r="W29" i="50" s="1"/>
  <c r="W26" i="49"/>
  <c r="W28" i="49"/>
  <c r="O48" i="42"/>
  <c r="M18" i="49"/>
  <c r="P18" i="49" s="1"/>
  <c r="AC18" i="49" s="1"/>
  <c r="W22" i="48"/>
  <c r="W17" i="48"/>
  <c r="Q46" i="42"/>
  <c r="U46" i="42" s="1"/>
  <c r="V46" i="42" s="1"/>
  <c r="U15" i="51"/>
  <c r="Y15" i="51" s="1"/>
  <c r="M22" i="49"/>
  <c r="W22" i="49" s="1"/>
  <c r="M37" i="48"/>
  <c r="V37" i="48" s="1"/>
  <c r="W50" i="48"/>
  <c r="M16" i="50"/>
  <c r="W16" i="50" s="1"/>
  <c r="M14" i="49"/>
  <c r="W14" i="49" s="1"/>
  <c r="M31" i="48"/>
  <c r="W31" i="48" s="1"/>
  <c r="Q39" i="43"/>
  <c r="U39" i="43" s="1"/>
  <c r="V39" i="43" s="1"/>
  <c r="Q38" i="43"/>
  <c r="U38" i="43" s="1"/>
  <c r="V38" i="43" s="1"/>
  <c r="Q17" i="42"/>
  <c r="U17" i="42" s="1"/>
  <c r="V17" i="42" s="1"/>
  <c r="U12" i="42"/>
  <c r="V12" i="42" s="1"/>
  <c r="Q42" i="41"/>
  <c r="U42" i="41" s="1"/>
  <c r="V42" i="41" s="1"/>
  <c r="Q18" i="41"/>
  <c r="T18" i="41" s="1"/>
  <c r="V14" i="44"/>
  <c r="W14" i="44"/>
  <c r="Y14" i="51"/>
  <c r="U16" i="39"/>
  <c r="Y16" i="39" s="1"/>
  <c r="U17" i="39"/>
  <c r="Y17" i="39" s="1"/>
  <c r="U19" i="39"/>
  <c r="Y19" i="39" s="1"/>
  <c r="L63" i="51"/>
  <c r="Q11" i="43"/>
  <c r="Q20" i="43"/>
  <c r="U20" i="43" s="1"/>
  <c r="V20" i="43" s="1"/>
  <c r="Q19" i="43"/>
  <c r="U19" i="43" s="1"/>
  <c r="V19" i="43" s="1"/>
  <c r="U28" i="42"/>
  <c r="V28" i="42" s="1"/>
  <c r="Q22" i="42"/>
  <c r="U22" i="42" s="1"/>
  <c r="V22" i="42" s="1"/>
  <c r="Q14" i="42"/>
  <c r="U14" i="42" s="1"/>
  <c r="V14" i="42" s="1"/>
  <c r="Q37" i="42"/>
  <c r="U37" i="42" s="1"/>
  <c r="V37" i="42" s="1"/>
  <c r="Q22" i="41"/>
  <c r="U22" i="41" s="1"/>
  <c r="V22" i="41" s="1"/>
  <c r="Q22" i="43"/>
  <c r="U22" i="43" s="1"/>
  <c r="V22" i="43" s="1"/>
  <c r="U34" i="42"/>
  <c r="V34" i="42" s="1"/>
  <c r="U39" i="42"/>
  <c r="V39" i="42" s="1"/>
  <c r="U16" i="42"/>
  <c r="V16" i="42" s="1"/>
  <c r="Q32" i="41"/>
  <c r="U32" i="41" s="1"/>
  <c r="V32" i="41" s="1"/>
  <c r="U56" i="44"/>
  <c r="T38" i="41"/>
  <c r="U38" i="41"/>
  <c r="V38" i="41" s="1"/>
  <c r="G66" i="39"/>
  <c r="H66" i="39"/>
  <c r="H75" i="39" s="1"/>
  <c r="U18" i="39"/>
  <c r="Y18" i="39" s="1"/>
  <c r="Q40" i="43"/>
  <c r="U40" i="43" s="1"/>
  <c r="V40" i="43" s="1"/>
  <c r="U18" i="43"/>
  <c r="V18" i="43" s="1"/>
  <c r="Q44" i="43"/>
  <c r="U44" i="43" s="1"/>
  <c r="V44" i="43" s="1"/>
  <c r="Q14" i="41"/>
  <c r="U14" i="41" s="1"/>
  <c r="V14" i="41" s="1"/>
  <c r="Q40" i="41"/>
  <c r="U40" i="41" s="1"/>
  <c r="V40" i="41" s="1"/>
  <c r="G77" i="39"/>
  <c r="G80" i="39" s="1"/>
  <c r="Q11" i="42"/>
  <c r="Q13" i="43"/>
  <c r="U13" i="43" s="1"/>
  <c r="V13" i="43" s="1"/>
  <c r="V21" i="51"/>
  <c r="J78" i="51" s="1"/>
  <c r="Q37" i="43"/>
  <c r="U37" i="43" s="1"/>
  <c r="V37" i="43" s="1"/>
  <c r="L56" i="43"/>
  <c r="P56" i="43" s="1"/>
  <c r="Q28" i="43"/>
  <c r="U28" i="43" s="1"/>
  <c r="V28" i="43" s="1"/>
  <c r="T21" i="51"/>
  <c r="G79" i="51" s="1"/>
  <c r="G82" i="51" s="1"/>
  <c r="W53" i="44"/>
  <c r="X53" i="44" s="1"/>
  <c r="I57" i="41"/>
  <c r="U23" i="43"/>
  <c r="V23" i="43" s="1"/>
  <c r="W19" i="51"/>
  <c r="Y19" i="51" s="1"/>
  <c r="L63" i="39"/>
  <c r="U36" i="43"/>
  <c r="V36" i="43" s="1"/>
  <c r="A18" i="12"/>
  <c r="J81" i="51"/>
  <c r="J66" i="51"/>
  <c r="J75" i="51" s="1"/>
  <c r="G75" i="51"/>
  <c r="C82" i="51" s="1"/>
  <c r="P48" i="43"/>
  <c r="U33" i="42"/>
  <c r="V33" i="42" s="1"/>
  <c r="Q26" i="43"/>
  <c r="U26" i="43" s="1"/>
  <c r="V26" i="43" s="1"/>
  <c r="I61" i="49"/>
  <c r="Q16" i="41"/>
  <c r="U16" i="41" s="1"/>
  <c r="V16" i="41" s="1"/>
  <c r="X31" i="39"/>
  <c r="U33" i="43"/>
  <c r="V33" i="43" s="1"/>
  <c r="Q21" i="42"/>
  <c r="U21" i="42" s="1"/>
  <c r="V21" i="42" s="1"/>
  <c r="R42" i="43"/>
  <c r="U42" i="43" s="1"/>
  <c r="V42" i="43" s="1"/>
  <c r="Q15" i="43"/>
  <c r="U15" i="43" s="1"/>
  <c r="V15" i="43" s="1"/>
  <c r="Q35" i="42"/>
  <c r="U35" i="42" s="1"/>
  <c r="V35" i="42" s="1"/>
  <c r="Q23" i="42"/>
  <c r="U23" i="42" s="1"/>
  <c r="V23" i="42" s="1"/>
  <c r="J81" i="39"/>
  <c r="J82" i="39" s="1"/>
  <c r="A17" i="12"/>
  <c r="W14" i="39"/>
  <c r="U14" i="39"/>
  <c r="V21" i="39"/>
  <c r="P48" i="41"/>
  <c r="P53" i="44"/>
  <c r="AC53" i="44" s="1"/>
  <c r="W45" i="44"/>
  <c r="X45" i="44" s="1"/>
  <c r="C81" i="51"/>
  <c r="X31" i="51"/>
  <c r="C81" i="39"/>
  <c r="U28" i="41"/>
  <c r="V28" i="41" s="1"/>
  <c r="U30" i="41"/>
  <c r="V30" i="41" s="1"/>
  <c r="U29" i="41"/>
  <c r="V29" i="41" s="1"/>
  <c r="U13" i="41"/>
  <c r="V13" i="41" s="1"/>
  <c r="U20" i="41"/>
  <c r="V20" i="41" s="1"/>
  <c r="U33" i="41"/>
  <c r="V33" i="41" s="1"/>
  <c r="U17" i="41"/>
  <c r="V17" i="41" s="1"/>
  <c r="Q21" i="41"/>
  <c r="U21" i="41" s="1"/>
  <c r="V21" i="41" s="1"/>
  <c r="U41" i="41"/>
  <c r="V41" i="41" s="1"/>
  <c r="U46" i="41"/>
  <c r="V46" i="41" s="1"/>
  <c r="U37" i="41"/>
  <c r="V37" i="41" s="1"/>
  <c r="T13" i="41"/>
  <c r="T25" i="41"/>
  <c r="T41" i="41"/>
  <c r="Q45" i="41"/>
  <c r="T45" i="41" s="1"/>
  <c r="U44" i="41"/>
  <c r="V44" i="41" s="1"/>
  <c r="T44" i="41"/>
  <c r="Q39" i="41"/>
  <c r="Q23" i="41"/>
  <c r="T14" i="41"/>
  <c r="Q11" i="41"/>
  <c r="U25" i="41"/>
  <c r="V25" i="41" s="1"/>
  <c r="T33" i="41"/>
  <c r="O48" i="41"/>
  <c r="Q43" i="41"/>
  <c r="T43" i="41" s="1"/>
  <c r="T29" i="41"/>
  <c r="T16" i="41"/>
  <c r="T32" i="41"/>
  <c r="T40" i="41"/>
  <c r="Q31" i="41"/>
  <c r="T31" i="41" s="1"/>
  <c r="Q27" i="41"/>
  <c r="T27" i="41" s="1"/>
  <c r="T17" i="41"/>
  <c r="T24" i="41"/>
  <c r="T36" i="41"/>
  <c r="Q35" i="41"/>
  <c r="Q19" i="41"/>
  <c r="Q15" i="41"/>
  <c r="T15" i="41" s="1"/>
  <c r="T20" i="41"/>
  <c r="T28" i="41"/>
  <c r="P57" i="41"/>
  <c r="L57" i="41"/>
  <c r="P49" i="44"/>
  <c r="AC49" i="44" s="1"/>
  <c r="W47" i="44"/>
  <c r="Z47" i="44" s="1"/>
  <c r="P47" i="44"/>
  <c r="AC47" i="44" s="1"/>
  <c r="W49" i="44"/>
  <c r="X49" i="44" s="1"/>
  <c r="P51" i="44"/>
  <c r="AC51" i="44" s="1"/>
  <c r="P43" i="44"/>
  <c r="AC43" i="44" s="1"/>
  <c r="W51" i="44"/>
  <c r="Z51" i="44" s="1"/>
  <c r="W43" i="44"/>
  <c r="I61" i="50"/>
  <c r="I61" i="48"/>
  <c r="P47" i="50"/>
  <c r="AC47" i="50" s="1"/>
  <c r="V47" i="50"/>
  <c r="W47" i="50"/>
  <c r="V35" i="50"/>
  <c r="P35" i="50"/>
  <c r="AC35" i="50" s="1"/>
  <c r="W35" i="50"/>
  <c r="P31" i="50"/>
  <c r="AC31" i="50" s="1"/>
  <c r="V31" i="50"/>
  <c r="W31" i="50"/>
  <c r="V23" i="50"/>
  <c r="P23" i="50"/>
  <c r="AC23" i="50" s="1"/>
  <c r="W23" i="50"/>
  <c r="P52" i="50"/>
  <c r="AC52" i="50" s="1"/>
  <c r="V52" i="50"/>
  <c r="W52" i="50"/>
  <c r="V40" i="50"/>
  <c r="P40" i="50"/>
  <c r="AC40" i="50" s="1"/>
  <c r="W40" i="50"/>
  <c r="V32" i="50"/>
  <c r="P32" i="50"/>
  <c r="AC32" i="50" s="1"/>
  <c r="W32" i="50"/>
  <c r="P24" i="50"/>
  <c r="AC24" i="50" s="1"/>
  <c r="V24" i="50"/>
  <c r="W24" i="50"/>
  <c r="P49" i="50"/>
  <c r="AC49" i="50" s="1"/>
  <c r="V49" i="50"/>
  <c r="W49" i="50"/>
  <c r="P41" i="50"/>
  <c r="AC41" i="50" s="1"/>
  <c r="V41" i="50"/>
  <c r="W41" i="50"/>
  <c r="V33" i="50"/>
  <c r="P33" i="50"/>
  <c r="AC33" i="50" s="1"/>
  <c r="W33" i="50"/>
  <c r="V25" i="50"/>
  <c r="P25" i="50"/>
  <c r="AC25" i="50" s="1"/>
  <c r="W25" i="50"/>
  <c r="P15" i="50"/>
  <c r="AC15" i="50" s="1"/>
  <c r="V15" i="50"/>
  <c r="W15" i="50"/>
  <c r="V51" i="50"/>
  <c r="P51" i="50"/>
  <c r="AC51" i="50" s="1"/>
  <c r="W51" i="50"/>
  <c r="P43" i="50"/>
  <c r="AC43" i="50" s="1"/>
  <c r="V43" i="50"/>
  <c r="W43" i="50"/>
  <c r="V39" i="50"/>
  <c r="P39" i="50"/>
  <c r="AC39" i="50" s="1"/>
  <c r="W39" i="50"/>
  <c r="V27" i="50"/>
  <c r="P27" i="50"/>
  <c r="AC27" i="50" s="1"/>
  <c r="W27" i="50"/>
  <c r="P19" i="50"/>
  <c r="AC19" i="50" s="1"/>
  <c r="V19" i="50"/>
  <c r="W19" i="50"/>
  <c r="V44" i="50"/>
  <c r="P44" i="50"/>
  <c r="AC44" i="50" s="1"/>
  <c r="W44" i="50"/>
  <c r="V36" i="50"/>
  <c r="P36" i="50"/>
  <c r="AC36" i="50" s="1"/>
  <c r="W36" i="50"/>
  <c r="P28" i="50"/>
  <c r="AC28" i="50" s="1"/>
  <c r="V28" i="50"/>
  <c r="W28" i="50"/>
  <c r="V20" i="50"/>
  <c r="P20" i="50"/>
  <c r="AC20" i="50" s="1"/>
  <c r="W20" i="50"/>
  <c r="P46" i="50"/>
  <c r="AC46" i="50" s="1"/>
  <c r="V46" i="50"/>
  <c r="W46" i="50"/>
  <c r="P38" i="50"/>
  <c r="AC38" i="50" s="1"/>
  <c r="V38" i="50"/>
  <c r="W38" i="50"/>
  <c r="V30" i="50"/>
  <c r="P30" i="50"/>
  <c r="AC30" i="50" s="1"/>
  <c r="W30" i="50"/>
  <c r="P26" i="50"/>
  <c r="AC26" i="50" s="1"/>
  <c r="V26" i="50"/>
  <c r="W26" i="50"/>
  <c r="P14" i="50"/>
  <c r="V14" i="50"/>
  <c r="W14" i="50"/>
  <c r="V42" i="50"/>
  <c r="P42" i="50"/>
  <c r="AC42" i="50" s="1"/>
  <c r="P22" i="50"/>
  <c r="AC22" i="50" s="1"/>
  <c r="V22" i="50"/>
  <c r="P18" i="50"/>
  <c r="AC18" i="50" s="1"/>
  <c r="V18" i="50"/>
  <c r="P53" i="50"/>
  <c r="AC53" i="50" s="1"/>
  <c r="V53" i="50"/>
  <c r="P37" i="50"/>
  <c r="AC37" i="50" s="1"/>
  <c r="V37" i="50"/>
  <c r="V21" i="50"/>
  <c r="P21" i="50"/>
  <c r="AC21" i="50" s="1"/>
  <c r="W37" i="50"/>
  <c r="W22" i="50"/>
  <c r="P54" i="50"/>
  <c r="AC54" i="50" s="1"/>
  <c r="V54" i="50"/>
  <c r="P34" i="50"/>
  <c r="AC34" i="50" s="1"/>
  <c r="V34" i="50"/>
  <c r="V48" i="50"/>
  <c r="P48" i="50"/>
  <c r="AC48" i="50" s="1"/>
  <c r="P17" i="50"/>
  <c r="AC17" i="50" s="1"/>
  <c r="V17" i="50"/>
  <c r="V50" i="50"/>
  <c r="P50" i="50"/>
  <c r="AC50" i="50" s="1"/>
  <c r="W42" i="50"/>
  <c r="W53" i="50"/>
  <c r="W21" i="50"/>
  <c r="W17" i="50"/>
  <c r="W50" i="50"/>
  <c r="W34" i="50"/>
  <c r="W18" i="50"/>
  <c r="W48" i="50"/>
  <c r="V53" i="49"/>
  <c r="P53" i="49"/>
  <c r="AC53" i="49" s="1"/>
  <c r="W53" i="49"/>
  <c r="P35" i="49"/>
  <c r="AC35" i="49" s="1"/>
  <c r="V35" i="49"/>
  <c r="W35" i="49"/>
  <c r="P40" i="49"/>
  <c r="AC40" i="49" s="1"/>
  <c r="V40" i="49"/>
  <c r="W40" i="49"/>
  <c r="V54" i="49"/>
  <c r="P54" i="49"/>
  <c r="AC54" i="49" s="1"/>
  <c r="W54" i="49"/>
  <c r="P17" i="49"/>
  <c r="AC17" i="49" s="1"/>
  <c r="V17" i="49"/>
  <c r="W17" i="49"/>
  <c r="V51" i="49"/>
  <c r="P51" i="49"/>
  <c r="AC51" i="49" s="1"/>
  <c r="W51" i="49"/>
  <c r="V47" i="49"/>
  <c r="P47" i="49"/>
  <c r="AC47" i="49" s="1"/>
  <c r="W47" i="49"/>
  <c r="V43" i="49"/>
  <c r="P43" i="49"/>
  <c r="AC43" i="49" s="1"/>
  <c r="W43" i="49"/>
  <c r="P39" i="49"/>
  <c r="AC39" i="49" s="1"/>
  <c r="V39" i="49"/>
  <c r="W39" i="49"/>
  <c r="P25" i="49"/>
  <c r="AC25" i="49" s="1"/>
  <c r="V25" i="49"/>
  <c r="W25" i="49"/>
  <c r="P31" i="49"/>
  <c r="AC31" i="49" s="1"/>
  <c r="V31" i="49"/>
  <c r="W31" i="49"/>
  <c r="P15" i="49"/>
  <c r="AC15" i="49" s="1"/>
  <c r="V15" i="49"/>
  <c r="W15" i="49"/>
  <c r="V45" i="49"/>
  <c r="P45" i="49"/>
  <c r="AC45" i="49" s="1"/>
  <c r="W45" i="49"/>
  <c r="P19" i="49"/>
  <c r="AC19" i="49" s="1"/>
  <c r="V19" i="49"/>
  <c r="W19" i="49"/>
  <c r="P20" i="49"/>
  <c r="AC20" i="49" s="1"/>
  <c r="V20" i="49"/>
  <c r="W20" i="49"/>
  <c r="V42" i="49"/>
  <c r="P42" i="49"/>
  <c r="AC42" i="49" s="1"/>
  <c r="W42" i="49"/>
  <c r="P29" i="49"/>
  <c r="AC29" i="49" s="1"/>
  <c r="V29" i="49"/>
  <c r="W29" i="49"/>
  <c r="P33" i="49"/>
  <c r="AC33" i="49" s="1"/>
  <c r="V33" i="49"/>
  <c r="W33" i="49"/>
  <c r="V52" i="49"/>
  <c r="P52" i="49"/>
  <c r="AC52" i="49" s="1"/>
  <c r="W52" i="49"/>
  <c r="V48" i="49"/>
  <c r="P48" i="49"/>
  <c r="AC48" i="49" s="1"/>
  <c r="W48" i="49"/>
  <c r="V44" i="49"/>
  <c r="P44" i="49"/>
  <c r="AC44" i="49" s="1"/>
  <c r="W44" i="49"/>
  <c r="P37" i="49"/>
  <c r="AC37" i="49" s="1"/>
  <c r="V37" i="49"/>
  <c r="W37" i="49"/>
  <c r="P23" i="49"/>
  <c r="AC23" i="49" s="1"/>
  <c r="V23" i="49"/>
  <c r="W23" i="49"/>
  <c r="P27" i="49"/>
  <c r="AC27" i="49" s="1"/>
  <c r="V27" i="49"/>
  <c r="W27" i="49"/>
  <c r="V46" i="49"/>
  <c r="P46" i="49"/>
  <c r="AC46" i="49" s="1"/>
  <c r="P32" i="49"/>
  <c r="AC32" i="49" s="1"/>
  <c r="V32" i="49"/>
  <c r="P21" i="49"/>
  <c r="AC21" i="49" s="1"/>
  <c r="V21" i="49"/>
  <c r="P38" i="49"/>
  <c r="AC38" i="49" s="1"/>
  <c r="V38" i="49"/>
  <c r="P30" i="49"/>
  <c r="AC30" i="49" s="1"/>
  <c r="V30" i="49"/>
  <c r="P22" i="49"/>
  <c r="AC22" i="49" s="1"/>
  <c r="V22" i="49"/>
  <c r="W21" i="49"/>
  <c r="W38" i="49"/>
  <c r="V41" i="49"/>
  <c r="P41" i="49"/>
  <c r="AC41" i="49" s="1"/>
  <c r="P28" i="49"/>
  <c r="AC28" i="49" s="1"/>
  <c r="V28" i="49"/>
  <c r="P16" i="49"/>
  <c r="AC16" i="49" s="1"/>
  <c r="V16" i="49"/>
  <c r="V49" i="49"/>
  <c r="P49" i="49"/>
  <c r="AC49" i="49" s="1"/>
  <c r="P36" i="49"/>
  <c r="AC36" i="49" s="1"/>
  <c r="V36" i="49"/>
  <c r="P26" i="49"/>
  <c r="AC26" i="49" s="1"/>
  <c r="V26" i="49"/>
  <c r="P24" i="49"/>
  <c r="AC24" i="49" s="1"/>
  <c r="V24" i="49"/>
  <c r="V50" i="49"/>
  <c r="P50" i="49"/>
  <c r="AC50" i="49" s="1"/>
  <c r="W41" i="49"/>
  <c r="W46" i="49"/>
  <c r="W32" i="49"/>
  <c r="W16" i="49"/>
  <c r="W49" i="49"/>
  <c r="W30" i="49"/>
  <c r="W24" i="49"/>
  <c r="P51" i="48"/>
  <c r="AC51" i="48" s="1"/>
  <c r="V51" i="48"/>
  <c r="W51" i="48"/>
  <c r="P47" i="48"/>
  <c r="AC47" i="48" s="1"/>
  <c r="V47" i="48"/>
  <c r="W47" i="48"/>
  <c r="V43" i="48"/>
  <c r="P43" i="48"/>
  <c r="AC43" i="48" s="1"/>
  <c r="W43" i="48"/>
  <c r="V39" i="48"/>
  <c r="P39" i="48"/>
  <c r="AC39" i="48" s="1"/>
  <c r="W39" i="48"/>
  <c r="P24" i="48"/>
  <c r="AC24" i="48" s="1"/>
  <c r="V24" i="48"/>
  <c r="W24" i="48"/>
  <c r="P18" i="48"/>
  <c r="AC18" i="48" s="1"/>
  <c r="V18" i="48"/>
  <c r="W18" i="48"/>
  <c r="P53" i="48"/>
  <c r="AC53" i="48" s="1"/>
  <c r="V53" i="48"/>
  <c r="W53" i="48"/>
  <c r="V45" i="48"/>
  <c r="P45" i="48"/>
  <c r="AC45" i="48" s="1"/>
  <c r="W45" i="48"/>
  <c r="P41" i="48"/>
  <c r="AC41" i="48" s="1"/>
  <c r="V41" i="48"/>
  <c r="W41" i="48"/>
  <c r="P35" i="48"/>
  <c r="AC35" i="48" s="1"/>
  <c r="V35" i="48"/>
  <c r="W35" i="48"/>
  <c r="P16" i="48"/>
  <c r="AC16" i="48" s="1"/>
  <c r="V16" i="48"/>
  <c r="W16" i="48"/>
  <c r="P27" i="48"/>
  <c r="AC27" i="48" s="1"/>
  <c r="V27" i="48"/>
  <c r="W27" i="48"/>
  <c r="P34" i="48"/>
  <c r="AC34" i="48" s="1"/>
  <c r="V34" i="48"/>
  <c r="P32" i="48"/>
  <c r="AC32" i="48" s="1"/>
  <c r="V32" i="48"/>
  <c r="P30" i="48"/>
  <c r="AC30" i="48" s="1"/>
  <c r="V30" i="48"/>
  <c r="P26" i="48"/>
  <c r="AC26" i="48" s="1"/>
  <c r="V26" i="48"/>
  <c r="P21" i="48"/>
  <c r="AC21" i="48" s="1"/>
  <c r="V21" i="48"/>
  <c r="P19" i="48"/>
  <c r="AC19" i="48" s="1"/>
  <c r="V19" i="48"/>
  <c r="P52" i="48"/>
  <c r="AC52" i="48" s="1"/>
  <c r="V52" i="48"/>
  <c r="P48" i="48"/>
  <c r="AC48" i="48" s="1"/>
  <c r="V48" i="48"/>
  <c r="V44" i="48"/>
  <c r="P44" i="48"/>
  <c r="AC44" i="48" s="1"/>
  <c r="P40" i="48"/>
  <c r="AC40" i="48" s="1"/>
  <c r="V40" i="48"/>
  <c r="V36" i="48"/>
  <c r="P36" i="48"/>
  <c r="AC36" i="48" s="1"/>
  <c r="P49" i="48"/>
  <c r="AC49" i="48" s="1"/>
  <c r="V49" i="48"/>
  <c r="P28" i="48"/>
  <c r="AC28" i="48" s="1"/>
  <c r="V28" i="48"/>
  <c r="P25" i="48"/>
  <c r="AC25" i="48" s="1"/>
  <c r="V25" i="48"/>
  <c r="P23" i="48"/>
  <c r="AC23" i="48" s="1"/>
  <c r="V23" i="48"/>
  <c r="P17" i="48"/>
  <c r="AC17" i="48" s="1"/>
  <c r="V17" i="48"/>
  <c r="P14" i="48"/>
  <c r="V14" i="48"/>
  <c r="P33" i="48"/>
  <c r="AC33" i="48" s="1"/>
  <c r="V33" i="48"/>
  <c r="P31" i="48"/>
  <c r="AC31" i="48" s="1"/>
  <c r="V31" i="48"/>
  <c r="P29" i="48"/>
  <c r="AC29" i="48" s="1"/>
  <c r="V29" i="48"/>
  <c r="P22" i="48"/>
  <c r="AC22" i="48" s="1"/>
  <c r="V22" i="48"/>
  <c r="P20" i="48"/>
  <c r="AC20" i="48" s="1"/>
  <c r="V20" i="48"/>
  <c r="P15" i="48"/>
  <c r="AC15" i="48" s="1"/>
  <c r="V15" i="48"/>
  <c r="P54" i="48"/>
  <c r="AC54" i="48" s="1"/>
  <c r="V54" i="48"/>
  <c r="V50" i="48"/>
  <c r="P50" i="48"/>
  <c r="AC50" i="48" s="1"/>
  <c r="V46" i="48"/>
  <c r="P46" i="48"/>
  <c r="AC46" i="48" s="1"/>
  <c r="V42" i="48"/>
  <c r="P42" i="48"/>
  <c r="AC42" i="48" s="1"/>
  <c r="V38" i="48"/>
  <c r="P38" i="48"/>
  <c r="AC38" i="48" s="1"/>
  <c r="W19" i="48"/>
  <c r="W32" i="48"/>
  <c r="W52" i="48"/>
  <c r="W36" i="48"/>
  <c r="W26" i="48"/>
  <c r="W40" i="48"/>
  <c r="W21" i="48"/>
  <c r="W30" i="48"/>
  <c r="W54" i="48"/>
  <c r="W38" i="48"/>
  <c r="W44" i="48"/>
  <c r="W29" i="48"/>
  <c r="W28" i="48"/>
  <c r="W23" i="48"/>
  <c r="W49" i="48"/>
  <c r="W34" i="48"/>
  <c r="W42" i="48"/>
  <c r="W15" i="48"/>
  <c r="W20" i="48"/>
  <c r="W48" i="48"/>
  <c r="W33" i="48"/>
  <c r="V39" i="44"/>
  <c r="P39" i="44"/>
  <c r="AC39" i="44" s="1"/>
  <c r="W39" i="44"/>
  <c r="V31" i="44"/>
  <c r="P31" i="44"/>
  <c r="W31" i="44"/>
  <c r="V23" i="44"/>
  <c r="P23" i="44"/>
  <c r="W23" i="44"/>
  <c r="V15" i="44"/>
  <c r="P15" i="44"/>
  <c r="W15" i="44"/>
  <c r="V40" i="44"/>
  <c r="P40" i="44"/>
  <c r="AC40" i="44" s="1"/>
  <c r="W40" i="44"/>
  <c r="V36" i="44"/>
  <c r="P36" i="44"/>
  <c r="AC36" i="44" s="1"/>
  <c r="W36" i="44"/>
  <c r="V32" i="44"/>
  <c r="P32" i="44"/>
  <c r="W32" i="44"/>
  <c r="V24" i="44"/>
  <c r="P24" i="44"/>
  <c r="W24" i="44"/>
  <c r="V20" i="44"/>
  <c r="P20" i="44"/>
  <c r="W20" i="44"/>
  <c r="V16" i="44"/>
  <c r="P16" i="44"/>
  <c r="W16" i="44"/>
  <c r="V35" i="44"/>
  <c r="P35" i="44"/>
  <c r="W35" i="44"/>
  <c r="V27" i="44"/>
  <c r="P27" i="44"/>
  <c r="W27" i="44"/>
  <c r="V19" i="44"/>
  <c r="P19" i="44"/>
  <c r="W19" i="44"/>
  <c r="V28" i="44"/>
  <c r="P28" i="44"/>
  <c r="W28" i="44"/>
  <c r="V54" i="44"/>
  <c r="P54" i="44"/>
  <c r="AC54" i="44" s="1"/>
  <c r="V46" i="44"/>
  <c r="P46" i="44"/>
  <c r="AC46" i="44" s="1"/>
  <c r="P14" i="44"/>
  <c r="V41" i="44"/>
  <c r="P41" i="44"/>
  <c r="AC41" i="44" s="1"/>
  <c r="V37" i="44"/>
  <c r="P37" i="44"/>
  <c r="AC37" i="44" s="1"/>
  <c r="V33" i="44"/>
  <c r="P33" i="44"/>
  <c r="V29" i="44"/>
  <c r="P29" i="44"/>
  <c r="V25" i="44"/>
  <c r="P25" i="44"/>
  <c r="V21" i="44"/>
  <c r="P21" i="44"/>
  <c r="V17" i="44"/>
  <c r="P17" i="44"/>
  <c r="V48" i="44"/>
  <c r="P48" i="44"/>
  <c r="AC48" i="44" s="1"/>
  <c r="V50" i="44"/>
  <c r="P50" i="44"/>
  <c r="AC50" i="44" s="1"/>
  <c r="V42" i="44"/>
  <c r="P42" i="44"/>
  <c r="AC42" i="44" s="1"/>
  <c r="V38" i="44"/>
  <c r="P38" i="44"/>
  <c r="AC38" i="44" s="1"/>
  <c r="V34" i="44"/>
  <c r="P34" i="44"/>
  <c r="V30" i="44"/>
  <c r="P30" i="44"/>
  <c r="V26" i="44"/>
  <c r="P26" i="44"/>
  <c r="V22" i="44"/>
  <c r="P22" i="44"/>
  <c r="V18" i="44"/>
  <c r="P18" i="44"/>
  <c r="V52" i="44"/>
  <c r="P52" i="44"/>
  <c r="AC52" i="44" s="1"/>
  <c r="V44" i="44"/>
  <c r="P44" i="44"/>
  <c r="AC44" i="44" s="1"/>
  <c r="I62" i="44"/>
  <c r="I61" i="44"/>
  <c r="W41" i="44"/>
  <c r="W37" i="44"/>
  <c r="W33" i="44"/>
  <c r="W29" i="44"/>
  <c r="W25" i="44"/>
  <c r="W21" i="44"/>
  <c r="W17" i="44"/>
  <c r="W38" i="44"/>
  <c r="W34" i="44"/>
  <c r="W30" i="44"/>
  <c r="W26" i="44"/>
  <c r="W22" i="44"/>
  <c r="W18" i="44"/>
  <c r="W54" i="44"/>
  <c r="W46" i="44"/>
  <c r="Y37" i="39"/>
  <c r="Y42" i="39" s="1"/>
  <c r="W42" i="39"/>
  <c r="Q29" i="42"/>
  <c r="N48" i="42"/>
  <c r="L56" i="42"/>
  <c r="P56" i="42" s="1"/>
  <c r="I57" i="42"/>
  <c r="Q16" i="43"/>
  <c r="U16" i="43" s="1"/>
  <c r="V16" i="43" s="1"/>
  <c r="N48" i="43"/>
  <c r="L55" i="42"/>
  <c r="R48" i="42"/>
  <c r="T55" i="42" s="1"/>
  <c r="Q12" i="43"/>
  <c r="O48" i="43"/>
  <c r="U32" i="43"/>
  <c r="V32" i="43" s="1"/>
  <c r="U12" i="41"/>
  <c r="T21" i="39"/>
  <c r="G79" i="39" s="1"/>
  <c r="G82" i="39" s="1"/>
  <c r="W15" i="39"/>
  <c r="W18" i="51"/>
  <c r="U17" i="51"/>
  <c r="U43" i="42"/>
  <c r="V43" i="42" s="1"/>
  <c r="L54" i="43"/>
  <c r="I57" i="43"/>
  <c r="Y37" i="51"/>
  <c r="Y42" i="51" s="1"/>
  <c r="S48" i="43"/>
  <c r="T56" i="43" s="1"/>
  <c r="Q24" i="43"/>
  <c r="U24" i="43" s="1"/>
  <c r="V24" i="43" s="1"/>
  <c r="S48" i="41"/>
  <c r="T56" i="41" s="1"/>
  <c r="H23" i="12" l="1"/>
  <c r="U18" i="41"/>
  <c r="V18" i="41" s="1"/>
  <c r="AC14" i="50"/>
  <c r="Q14" i="50"/>
  <c r="R14" i="50" s="1"/>
  <c r="S14" i="50" s="1"/>
  <c r="Y14" i="50" s="1"/>
  <c r="Y56" i="50" s="1"/>
  <c r="AC14" i="48"/>
  <c r="Q14" i="48"/>
  <c r="R14" i="48" s="1"/>
  <c r="S14" i="48" s="1"/>
  <c r="Y14" i="48" s="1"/>
  <c r="Y56" i="48" s="1"/>
  <c r="O68" i="48" s="1"/>
  <c r="U11" i="43"/>
  <c r="V11" i="43" s="1"/>
  <c r="T11" i="43"/>
  <c r="U11" i="42"/>
  <c r="V11" i="42" s="1"/>
  <c r="T11" i="42"/>
  <c r="U56" i="42"/>
  <c r="V56" i="42" s="1"/>
  <c r="V34" i="49"/>
  <c r="Z34" i="49" s="1"/>
  <c r="V78" i="51"/>
  <c r="P82" i="51" s="1"/>
  <c r="V18" i="49"/>
  <c r="X18" i="49" s="1"/>
  <c r="V14" i="49"/>
  <c r="P14" i="49"/>
  <c r="V45" i="50"/>
  <c r="V16" i="50"/>
  <c r="X16" i="50" s="1"/>
  <c r="P16" i="50"/>
  <c r="AC16" i="50" s="1"/>
  <c r="R48" i="43"/>
  <c r="T55" i="43" s="1"/>
  <c r="U55" i="43" s="1"/>
  <c r="V55" i="43" s="1"/>
  <c r="P34" i="49"/>
  <c r="AC34" i="49" s="1"/>
  <c r="X15" i="44"/>
  <c r="W18" i="49"/>
  <c r="W56" i="49" s="1"/>
  <c r="W57" i="49" s="1"/>
  <c r="W37" i="48"/>
  <c r="Z37" i="48" s="1"/>
  <c r="P37" i="48"/>
  <c r="AC37" i="48" s="1"/>
  <c r="P29" i="50"/>
  <c r="AC29" i="50" s="1"/>
  <c r="V29" i="50"/>
  <c r="Z29" i="50" s="1"/>
  <c r="W45" i="50"/>
  <c r="W56" i="50" s="1"/>
  <c r="W57" i="50" s="1"/>
  <c r="W21" i="51"/>
  <c r="V79" i="51" s="1"/>
  <c r="W79" i="51" s="1"/>
  <c r="Y79" i="51" s="1"/>
  <c r="Z53" i="44"/>
  <c r="AB53" i="44" s="1"/>
  <c r="AE53" i="44" s="1"/>
  <c r="W21" i="39"/>
  <c r="V79" i="39" s="1"/>
  <c r="N17" i="12" s="1"/>
  <c r="M81" i="51"/>
  <c r="M82" i="51" s="1"/>
  <c r="J82" i="51"/>
  <c r="J66" i="39"/>
  <c r="J75" i="39" s="1"/>
  <c r="G75" i="39"/>
  <c r="C82" i="39" s="1"/>
  <c r="I66" i="39"/>
  <c r="I75" i="39" s="1"/>
  <c r="U21" i="39"/>
  <c r="Z45" i="44"/>
  <c r="AB45" i="44" s="1"/>
  <c r="AE45" i="44" s="1"/>
  <c r="AC26" i="44"/>
  <c r="Q26" i="44"/>
  <c r="R26" i="44" s="1"/>
  <c r="S26" i="44" s="1"/>
  <c r="Y26" i="44" s="1"/>
  <c r="AC25" i="44"/>
  <c r="Q25" i="44"/>
  <c r="R25" i="44" s="1"/>
  <c r="S25" i="44" s="1"/>
  <c r="Y25" i="44" s="1"/>
  <c r="AC20" i="44"/>
  <c r="Q20" i="44"/>
  <c r="R20" i="44" s="1"/>
  <c r="S20" i="44" s="1"/>
  <c r="Y20" i="44" s="1"/>
  <c r="AC19" i="44"/>
  <c r="Q19" i="44"/>
  <c r="R19" i="44" s="1"/>
  <c r="S19" i="44" s="1"/>
  <c r="Y19" i="44" s="1"/>
  <c r="X15" i="39"/>
  <c r="X14" i="39"/>
  <c r="Y14" i="39"/>
  <c r="M79" i="39"/>
  <c r="M80" i="39" s="1"/>
  <c r="M78" i="39"/>
  <c r="M81" i="39"/>
  <c r="M82" i="39" s="1"/>
  <c r="J78" i="39"/>
  <c r="V78" i="39"/>
  <c r="K17" i="12" s="1"/>
  <c r="AC18" i="44"/>
  <c r="Q18" i="44"/>
  <c r="R18" i="44" s="1"/>
  <c r="S18" i="44" s="1"/>
  <c r="Y18" i="44" s="1"/>
  <c r="AC34" i="44"/>
  <c r="Q34" i="44"/>
  <c r="R34" i="44" s="1"/>
  <c r="S34" i="44" s="1"/>
  <c r="Y34" i="44" s="1"/>
  <c r="AC28" i="44"/>
  <c r="Q28" i="44"/>
  <c r="R28" i="44" s="1"/>
  <c r="S28" i="44" s="1"/>
  <c r="Y28" i="44" s="1"/>
  <c r="AC16" i="44"/>
  <c r="Q16" i="44"/>
  <c r="R16" i="44" s="1"/>
  <c r="S16" i="44" s="1"/>
  <c r="Y16" i="44" s="1"/>
  <c r="AC31" i="44"/>
  <c r="Q31" i="44"/>
  <c r="R31" i="44" s="1"/>
  <c r="S31" i="44" s="1"/>
  <c r="Y31" i="44" s="1"/>
  <c r="AC22" i="44"/>
  <c r="Q22" i="44"/>
  <c r="R22" i="44" s="1"/>
  <c r="S22" i="44" s="1"/>
  <c r="Y22" i="44" s="1"/>
  <c r="AC27" i="44"/>
  <c r="Q27" i="44"/>
  <c r="R27" i="44" s="1"/>
  <c r="S27" i="44" s="1"/>
  <c r="Y27" i="44" s="1"/>
  <c r="AC24" i="44"/>
  <c r="Q24" i="44"/>
  <c r="R24" i="44" s="1"/>
  <c r="S24" i="44" s="1"/>
  <c r="Y24" i="44" s="1"/>
  <c r="AC15" i="44"/>
  <c r="Q15" i="44"/>
  <c r="R15" i="44" s="1"/>
  <c r="S15" i="44" s="1"/>
  <c r="Y15" i="44" s="1"/>
  <c r="AC17" i="44"/>
  <c r="Q17" i="44"/>
  <c r="R17" i="44" s="1"/>
  <c r="S17" i="44" s="1"/>
  <c r="Y17" i="44" s="1"/>
  <c r="AC33" i="44"/>
  <c r="Q33" i="44"/>
  <c r="R33" i="44" s="1"/>
  <c r="S33" i="44" s="1"/>
  <c r="Y33" i="44" s="1"/>
  <c r="AC30" i="44"/>
  <c r="Q30" i="44"/>
  <c r="R30" i="44" s="1"/>
  <c r="S30" i="44" s="1"/>
  <c r="Y30" i="44" s="1"/>
  <c r="AC21" i="44"/>
  <c r="Q21" i="44"/>
  <c r="R21" i="44" s="1"/>
  <c r="S21" i="44" s="1"/>
  <c r="Y21" i="44" s="1"/>
  <c r="AC29" i="44"/>
  <c r="Q29" i="44"/>
  <c r="R29" i="44" s="1"/>
  <c r="S29" i="44" s="1"/>
  <c r="Y29" i="44" s="1"/>
  <c r="AC14" i="44"/>
  <c r="Q14" i="44"/>
  <c r="R14" i="44" s="1"/>
  <c r="S14" i="44" s="1"/>
  <c r="Y14" i="44" s="1"/>
  <c r="AC35" i="44"/>
  <c r="Q35" i="44"/>
  <c r="R35" i="44" s="1"/>
  <c r="S35" i="44" s="1"/>
  <c r="Y35" i="44" s="1"/>
  <c r="AC32" i="44"/>
  <c r="Q32" i="44"/>
  <c r="R32" i="44" s="1"/>
  <c r="S32" i="44" s="1"/>
  <c r="Y32" i="44" s="1"/>
  <c r="AC23" i="44"/>
  <c r="Q23" i="44"/>
  <c r="R23" i="44" s="1"/>
  <c r="S23" i="44" s="1"/>
  <c r="Y23" i="44" s="1"/>
  <c r="U35" i="41"/>
  <c r="V35" i="41" s="1"/>
  <c r="U43" i="41"/>
  <c r="V43" i="41" s="1"/>
  <c r="T21" i="41"/>
  <c r="U31" i="41"/>
  <c r="V31" i="41" s="1"/>
  <c r="R48" i="41"/>
  <c r="T55" i="41" s="1"/>
  <c r="K14" i="12" s="1"/>
  <c r="U45" i="41"/>
  <c r="V45" i="41" s="1"/>
  <c r="T19" i="41"/>
  <c r="U39" i="41"/>
  <c r="V39" i="41" s="1"/>
  <c r="U23" i="41"/>
  <c r="V23" i="41" s="1"/>
  <c r="T39" i="41"/>
  <c r="Q48" i="41"/>
  <c r="T54" i="41" s="1"/>
  <c r="U11" i="41"/>
  <c r="V11" i="41" s="1"/>
  <c r="T11" i="41"/>
  <c r="T35" i="41"/>
  <c r="U19" i="41"/>
  <c r="V19" i="41" s="1"/>
  <c r="U15" i="41"/>
  <c r="V15" i="41" s="1"/>
  <c r="U27" i="41"/>
  <c r="V27" i="41" s="1"/>
  <c r="N48" i="41"/>
  <c r="T23" i="41"/>
  <c r="X47" i="44"/>
  <c r="AB47" i="44" s="1"/>
  <c r="AE47" i="44" s="1"/>
  <c r="X51" i="44"/>
  <c r="AB51" i="44" s="1"/>
  <c r="AE51" i="44" s="1"/>
  <c r="Z49" i="44"/>
  <c r="AB49" i="44" s="1"/>
  <c r="AE49" i="44" s="1"/>
  <c r="Z43" i="44"/>
  <c r="X43" i="44"/>
  <c r="X46" i="50"/>
  <c r="Z46" i="50"/>
  <c r="X41" i="50"/>
  <c r="Z41" i="50"/>
  <c r="X22" i="50"/>
  <c r="Z22" i="50"/>
  <c r="X26" i="50"/>
  <c r="Z26" i="50"/>
  <c r="X15" i="50"/>
  <c r="Z15" i="50"/>
  <c r="X49" i="50"/>
  <c r="Z49" i="50"/>
  <c r="X31" i="50"/>
  <c r="Z31" i="50"/>
  <c r="Z50" i="50"/>
  <c r="X50" i="50"/>
  <c r="Z48" i="50"/>
  <c r="X48" i="50"/>
  <c r="Z53" i="50"/>
  <c r="X53" i="50"/>
  <c r="X18" i="50"/>
  <c r="Z18" i="50"/>
  <c r="X38" i="50"/>
  <c r="Z38" i="50"/>
  <c r="X28" i="50"/>
  <c r="Z28" i="50"/>
  <c r="Z36" i="50"/>
  <c r="X36" i="50"/>
  <c r="X19" i="50"/>
  <c r="Z19" i="50"/>
  <c r="Z27" i="50"/>
  <c r="X27" i="50"/>
  <c r="X24" i="50"/>
  <c r="Z24" i="50"/>
  <c r="Z32" i="50"/>
  <c r="X32" i="50"/>
  <c r="Z23" i="50"/>
  <c r="X23" i="50"/>
  <c r="X47" i="50"/>
  <c r="Z47" i="50"/>
  <c r="X54" i="50"/>
  <c r="Z54" i="50"/>
  <c r="X14" i="50"/>
  <c r="Z14" i="50"/>
  <c r="Z44" i="50"/>
  <c r="X44" i="50"/>
  <c r="Z39" i="50"/>
  <c r="X39" i="50"/>
  <c r="Z40" i="50"/>
  <c r="X40" i="50"/>
  <c r="X37" i="50"/>
  <c r="Z37" i="50"/>
  <c r="Z30" i="50"/>
  <c r="X30" i="50"/>
  <c r="Z20" i="50"/>
  <c r="X20" i="50"/>
  <c r="Z25" i="50"/>
  <c r="X25" i="50"/>
  <c r="Z35" i="50"/>
  <c r="X35" i="50"/>
  <c r="Z17" i="50"/>
  <c r="X17" i="50"/>
  <c r="X34" i="50"/>
  <c r="Z34" i="50"/>
  <c r="Z21" i="50"/>
  <c r="X21" i="50"/>
  <c r="Z42" i="50"/>
  <c r="X42" i="50"/>
  <c r="X43" i="50"/>
  <c r="Z43" i="50"/>
  <c r="Z51" i="50"/>
  <c r="X51" i="50"/>
  <c r="Z33" i="50"/>
  <c r="X33" i="50"/>
  <c r="X52" i="50"/>
  <c r="Z52" i="50"/>
  <c r="X22" i="49"/>
  <c r="Z22" i="49"/>
  <c r="X21" i="49"/>
  <c r="Z21" i="49"/>
  <c r="X33" i="49"/>
  <c r="Z33" i="49"/>
  <c r="Z45" i="49"/>
  <c r="X45" i="49"/>
  <c r="Z51" i="49"/>
  <c r="X51" i="49"/>
  <c r="X17" i="49"/>
  <c r="Z17" i="49"/>
  <c r="X27" i="49"/>
  <c r="Z27" i="49"/>
  <c r="X29" i="49"/>
  <c r="Z29" i="49"/>
  <c r="X25" i="49"/>
  <c r="Z25" i="49"/>
  <c r="X24" i="49"/>
  <c r="Z24" i="49"/>
  <c r="X36" i="49"/>
  <c r="Z36" i="49"/>
  <c r="X16" i="49"/>
  <c r="Z16" i="49"/>
  <c r="X28" i="49"/>
  <c r="Z28" i="49"/>
  <c r="Z46" i="49"/>
  <c r="X46" i="49"/>
  <c r="X37" i="49"/>
  <c r="Z37" i="49"/>
  <c r="Z44" i="49"/>
  <c r="X44" i="49"/>
  <c r="X20" i="49"/>
  <c r="Z20" i="49"/>
  <c r="X15" i="49"/>
  <c r="Z15" i="49"/>
  <c r="Z47" i="49"/>
  <c r="X47" i="49"/>
  <c r="X35" i="49"/>
  <c r="Z35" i="49"/>
  <c r="Z53" i="49"/>
  <c r="X53" i="49"/>
  <c r="Z50" i="49"/>
  <c r="X50" i="49"/>
  <c r="Z49" i="49"/>
  <c r="X49" i="49"/>
  <c r="X38" i="49"/>
  <c r="Z38" i="49"/>
  <c r="X48" i="49"/>
  <c r="Z48" i="49"/>
  <c r="X19" i="49"/>
  <c r="Z19" i="49"/>
  <c r="X31" i="49"/>
  <c r="Z31" i="49"/>
  <c r="Z54" i="49"/>
  <c r="X54" i="49"/>
  <c r="X26" i="49"/>
  <c r="Z26" i="49"/>
  <c r="X34" i="49"/>
  <c r="Z52" i="49"/>
  <c r="X52" i="49"/>
  <c r="Z42" i="49"/>
  <c r="X42" i="49"/>
  <c r="Z41" i="49"/>
  <c r="X41" i="49"/>
  <c r="X30" i="49"/>
  <c r="Z30" i="49"/>
  <c r="X32" i="49"/>
  <c r="Z32" i="49"/>
  <c r="X23" i="49"/>
  <c r="Z23" i="49"/>
  <c r="X39" i="49"/>
  <c r="Z39" i="49"/>
  <c r="Z43" i="49"/>
  <c r="X43" i="49"/>
  <c r="Z40" i="49"/>
  <c r="X40" i="49"/>
  <c r="Z42" i="48"/>
  <c r="X42" i="48"/>
  <c r="Z50" i="48"/>
  <c r="X50" i="48"/>
  <c r="Z36" i="48"/>
  <c r="X36" i="48"/>
  <c r="Z44" i="48"/>
  <c r="X44" i="48"/>
  <c r="Z35" i="48"/>
  <c r="X35" i="48"/>
  <c r="Z43" i="48"/>
  <c r="X43" i="48"/>
  <c r="Z20" i="48"/>
  <c r="X20" i="48"/>
  <c r="Z29" i="48"/>
  <c r="X29" i="48"/>
  <c r="Z33" i="48"/>
  <c r="X33" i="48"/>
  <c r="Z17" i="48"/>
  <c r="X17" i="48"/>
  <c r="Z25" i="48"/>
  <c r="X25" i="48"/>
  <c r="Z52" i="48"/>
  <c r="X52" i="48"/>
  <c r="Z21" i="48"/>
  <c r="X21" i="48"/>
  <c r="Z30" i="48"/>
  <c r="X30" i="48"/>
  <c r="Z34" i="48"/>
  <c r="X34" i="48"/>
  <c r="Z41" i="48"/>
  <c r="X41" i="48"/>
  <c r="Z45" i="48"/>
  <c r="X45" i="48"/>
  <c r="Z38" i="48"/>
  <c r="X38" i="48"/>
  <c r="Z46" i="48"/>
  <c r="X46" i="48"/>
  <c r="Z27" i="48"/>
  <c r="X27" i="48"/>
  <c r="Z18" i="48"/>
  <c r="X18" i="48"/>
  <c r="Z47" i="48"/>
  <c r="X47" i="48"/>
  <c r="Z54" i="48"/>
  <c r="X54" i="48"/>
  <c r="Z15" i="48"/>
  <c r="X15" i="48"/>
  <c r="Z22" i="48"/>
  <c r="X22" i="48"/>
  <c r="Z31" i="48"/>
  <c r="X31" i="48"/>
  <c r="V56" i="48"/>
  <c r="Z14" i="48"/>
  <c r="X14" i="48"/>
  <c r="Z23" i="48"/>
  <c r="X23" i="48"/>
  <c r="Z28" i="48"/>
  <c r="X28" i="48"/>
  <c r="Z49" i="48"/>
  <c r="X49" i="48"/>
  <c r="Z40" i="48"/>
  <c r="X40" i="48"/>
  <c r="Z48" i="48"/>
  <c r="X48" i="48"/>
  <c r="Z19" i="48"/>
  <c r="X19" i="48"/>
  <c r="Z26" i="48"/>
  <c r="X26" i="48"/>
  <c r="Z32" i="48"/>
  <c r="X32" i="48"/>
  <c r="Z16" i="48"/>
  <c r="X16" i="48"/>
  <c r="Z53" i="48"/>
  <c r="X53" i="48"/>
  <c r="Z24" i="48"/>
  <c r="X24" i="48"/>
  <c r="Z39" i="48"/>
  <c r="X39" i="48"/>
  <c r="Z51" i="48"/>
  <c r="X51" i="48"/>
  <c r="Z30" i="44"/>
  <c r="X30" i="44"/>
  <c r="Z50" i="44"/>
  <c r="X50" i="44"/>
  <c r="Z17" i="44"/>
  <c r="X17" i="44"/>
  <c r="Z41" i="44"/>
  <c r="X41" i="44"/>
  <c r="Z35" i="44"/>
  <c r="X35" i="44"/>
  <c r="AA35" i="44" s="1"/>
  <c r="Z32" i="44"/>
  <c r="X32" i="44"/>
  <c r="Z23" i="44"/>
  <c r="X23" i="44"/>
  <c r="Z44" i="44"/>
  <c r="X44" i="44"/>
  <c r="Z18" i="44"/>
  <c r="X18" i="44"/>
  <c r="Z26" i="44"/>
  <c r="X26" i="44"/>
  <c r="Z34" i="44"/>
  <c r="X34" i="44"/>
  <c r="AA34" i="44" s="1"/>
  <c r="Z42" i="44"/>
  <c r="X42" i="44"/>
  <c r="Z21" i="44"/>
  <c r="X21" i="44"/>
  <c r="Z29" i="44"/>
  <c r="X29" i="44"/>
  <c r="Z37" i="44"/>
  <c r="X37" i="44"/>
  <c r="V56" i="44"/>
  <c r="X14" i="44"/>
  <c r="Z14" i="44"/>
  <c r="Z54" i="44"/>
  <c r="X54" i="44"/>
  <c r="Z19" i="44"/>
  <c r="X19" i="44"/>
  <c r="Z20" i="44"/>
  <c r="X20" i="44"/>
  <c r="Z40" i="44"/>
  <c r="X40" i="44"/>
  <c r="Z39" i="44"/>
  <c r="X39" i="44"/>
  <c r="W56" i="44"/>
  <c r="W57" i="44" s="1"/>
  <c r="Z27" i="44"/>
  <c r="X27" i="44"/>
  <c r="Z24" i="44"/>
  <c r="X24" i="44"/>
  <c r="Z15" i="44"/>
  <c r="Z52" i="44"/>
  <c r="X52" i="44"/>
  <c r="Z22" i="44"/>
  <c r="X22" i="44"/>
  <c r="Z38" i="44"/>
  <c r="X38" i="44"/>
  <c r="Z48" i="44"/>
  <c r="X48" i="44"/>
  <c r="Z25" i="44"/>
  <c r="X25" i="44"/>
  <c r="Z33" i="44"/>
  <c r="X33" i="44"/>
  <c r="Z46" i="44"/>
  <c r="X46" i="44"/>
  <c r="Z28" i="44"/>
  <c r="X28" i="44"/>
  <c r="Z16" i="44"/>
  <c r="X16" i="44"/>
  <c r="Z36" i="44"/>
  <c r="X36" i="44"/>
  <c r="Z31" i="44"/>
  <c r="X31" i="44"/>
  <c r="U55" i="42"/>
  <c r="V55" i="42" s="1"/>
  <c r="K15" i="12"/>
  <c r="U56" i="41"/>
  <c r="V56" i="41" s="1"/>
  <c r="N14" i="12"/>
  <c r="P54" i="43"/>
  <c r="P57" i="43" s="1"/>
  <c r="L57" i="43"/>
  <c r="N16" i="12"/>
  <c r="U56" i="43"/>
  <c r="V56" i="43" s="1"/>
  <c r="Y17" i="51"/>
  <c r="U21" i="51"/>
  <c r="V77" i="51" s="1"/>
  <c r="Y18" i="51"/>
  <c r="V12" i="41"/>
  <c r="U12" i="43"/>
  <c r="Q48" i="43"/>
  <c r="P55" i="42"/>
  <c r="P57" i="42" s="1"/>
  <c r="L57" i="42"/>
  <c r="U29" i="42"/>
  <c r="Q48" i="42"/>
  <c r="Y15" i="39"/>
  <c r="X45" i="50" l="1"/>
  <c r="R82" i="51"/>
  <c r="V56" i="50"/>
  <c r="C62" i="50" s="1"/>
  <c r="AC57" i="48"/>
  <c r="I60" i="48" s="1"/>
  <c r="AA14" i="50"/>
  <c r="AC57" i="50"/>
  <c r="O60" i="50" s="1"/>
  <c r="O61" i="50"/>
  <c r="O67" i="50"/>
  <c r="Z63" i="50"/>
  <c r="C67" i="50"/>
  <c r="C66" i="50"/>
  <c r="C65" i="50"/>
  <c r="O68" i="50"/>
  <c r="AC14" i="49"/>
  <c r="AC57" i="49" s="1"/>
  <c r="O60" i="49" s="1"/>
  <c r="Q14" i="49"/>
  <c r="R14" i="49" s="1"/>
  <c r="S14" i="49" s="1"/>
  <c r="Y14" i="49" s="1"/>
  <c r="Y56" i="49" s="1"/>
  <c r="C66" i="48"/>
  <c r="O67" i="48"/>
  <c r="C65" i="48"/>
  <c r="C67" i="48"/>
  <c r="Z63" i="48"/>
  <c r="O61" i="48"/>
  <c r="AA14" i="48"/>
  <c r="Z16" i="50"/>
  <c r="V56" i="49"/>
  <c r="C62" i="49" s="1"/>
  <c r="N18" i="12"/>
  <c r="W78" i="51"/>
  <c r="Y78" i="51" s="1"/>
  <c r="K18" i="12"/>
  <c r="W56" i="48"/>
  <c r="W57" i="48" s="1"/>
  <c r="X14" i="49"/>
  <c r="Z14" i="49"/>
  <c r="Z18" i="49"/>
  <c r="AB18" i="49" s="1"/>
  <c r="AE18" i="49" s="1"/>
  <c r="X37" i="48"/>
  <c r="AB37" i="48" s="1"/>
  <c r="AE37" i="48" s="1"/>
  <c r="X29" i="50"/>
  <c r="AB29" i="50" s="1"/>
  <c r="AE29" i="50" s="1"/>
  <c r="Z45" i="50"/>
  <c r="K16" i="12"/>
  <c r="U55" i="41"/>
  <c r="V55" i="41" s="1"/>
  <c r="W79" i="39"/>
  <c r="Y79" i="39" s="1"/>
  <c r="Y21" i="39"/>
  <c r="AB38" i="49"/>
  <c r="AE38" i="49" s="1"/>
  <c r="AB34" i="50"/>
  <c r="AE34" i="50" s="1"/>
  <c r="AB31" i="50"/>
  <c r="AE31" i="50" s="1"/>
  <c r="AB52" i="50"/>
  <c r="AE52" i="50" s="1"/>
  <c r="AB43" i="50"/>
  <c r="AE43" i="50" s="1"/>
  <c r="AB22" i="50"/>
  <c r="AE22" i="50" s="1"/>
  <c r="V77" i="39"/>
  <c r="P82" i="39" s="1"/>
  <c r="AB47" i="50"/>
  <c r="AE47" i="50" s="1"/>
  <c r="AB38" i="50"/>
  <c r="AE38" i="50" s="1"/>
  <c r="AB15" i="50"/>
  <c r="AE15" i="50" s="1"/>
  <c r="AB46" i="50"/>
  <c r="AE46" i="50" s="1"/>
  <c r="AA30" i="44"/>
  <c r="AA29" i="44"/>
  <c r="AA26" i="44"/>
  <c r="AA25" i="44"/>
  <c r="AA23" i="44"/>
  <c r="AA21" i="44"/>
  <c r="AA20" i="44"/>
  <c r="AA19" i="44"/>
  <c r="AA18" i="44"/>
  <c r="AA17" i="44"/>
  <c r="AC57" i="44"/>
  <c r="I60" i="44" s="1"/>
  <c r="W78" i="39"/>
  <c r="Y78" i="39" s="1"/>
  <c r="Y56" i="44"/>
  <c r="O68" i="44" s="1"/>
  <c r="AA32" i="44"/>
  <c r="AA31" i="44"/>
  <c r="AA16" i="44"/>
  <c r="AA24" i="44"/>
  <c r="AA28" i="44"/>
  <c r="AA33" i="44"/>
  <c r="AA22" i="44"/>
  <c r="AA15" i="44"/>
  <c r="AA27" i="44"/>
  <c r="AA14" i="44"/>
  <c r="V48" i="41"/>
  <c r="U48" i="41"/>
  <c r="U54" i="41"/>
  <c r="V54" i="41" s="1"/>
  <c r="T57" i="41"/>
  <c r="U57" i="41" s="1"/>
  <c r="V57" i="41" s="1"/>
  <c r="T14" i="12" s="1"/>
  <c r="H14" i="12"/>
  <c r="T54" i="42"/>
  <c r="H15" i="12" s="1"/>
  <c r="T54" i="43"/>
  <c r="AB29" i="44"/>
  <c r="AE29" i="44" s="1"/>
  <c r="AB42" i="44"/>
  <c r="AE42" i="44" s="1"/>
  <c r="AB26" i="44"/>
  <c r="AE26" i="44" s="1"/>
  <c r="AB23" i="44"/>
  <c r="AE23" i="44" s="1"/>
  <c r="AB35" i="44"/>
  <c r="AE35" i="44" s="1"/>
  <c r="AB17" i="44"/>
  <c r="AE17" i="44" s="1"/>
  <c r="AB30" i="44"/>
  <c r="AE30" i="44" s="1"/>
  <c r="AB40" i="49"/>
  <c r="AE40" i="49" s="1"/>
  <c r="AB43" i="49"/>
  <c r="AE43" i="49" s="1"/>
  <c r="AB41" i="49"/>
  <c r="AE41" i="49" s="1"/>
  <c r="AB52" i="49"/>
  <c r="AE52" i="49" s="1"/>
  <c r="AB54" i="49"/>
  <c r="AE54" i="49" s="1"/>
  <c r="AB44" i="49"/>
  <c r="AE44" i="49" s="1"/>
  <c r="AB46" i="49"/>
  <c r="AE46" i="49" s="1"/>
  <c r="AB51" i="49"/>
  <c r="AE51" i="49" s="1"/>
  <c r="AB39" i="49"/>
  <c r="AE39" i="49" s="1"/>
  <c r="AB16" i="48"/>
  <c r="AE16" i="48" s="1"/>
  <c r="AB40" i="48"/>
  <c r="AE40" i="48" s="1"/>
  <c r="AB23" i="49"/>
  <c r="AE23" i="49" s="1"/>
  <c r="AB30" i="49"/>
  <c r="AE30" i="49" s="1"/>
  <c r="AB26" i="49"/>
  <c r="AE26" i="49" s="1"/>
  <c r="AB31" i="49"/>
  <c r="AE31" i="49" s="1"/>
  <c r="AB48" i="49"/>
  <c r="AE48" i="49" s="1"/>
  <c r="AB20" i="49"/>
  <c r="AE20" i="49" s="1"/>
  <c r="AB37" i="49"/>
  <c r="AE37" i="49" s="1"/>
  <c r="AB28" i="49"/>
  <c r="AE28" i="49" s="1"/>
  <c r="AB36" i="49"/>
  <c r="AE36" i="49" s="1"/>
  <c r="AB25" i="49"/>
  <c r="AE25" i="49" s="1"/>
  <c r="AB27" i="49"/>
  <c r="AE27" i="49" s="1"/>
  <c r="AB17" i="49"/>
  <c r="AE17" i="49" s="1"/>
  <c r="AB21" i="49"/>
  <c r="AE21" i="49" s="1"/>
  <c r="AB51" i="50"/>
  <c r="AE51" i="50" s="1"/>
  <c r="AB21" i="50"/>
  <c r="AE21" i="50" s="1"/>
  <c r="AB17" i="50"/>
  <c r="AE17" i="50" s="1"/>
  <c r="AB35" i="50"/>
  <c r="AE35" i="50" s="1"/>
  <c r="AB20" i="50"/>
  <c r="AE20" i="50" s="1"/>
  <c r="AB40" i="50"/>
  <c r="AE40" i="50" s="1"/>
  <c r="AB39" i="50"/>
  <c r="AE39" i="50" s="1"/>
  <c r="AB23" i="50"/>
  <c r="AE23" i="50" s="1"/>
  <c r="AB48" i="50"/>
  <c r="AE48" i="50" s="1"/>
  <c r="AB50" i="50"/>
  <c r="AE50" i="50" s="1"/>
  <c r="AB43" i="44"/>
  <c r="AE43" i="44" s="1"/>
  <c r="AB24" i="48"/>
  <c r="AE24" i="48" s="1"/>
  <c r="AB28" i="48"/>
  <c r="AE28" i="48" s="1"/>
  <c r="AB51" i="48"/>
  <c r="AE51" i="48" s="1"/>
  <c r="AB26" i="48"/>
  <c r="AE26" i="48" s="1"/>
  <c r="AB36" i="44"/>
  <c r="AE36" i="44" s="1"/>
  <c r="AB28" i="44"/>
  <c r="AE28" i="44" s="1"/>
  <c r="AB33" i="44"/>
  <c r="AE33" i="44" s="1"/>
  <c r="AB48" i="44"/>
  <c r="AE48" i="44" s="1"/>
  <c r="AB22" i="44"/>
  <c r="AE22" i="44" s="1"/>
  <c r="AB15" i="44"/>
  <c r="AE15" i="44" s="1"/>
  <c r="AB27" i="44"/>
  <c r="AE27" i="44" s="1"/>
  <c r="AB39" i="44"/>
  <c r="AE39" i="44" s="1"/>
  <c r="AB20" i="44"/>
  <c r="AE20" i="44" s="1"/>
  <c r="AB54" i="44"/>
  <c r="AE54" i="44" s="1"/>
  <c r="AB49" i="49"/>
  <c r="AE49" i="49" s="1"/>
  <c r="AB14" i="50"/>
  <c r="AE14" i="50" s="1"/>
  <c r="AB37" i="50"/>
  <c r="AE37" i="50" s="1"/>
  <c r="AB24" i="50"/>
  <c r="AE24" i="50" s="1"/>
  <c r="AB19" i="50"/>
  <c r="AE19" i="50" s="1"/>
  <c r="AB28" i="50"/>
  <c r="AE28" i="50" s="1"/>
  <c r="AB18" i="50"/>
  <c r="AE18" i="50" s="1"/>
  <c r="AB49" i="50"/>
  <c r="AE49" i="50" s="1"/>
  <c r="AB26" i="50"/>
  <c r="AE26" i="50" s="1"/>
  <c r="AB41" i="50"/>
  <c r="AE41" i="50" s="1"/>
  <c r="V57" i="50"/>
  <c r="AB33" i="50"/>
  <c r="AE33" i="50" s="1"/>
  <c r="AB42" i="50"/>
  <c r="AE42" i="50" s="1"/>
  <c r="AB25" i="50"/>
  <c r="AE25" i="50" s="1"/>
  <c r="AB30" i="50"/>
  <c r="AE30" i="50" s="1"/>
  <c r="AB44" i="50"/>
  <c r="AE44" i="50" s="1"/>
  <c r="AB54" i="50"/>
  <c r="AE54" i="50" s="1"/>
  <c r="AB32" i="50"/>
  <c r="AE32" i="50" s="1"/>
  <c r="AB27" i="50"/>
  <c r="AE27" i="50" s="1"/>
  <c r="AB36" i="50"/>
  <c r="AE36" i="50" s="1"/>
  <c r="AB53" i="50"/>
  <c r="AE53" i="50" s="1"/>
  <c r="AB32" i="49"/>
  <c r="AE32" i="49" s="1"/>
  <c r="AB34" i="49"/>
  <c r="AE34" i="49" s="1"/>
  <c r="AB19" i="49"/>
  <c r="AE19" i="49" s="1"/>
  <c r="AB35" i="49"/>
  <c r="AE35" i="49" s="1"/>
  <c r="AB15" i="49"/>
  <c r="AE15" i="49" s="1"/>
  <c r="AB16" i="49"/>
  <c r="AE16" i="49" s="1"/>
  <c r="AB24" i="49"/>
  <c r="AE24" i="49" s="1"/>
  <c r="AB29" i="49"/>
  <c r="AE29" i="49" s="1"/>
  <c r="AB33" i="49"/>
  <c r="AE33" i="49" s="1"/>
  <c r="AB22" i="49"/>
  <c r="AE22" i="49" s="1"/>
  <c r="AB50" i="49"/>
  <c r="AE50" i="49" s="1"/>
  <c r="AB42" i="49"/>
  <c r="AE42" i="49" s="1"/>
  <c r="AB53" i="49"/>
  <c r="AE53" i="49" s="1"/>
  <c r="AB47" i="49"/>
  <c r="AE47" i="49" s="1"/>
  <c r="AB45" i="49"/>
  <c r="AE45" i="49" s="1"/>
  <c r="AB14" i="48"/>
  <c r="AE14" i="48" s="1"/>
  <c r="C62" i="48"/>
  <c r="V57" i="48"/>
  <c r="AB31" i="48"/>
  <c r="AE31" i="48" s="1"/>
  <c r="AB15" i="48"/>
  <c r="AE15" i="48" s="1"/>
  <c r="AB47" i="48"/>
  <c r="AE47" i="48" s="1"/>
  <c r="AB27" i="48"/>
  <c r="AE27" i="48" s="1"/>
  <c r="AB38" i="48"/>
  <c r="AE38" i="48" s="1"/>
  <c r="AB41" i="48"/>
  <c r="AE41" i="48" s="1"/>
  <c r="AB30" i="48"/>
  <c r="AE30" i="48" s="1"/>
  <c r="AB25" i="48"/>
  <c r="AE25" i="48" s="1"/>
  <c r="AB33" i="48"/>
  <c r="AE33" i="48" s="1"/>
  <c r="AB20" i="48"/>
  <c r="AE20" i="48" s="1"/>
  <c r="AB44" i="48"/>
  <c r="AE44" i="48" s="1"/>
  <c r="AB42" i="48"/>
  <c r="AE42" i="48" s="1"/>
  <c r="AB39" i="48"/>
  <c r="AE39" i="48" s="1"/>
  <c r="AB53" i="48"/>
  <c r="AE53" i="48" s="1"/>
  <c r="AB32" i="48"/>
  <c r="AE32" i="48" s="1"/>
  <c r="AB19" i="48"/>
  <c r="AE19" i="48" s="1"/>
  <c r="AB48" i="48"/>
  <c r="AE48" i="48" s="1"/>
  <c r="AB49" i="48"/>
  <c r="AE49" i="48" s="1"/>
  <c r="AB23" i="48"/>
  <c r="AE23" i="48" s="1"/>
  <c r="Z56" i="48"/>
  <c r="AB22" i="48"/>
  <c r="AE22" i="48" s="1"/>
  <c r="AB54" i="48"/>
  <c r="AE54" i="48" s="1"/>
  <c r="AB18" i="48"/>
  <c r="AE18" i="48" s="1"/>
  <c r="AB46" i="48"/>
  <c r="AE46" i="48" s="1"/>
  <c r="AB45" i="48"/>
  <c r="AE45" i="48" s="1"/>
  <c r="AB34" i="48"/>
  <c r="AE34" i="48" s="1"/>
  <c r="AB21" i="48"/>
  <c r="AE21" i="48" s="1"/>
  <c r="AB52" i="48"/>
  <c r="AE52" i="48" s="1"/>
  <c r="AB17" i="48"/>
  <c r="AE17" i="48" s="1"/>
  <c r="AB29" i="48"/>
  <c r="AE29" i="48" s="1"/>
  <c r="AB43" i="48"/>
  <c r="AE43" i="48" s="1"/>
  <c r="AB35" i="48"/>
  <c r="AE35" i="48" s="1"/>
  <c r="AB36" i="48"/>
  <c r="AE36" i="48" s="1"/>
  <c r="AB50" i="48"/>
  <c r="AE50" i="48" s="1"/>
  <c r="C62" i="44"/>
  <c r="V57" i="44"/>
  <c r="AB16" i="44"/>
  <c r="AE16" i="44" s="1"/>
  <c r="AB25" i="44"/>
  <c r="AE25" i="44" s="1"/>
  <c r="AB52" i="44"/>
  <c r="AE52" i="44" s="1"/>
  <c r="AB40" i="44"/>
  <c r="AE40" i="44" s="1"/>
  <c r="AB19" i="44"/>
  <c r="AE19" i="44" s="1"/>
  <c r="X56" i="44"/>
  <c r="AB14" i="44"/>
  <c r="AE14" i="44" s="1"/>
  <c r="AB31" i="44"/>
  <c r="AE31" i="44" s="1"/>
  <c r="AB46" i="44"/>
  <c r="AE46" i="44" s="1"/>
  <c r="AB38" i="44"/>
  <c r="AE38" i="44" s="1"/>
  <c r="AB24" i="44"/>
  <c r="AE24" i="44" s="1"/>
  <c r="Z56" i="44"/>
  <c r="AB37" i="44"/>
  <c r="AE37" i="44" s="1"/>
  <c r="AB21" i="44"/>
  <c r="AE21" i="44" s="1"/>
  <c r="AB34" i="44"/>
  <c r="AE34" i="44" s="1"/>
  <c r="AB18" i="44"/>
  <c r="AE18" i="44" s="1"/>
  <c r="AB44" i="44"/>
  <c r="AE44" i="44" s="1"/>
  <c r="AB32" i="44"/>
  <c r="AE32" i="44" s="1"/>
  <c r="AB41" i="44"/>
  <c r="AE41" i="44" s="1"/>
  <c r="AB50" i="44"/>
  <c r="AE50" i="44" s="1"/>
  <c r="W77" i="51"/>
  <c r="H18" i="12"/>
  <c r="Q82" i="51"/>
  <c r="V82" i="51"/>
  <c r="Q18" i="12" s="1"/>
  <c r="V29" i="42"/>
  <c r="V48" i="42" s="1"/>
  <c r="U48" i="42"/>
  <c r="V12" i="43"/>
  <c r="V48" i="43" s="1"/>
  <c r="U48" i="43"/>
  <c r="Y21" i="51"/>
  <c r="AB45" i="50" l="1"/>
  <c r="AE45" i="50" s="1"/>
  <c r="O60" i="48"/>
  <c r="Z56" i="50"/>
  <c r="Z64" i="50" s="1"/>
  <c r="N13" i="12" s="1"/>
  <c r="X56" i="48"/>
  <c r="Z62" i="48" s="1"/>
  <c r="H11" i="12" s="1"/>
  <c r="AB16" i="50"/>
  <c r="AE16" i="50" s="1"/>
  <c r="I60" i="50"/>
  <c r="K13" i="12"/>
  <c r="AA63" i="50"/>
  <c r="AB63" i="50" s="1"/>
  <c r="O65" i="50"/>
  <c r="O63" i="50"/>
  <c r="O64" i="50" s="1"/>
  <c r="O66" i="50"/>
  <c r="O62" i="50"/>
  <c r="O61" i="49"/>
  <c r="O67" i="49"/>
  <c r="Z63" i="49"/>
  <c r="C66" i="49"/>
  <c r="C67" i="49"/>
  <c r="C65" i="49"/>
  <c r="O68" i="49"/>
  <c r="X56" i="49"/>
  <c r="C64" i="49" s="1"/>
  <c r="AA14" i="49"/>
  <c r="O63" i="48"/>
  <c r="O64" i="48" s="1"/>
  <c r="O66" i="48"/>
  <c r="O65" i="48"/>
  <c r="O62" i="48"/>
  <c r="K11" i="12"/>
  <c r="AA63" i="48"/>
  <c r="AB63" i="48" s="1"/>
  <c r="X56" i="50"/>
  <c r="Z62" i="50" s="1"/>
  <c r="H13" i="12" s="1"/>
  <c r="V57" i="49"/>
  <c r="I60" i="49"/>
  <c r="W82" i="51"/>
  <c r="Z56" i="49"/>
  <c r="C68" i="49" s="1"/>
  <c r="AB14" i="49"/>
  <c r="AE14" i="49" s="1"/>
  <c r="AE56" i="49" s="1"/>
  <c r="T57" i="43"/>
  <c r="U57" i="43" s="1"/>
  <c r="V57" i="43" s="1"/>
  <c r="T16" i="12" s="1"/>
  <c r="H16" i="12"/>
  <c r="Q14" i="12"/>
  <c r="V82" i="39"/>
  <c r="Q17" i="12" s="1"/>
  <c r="Q82" i="39"/>
  <c r="R82" i="39" s="1"/>
  <c r="W77" i="39"/>
  <c r="W82" i="39" s="1"/>
  <c r="H17" i="12"/>
  <c r="O60" i="44"/>
  <c r="O67" i="44"/>
  <c r="C67" i="44"/>
  <c r="O61" i="44"/>
  <c r="O63" i="44" s="1"/>
  <c r="O64" i="44" s="1"/>
  <c r="Z63" i="44"/>
  <c r="K10" i="12" s="1"/>
  <c r="C66" i="44"/>
  <c r="C65" i="44"/>
  <c r="Y77" i="51"/>
  <c r="Y82" i="51" s="1"/>
  <c r="T18" i="12" s="1"/>
  <c r="U54" i="43"/>
  <c r="V54" i="43" s="1"/>
  <c r="U54" i="42"/>
  <c r="V54" i="42" s="1"/>
  <c r="T57" i="42"/>
  <c r="U57" i="42" s="1"/>
  <c r="AE56" i="44"/>
  <c r="AE56" i="48"/>
  <c r="Z64" i="48"/>
  <c r="N11" i="12" s="1"/>
  <c r="Z57" i="48"/>
  <c r="C68" i="48"/>
  <c r="AB56" i="48"/>
  <c r="AB56" i="44"/>
  <c r="C64" i="44"/>
  <c r="Z62" i="44"/>
  <c r="H10" i="12" s="1"/>
  <c r="C68" i="44"/>
  <c r="Z64" i="44"/>
  <c r="N10" i="12" s="1"/>
  <c r="Z57" i="44"/>
  <c r="AE56" i="50" l="1"/>
  <c r="C64" i="48"/>
  <c r="AB56" i="50"/>
  <c r="I66" i="50" s="1"/>
  <c r="C68" i="50"/>
  <c r="Z57" i="50"/>
  <c r="C64" i="50"/>
  <c r="AB56" i="49"/>
  <c r="I65" i="49" s="1"/>
  <c r="I67" i="49" s="1"/>
  <c r="Z62" i="49"/>
  <c r="H12" i="12" s="1"/>
  <c r="H19" i="12" s="1"/>
  <c r="O65" i="49"/>
  <c r="O63" i="49"/>
  <c r="O64" i="49" s="1"/>
  <c r="O66" i="49"/>
  <c r="O62" i="49"/>
  <c r="K12" i="12"/>
  <c r="K19" i="12" s="1"/>
  <c r="H25" i="12" s="1"/>
  <c r="H27" i="12" s="1"/>
  <c r="AA63" i="49"/>
  <c r="AB63" i="49" s="1"/>
  <c r="Z57" i="49"/>
  <c r="Z64" i="49"/>
  <c r="N12" i="12" s="1"/>
  <c r="Q16" i="12"/>
  <c r="Y77" i="39"/>
  <c r="Y82" i="39" s="1"/>
  <c r="T17" i="12" s="1"/>
  <c r="AA63" i="44"/>
  <c r="AB63" i="44" s="1"/>
  <c r="O62" i="44"/>
  <c r="O65" i="44"/>
  <c r="O66" i="44"/>
  <c r="V57" i="42"/>
  <c r="T15" i="12" s="1"/>
  <c r="Q15" i="12"/>
  <c r="AA62" i="50"/>
  <c r="AB62" i="50" s="1"/>
  <c r="Z67" i="50"/>
  <c r="Q13" i="12" s="1"/>
  <c r="AA64" i="50"/>
  <c r="AB64" i="50" s="1"/>
  <c r="I65" i="48"/>
  <c r="I66" i="48"/>
  <c r="AA62" i="48"/>
  <c r="AB62" i="48" s="1"/>
  <c r="Z67" i="48"/>
  <c r="Q11" i="12" s="1"/>
  <c r="AA64" i="48"/>
  <c r="AB64" i="48" s="1"/>
  <c r="AA62" i="44"/>
  <c r="Z67" i="44"/>
  <c r="Q10" i="12" s="1"/>
  <c r="AA64" i="44"/>
  <c r="AB64" i="44" s="1"/>
  <c r="I65" i="44"/>
  <c r="I66" i="44"/>
  <c r="I65" i="50" l="1"/>
  <c r="I67" i="50" s="1"/>
  <c r="I66" i="49"/>
  <c r="AA62" i="49"/>
  <c r="AB62" i="49" s="1"/>
  <c r="AA64" i="49"/>
  <c r="AB64" i="49" s="1"/>
  <c r="I67" i="48"/>
  <c r="Z67" i="49"/>
  <c r="Q12" i="12" s="1"/>
  <c r="Q19" i="12" s="1"/>
  <c r="Q23" i="12" s="1"/>
  <c r="Q24" i="12" s="1"/>
  <c r="Q25" i="12" s="1"/>
  <c r="I67" i="44"/>
  <c r="AA67" i="44"/>
  <c r="AA67" i="50"/>
  <c r="AB67" i="50"/>
  <c r="T13" i="12" s="1"/>
  <c r="N19" i="12"/>
  <c r="N27" i="12" s="1"/>
  <c r="AB67" i="48"/>
  <c r="T11" i="12" s="1"/>
  <c r="AA67" i="48"/>
  <c r="AB62" i="44"/>
  <c r="AB67" i="44" s="1"/>
  <c r="T10" i="12" s="1"/>
  <c r="AB67" i="49" l="1"/>
  <c r="T12" i="12" s="1"/>
  <c r="T19" i="12" s="1"/>
  <c r="AA67" i="49"/>
  <c r="K20" i="12"/>
  <c r="N20" i="12"/>
  <c r="H20" i="12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<sst xmlns="http://schemas.openxmlformats.org/spreadsheetml/2006/main" count="1375" uniqueCount="389">
  <si>
    <t>$/CM TRUCKING</t>
  </si>
  <si>
    <t/>
  </si>
  <si>
    <t>FSTfctr</t>
  </si>
  <si>
    <t>$/CM CONCRETE</t>
  </si>
  <si>
    <t>PSTfct</t>
  </si>
  <si>
    <t>LABOR/HR</t>
  </si>
  <si>
    <t>DATE:</t>
  </si>
  <si>
    <t>%DISCOUNT</t>
  </si>
  <si>
    <t>Mod$/m</t>
  </si>
  <si>
    <t>MARGIN FACTOR</t>
  </si>
  <si>
    <t>MH F&amp;C $</t>
  </si>
  <si>
    <t>DSC/TX FCTR</t>
  </si>
  <si>
    <t>REVISED:</t>
  </si>
  <si>
    <t>METRIC 1/ IMPER 0</t>
  </si>
  <si>
    <t>CB F&amp;C $</t>
  </si>
  <si>
    <t>FR+CVR m</t>
  </si>
  <si>
    <t>PRINTED:</t>
  </si>
  <si>
    <t>Item</t>
  </si>
  <si>
    <t>MH Description</t>
  </si>
  <si>
    <t>Top El.</t>
  </si>
  <si>
    <t>Low Inv</t>
  </si>
  <si>
    <t>Hi Inv</t>
  </si>
  <si>
    <t>Pipe Out</t>
  </si>
  <si>
    <t>ST1/L2</t>
  </si>
  <si>
    <t>Add$Mtrls</t>
  </si>
  <si>
    <t>Add$L&amp;E</t>
  </si>
  <si>
    <t>Depth m</t>
  </si>
  <si>
    <t>Drop m</t>
  </si>
  <si>
    <t>MHdia-mm</t>
  </si>
  <si>
    <t>PCovrall</t>
  </si>
  <si>
    <t>$Precast</t>
  </si>
  <si>
    <t>$Conc</t>
  </si>
  <si>
    <t>$Fr&amp;Cov</t>
  </si>
  <si>
    <t>$Matrl</t>
  </si>
  <si>
    <t>$L&amp;E</t>
  </si>
  <si>
    <t>$Trkng</t>
  </si>
  <si>
    <t>$/VM</t>
  </si>
  <si>
    <t>TOTAL $</t>
  </si>
  <si>
    <t>SALE$</t>
  </si>
  <si>
    <t>MANHOLE TOTALS</t>
  </si>
  <si>
    <t>CATCHBASINS</t>
  </si>
  <si>
    <t>ITEMS</t>
  </si>
  <si>
    <t xml:space="preserve"> QNTY</t>
  </si>
  <si>
    <t>WALL"</t>
  </si>
  <si>
    <t>DPTHm</t>
  </si>
  <si>
    <t>$GT ea</t>
  </si>
  <si>
    <t>$/ADDMAT</t>
  </si>
  <si>
    <t>$/AD L&amp;E</t>
  </si>
  <si>
    <t>$PRECST</t>
  </si>
  <si>
    <t>$CONC</t>
  </si>
  <si>
    <t>$FR&amp;CV</t>
  </si>
  <si>
    <t>$MATRL</t>
  </si>
  <si>
    <t>$LAB&amp;EQ</t>
  </si>
  <si>
    <t>$TRKNG</t>
  </si>
  <si>
    <t>$ EACH</t>
  </si>
  <si>
    <t>$ SALE/</t>
  </si>
  <si>
    <t>TOTALS</t>
  </si>
  <si>
    <t>$COST</t>
  </si>
  <si>
    <t>$MARGIN</t>
  </si>
  <si>
    <t>$SALE</t>
  </si>
  <si>
    <t>SINGLE C.B.'S</t>
  </si>
  <si>
    <t>MATRLS</t>
  </si>
  <si>
    <t>DOUBLE C.B.'S</t>
  </si>
  <si>
    <t>L&amp;E</t>
  </si>
  <si>
    <t>DITCH INLT CB'S</t>
  </si>
  <si>
    <t>TRUCKING</t>
  </si>
  <si>
    <t>CATCHBASIN TOTALS</t>
  </si>
  <si>
    <t>BID PRICE</t>
  </si>
  <si>
    <t>LABOR SCB</t>
  </si>
  <si>
    <t>LABOR DCB</t>
  </si>
  <si>
    <t>LABOR DICB</t>
  </si>
  <si>
    <t>LOOKUP TABLE FOR MANHOLE SIZE</t>
  </si>
  <si>
    <t>PipeIDstr</t>
  </si>
  <si>
    <t xml:space="preserve"> PipeIDang</t>
  </si>
  <si>
    <t>MH dia</t>
  </si>
  <si>
    <t xml:space="preserve">  MHdia mm</t>
  </si>
  <si>
    <t xml:space="preserve">LOOKUP TABLE </t>
  </si>
  <si>
    <t>NOTE: Paste copy in boxed area of MH Pricer</t>
  </si>
  <si>
    <t>to this boxed area. USING "PASTE SPECIAL"</t>
  </si>
  <si>
    <t>AND OPTING FOR TEXT ONLY.</t>
  </si>
  <si>
    <t>Std.CB 4.5"</t>
  </si>
  <si>
    <t>Std.CB 6.0"</t>
  </si>
  <si>
    <t>Dinlet 24x24</t>
  </si>
  <si>
    <t>Dinlet 24x48</t>
  </si>
  <si>
    <t>DCB</t>
  </si>
  <si>
    <t>Min Trench Width m</t>
  </si>
  <si>
    <t xml:space="preserve">  $/ImpT Stone</t>
  </si>
  <si>
    <t xml:space="preserve">   100PVC$/m</t>
  </si>
  <si>
    <t xml:space="preserve">    %Efficiency</t>
  </si>
  <si>
    <t xml:space="preserve">ProvTax </t>
  </si>
  <si>
    <t>Pipe Cover  m</t>
  </si>
  <si>
    <t xml:space="preserve">    $/Mt Stone</t>
  </si>
  <si>
    <t xml:space="preserve">   150PVC$/m</t>
  </si>
  <si>
    <t xml:space="preserve">    M/Imp (1/0)</t>
  </si>
  <si>
    <t xml:space="preserve">FedTax  </t>
  </si>
  <si>
    <t xml:space="preserve">M-Fin Grade </t>
  </si>
  <si>
    <t xml:space="preserve">  $/ImpTn Gran</t>
  </si>
  <si>
    <t xml:space="preserve">   200PVC$/m</t>
  </si>
  <si>
    <t xml:space="preserve">    Margin Fctr</t>
  </si>
  <si>
    <t xml:space="preserve">CP Fctr </t>
  </si>
  <si>
    <t>Daycost $/Day</t>
  </si>
  <si>
    <t xml:space="preserve">     $/Mt Gran</t>
  </si>
  <si>
    <t xml:space="preserve">   250PVC$/m</t>
  </si>
  <si>
    <t xml:space="preserve">    OpenCutFctr</t>
  </si>
  <si>
    <t xml:space="preserve">PC Fctr </t>
  </si>
  <si>
    <t xml:space="preserve">$Xtra/Day  </t>
  </si>
  <si>
    <t xml:space="preserve">  $Trucking/cm</t>
  </si>
  <si>
    <t xml:space="preserve">   300PVC$/m</t>
  </si>
  <si>
    <t xml:space="preserve">    DualTrSep m</t>
  </si>
  <si>
    <t>Prdtn M/Day</t>
  </si>
  <si>
    <t xml:space="preserve">   375PVC$/m</t>
  </si>
  <si>
    <t xml:space="preserve">   ConcPipe%</t>
  </si>
  <si>
    <t xml:space="preserve">   450PVC$/m</t>
  </si>
  <si>
    <t xml:space="preserve">   TrenchClear m</t>
  </si>
  <si>
    <t>Printed:</t>
  </si>
  <si>
    <t xml:space="preserve">      RUN</t>
  </si>
  <si>
    <t>Length</t>
  </si>
  <si>
    <t>PIPE</t>
  </si>
  <si>
    <t>TYPE</t>
  </si>
  <si>
    <t>V/||</t>
  </si>
  <si>
    <t>Depth</t>
  </si>
  <si>
    <t>Add</t>
  </si>
  <si>
    <t>OD</t>
  </si>
  <si>
    <t>Ground</t>
  </si>
  <si>
    <t>Trench</t>
  </si>
  <si>
    <t>%Prdtn</t>
  </si>
  <si>
    <t>DAY</t>
  </si>
  <si>
    <t>EXCAV</t>
  </si>
  <si>
    <t>CALC</t>
  </si>
  <si>
    <t>PROD</t>
  </si>
  <si>
    <t>LAB&amp;EQ</t>
  </si>
  <si>
    <t>TOTAL</t>
  </si>
  <si>
    <t>COST</t>
  </si>
  <si>
    <t>Excav</t>
  </si>
  <si>
    <t xml:space="preserve">  #</t>
  </si>
  <si>
    <t>mm</t>
  </si>
  <si>
    <t>Class</t>
  </si>
  <si>
    <t>O/OO</t>
  </si>
  <si>
    <t>m</t>
  </si>
  <si>
    <t>Matrls $</t>
  </si>
  <si>
    <t>L&amp;E $</t>
  </si>
  <si>
    <t>Cover m</t>
  </si>
  <si>
    <t>Dpth m</t>
  </si>
  <si>
    <t>Effcnt</t>
  </si>
  <si>
    <t>cm/m</t>
  </si>
  <si>
    <t>m/day</t>
  </si>
  <si>
    <t>$/m</t>
  </si>
  <si>
    <t>$ PIPE</t>
  </si>
  <si>
    <t>Crshd St</t>
  </si>
  <si>
    <t>Granular</t>
  </si>
  <si>
    <t>Materials</t>
  </si>
  <si>
    <t>Lab&amp;Eq</t>
  </si>
  <si>
    <t>tcm</t>
  </si>
  <si>
    <t>Lngth m</t>
  </si>
  <si>
    <t>TOTAL COSTS</t>
  </si>
  <si>
    <t>TOTAL QUANTITIES</t>
  </si>
  <si>
    <t xml:space="preserve">$ Concrete Pipe      </t>
  </si>
  <si>
    <t>Total cm Excavation</t>
  </si>
  <si>
    <t>Avg L&amp;E $/cm</t>
  </si>
  <si>
    <t>MARGIN</t>
  </si>
  <si>
    <t>TOTAL SALE $</t>
  </si>
  <si>
    <t xml:space="preserve">$ Plastic Pipe     </t>
  </si>
  <si>
    <t>Total Meters Trench</t>
  </si>
  <si>
    <t>Days @ AvDCst</t>
  </si>
  <si>
    <t>$Crushed Stone (cst)</t>
  </si>
  <si>
    <t>Total Feet Trench</t>
  </si>
  <si>
    <t>Avg DR cm/day</t>
  </si>
  <si>
    <t>MATERIALS:</t>
  </si>
  <si>
    <t>$ Additional Materials</t>
  </si>
  <si>
    <t>Total Meters Pipe</t>
  </si>
  <si>
    <t>Trench m/day</t>
  </si>
  <si>
    <t>LAB&amp;EQUIP:</t>
  </si>
  <si>
    <t>$ Total Materials</t>
  </si>
  <si>
    <t>Total Feet Pipe</t>
  </si>
  <si>
    <t>Trench ft/day</t>
  </si>
  <si>
    <t>TRUCKING:</t>
  </si>
  <si>
    <t>$ Labour @ 70%</t>
  </si>
  <si>
    <t>PerCent Materials</t>
  </si>
  <si>
    <t>Pipe m/day</t>
  </si>
  <si>
    <t>$ Equipment  30%</t>
  </si>
  <si>
    <t>PerCent Lab &amp; Equ</t>
  </si>
  <si>
    <t>Pipe ft/day</t>
  </si>
  <si>
    <t>$ Total L &amp; E</t>
  </si>
  <si>
    <t>PerCent Trucking</t>
  </si>
  <si>
    <t>$ m pipe/day</t>
  </si>
  <si>
    <t xml:space="preserve">BID  PRICE </t>
  </si>
  <si>
    <t>$ Trucking</t>
  </si>
  <si>
    <t>$ m trench/day</t>
  </si>
  <si>
    <t>C.P.</t>
  </si>
  <si>
    <t>$/M</t>
  </si>
  <si>
    <t>LKUP</t>
  </si>
  <si>
    <t>LOOKUP TABLE FOR DIG RATES</t>
  </si>
  <si>
    <t>Open Cut  Depth m</t>
  </si>
  <si>
    <t>LU Table  DigRate cm/min</t>
  </si>
  <si>
    <t>Str Cut  Depth m</t>
  </si>
  <si>
    <t>LU Table DigRate cm/min</t>
  </si>
  <si>
    <t>LOOKUP TABLE FOR PVC PIPES</t>
  </si>
  <si>
    <t>Non CP</t>
  </si>
  <si>
    <t>DR28</t>
  </si>
  <si>
    <t xml:space="preserve">        Min Trench W</t>
  </si>
  <si>
    <t xml:space="preserve">          $/ImpTonScrng</t>
  </si>
  <si>
    <t>100 C900</t>
  </si>
  <si>
    <t xml:space="preserve">   ProvTax</t>
  </si>
  <si>
    <t xml:space="preserve">            Pipe Cover</t>
  </si>
  <si>
    <t xml:space="preserve">              $/MtneStone</t>
  </si>
  <si>
    <t>150 C900</t>
  </si>
  <si>
    <t>Precast %</t>
  </si>
  <si>
    <t xml:space="preserve">    FedTax</t>
  </si>
  <si>
    <t xml:space="preserve">         M-Fin Grade</t>
  </si>
  <si>
    <t xml:space="preserve">          $/ImpTon Gran</t>
  </si>
  <si>
    <t>200 C900</t>
  </si>
  <si>
    <t>CP Factor</t>
  </si>
  <si>
    <t xml:space="preserve">       Daycost$/Day</t>
  </si>
  <si>
    <t xml:space="preserve">               $/MtneGran</t>
  </si>
  <si>
    <t>250 C900</t>
  </si>
  <si>
    <t xml:space="preserve">    OpnCtFctr</t>
  </si>
  <si>
    <t xml:space="preserve">              $Xtra/Day</t>
  </si>
  <si>
    <t xml:space="preserve">           $Trucking/cm </t>
  </si>
  <si>
    <t>300 C900</t>
  </si>
  <si>
    <t xml:space="preserve">    DualTrSep M</t>
  </si>
  <si>
    <t>$Moduloc/m</t>
  </si>
  <si>
    <t>* Trench Width dual 1/2 actual</t>
  </si>
  <si>
    <t xml:space="preserve">       Prdctn M/Day</t>
  </si>
  <si>
    <t xml:space="preserve">         PeelRegionCvr</t>
  </si>
  <si>
    <t>Conc$/CM</t>
  </si>
  <si>
    <t xml:space="preserve">    TrenClear M</t>
  </si>
  <si>
    <t>Updated:</t>
  </si>
  <si>
    <t>ITM</t>
  </si>
  <si>
    <t xml:space="preserve">   WATERMAIN</t>
  </si>
  <si>
    <t>LENGTH</t>
  </si>
  <si>
    <t>PIPE D</t>
  </si>
  <si>
    <t>PIPE$/m</t>
  </si>
  <si>
    <t>OC/SC</t>
  </si>
  <si>
    <t>ADDTNL</t>
  </si>
  <si>
    <t>AVERAGE</t>
  </si>
  <si>
    <t>GRNLR</t>
  </si>
  <si>
    <t>$/DAY</t>
  </si>
  <si>
    <t>LAB&amp;EQP</t>
  </si>
  <si>
    <t>TRENCH*</t>
  </si>
  <si>
    <t>UNITCOST</t>
  </si>
  <si>
    <t xml:space="preserve"> #</t>
  </si>
  <si>
    <t xml:space="preserve">  SIZE &amp; TYPE</t>
  </si>
  <si>
    <t xml:space="preserve">    mm</t>
  </si>
  <si>
    <t>cw FedX</t>
  </si>
  <si>
    <t>S/D</t>
  </si>
  <si>
    <t>MATRL $</t>
  </si>
  <si>
    <t>m/DAY</t>
  </si>
  <si>
    <t>COVER m</t>
  </si>
  <si>
    <t>WIDTH m</t>
  </si>
  <si>
    <t>EXC cm</t>
  </si>
  <si>
    <t>TRNCH m</t>
  </si>
  <si>
    <t>$ SCRNGS</t>
  </si>
  <si>
    <t>$ GRANLR</t>
  </si>
  <si>
    <t>$ MATRL</t>
  </si>
  <si>
    <t>Pipe Totals =</t>
  </si>
  <si>
    <t>ITM#</t>
  </si>
  <si>
    <t xml:space="preserve">    SPECIALS</t>
  </si>
  <si>
    <t>QNTY</t>
  </si>
  <si>
    <t>TB?y/n</t>
  </si>
  <si>
    <t>$/ANODE</t>
  </si>
  <si>
    <t>$LABech</t>
  </si>
  <si>
    <t>$ LABOR</t>
  </si>
  <si>
    <t>$ FTNGS</t>
  </si>
  <si>
    <t>$ CONC</t>
  </si>
  <si>
    <t>ITEM#</t>
  </si>
  <si>
    <t>VALVES</t>
  </si>
  <si>
    <t>$/VALVE</t>
  </si>
  <si>
    <t>$/BOX</t>
  </si>
  <si>
    <t>$LAB/V</t>
  </si>
  <si>
    <t>TTL CST</t>
  </si>
  <si>
    <t>V</t>
  </si>
  <si>
    <t>1</t>
  </si>
  <si>
    <t>50 mm</t>
  </si>
  <si>
    <t>A</t>
  </si>
  <si>
    <t>2</t>
  </si>
  <si>
    <t>100mm</t>
  </si>
  <si>
    <t>L</t>
  </si>
  <si>
    <t>3</t>
  </si>
  <si>
    <t>150mm</t>
  </si>
  <si>
    <t>4</t>
  </si>
  <si>
    <t>200mm</t>
  </si>
  <si>
    <t>E</t>
  </si>
  <si>
    <t>5</t>
  </si>
  <si>
    <t>250mm</t>
  </si>
  <si>
    <t>S</t>
  </si>
  <si>
    <t>6</t>
  </si>
  <si>
    <t>300mm</t>
  </si>
  <si>
    <t xml:space="preserve">  Totals</t>
  </si>
  <si>
    <t>HYDRANTS</t>
  </si>
  <si>
    <t>$/HYDR.</t>
  </si>
  <si>
    <t>$/LAB ea</t>
  </si>
  <si>
    <t>$CONC TB</t>
  </si>
  <si>
    <t>$/X MATRL</t>
  </si>
  <si>
    <t>$/SET</t>
  </si>
  <si>
    <t>R</t>
  </si>
  <si>
    <t>RISERS</t>
  </si>
  <si>
    <t>$/BEND</t>
  </si>
  <si>
    <t>$/FL-PE</t>
  </si>
  <si>
    <t>$/X MTRL</t>
  </si>
  <si>
    <t>$/RODDING</t>
  </si>
  <si>
    <t>$/L&amp;E</t>
  </si>
  <si>
    <t>I</t>
  </si>
  <si>
    <t>Specials Totals =</t>
  </si>
  <si>
    <t>TTL RISER</t>
  </si>
  <si>
    <t>MISCELLANEOUS</t>
  </si>
  <si>
    <t>TAXFCT</t>
  </si>
  <si>
    <t>$/MATRL</t>
  </si>
  <si>
    <t>TOTAL$</t>
  </si>
  <si>
    <t>TRACER</t>
  </si>
  <si>
    <t>Totals Miscellaneous =</t>
  </si>
  <si>
    <t>ITEM</t>
  </si>
  <si>
    <t>$ COST</t>
  </si>
  <si>
    <t>SALE $</t>
  </si>
  <si>
    <t>$ Pipe</t>
  </si>
  <si>
    <t xml:space="preserve">    $Concrete </t>
  </si>
  <si>
    <t>CMExca</t>
  </si>
  <si>
    <t>MATERIAL</t>
  </si>
  <si>
    <t>$ Valves &amp; Boxes</t>
  </si>
  <si>
    <t xml:space="preserve">  $Crush Stone</t>
  </si>
  <si>
    <t xml:space="preserve">Days   </t>
  </si>
  <si>
    <t>$/CM Exc=</t>
  </si>
  <si>
    <t>LAB&amp;EQ.</t>
  </si>
  <si>
    <t>$ Hydrants</t>
  </si>
  <si>
    <t xml:space="preserve">    $Granular </t>
  </si>
  <si>
    <t xml:space="preserve">M Pipe </t>
  </si>
  <si>
    <t>$/M Pipe=</t>
  </si>
  <si>
    <t>$Fittings</t>
  </si>
  <si>
    <t xml:space="preserve">   CM Conc</t>
  </si>
  <si>
    <t>Ft Pipe</t>
  </si>
  <si>
    <t>$/FtPipe=</t>
  </si>
  <si>
    <t>$ WATERMAIN MATRL</t>
  </si>
  <si>
    <t>ImpTons Stone</t>
  </si>
  <si>
    <t>M Trnch</t>
  </si>
  <si>
    <t>$/M Trnch=</t>
  </si>
  <si>
    <t>% Lab&amp;Eqp</t>
  </si>
  <si>
    <t>%Matrl</t>
  </si>
  <si>
    <t>%Trkng</t>
  </si>
  <si>
    <t>$ Miscellaneous</t>
  </si>
  <si>
    <t xml:space="preserve">   ImpTonsGran</t>
  </si>
  <si>
    <t>FtTrnch</t>
  </si>
  <si>
    <t>$/FtTrnch=</t>
  </si>
  <si>
    <t xml:space="preserve">BID </t>
  </si>
  <si>
    <t>$ Xtra Materials</t>
  </si>
  <si>
    <t>JOB No.</t>
  </si>
  <si>
    <t>MATERIALS</t>
  </si>
  <si>
    <t xml:space="preserve">     LAB. &amp; EQPT.</t>
  </si>
  <si>
    <t>SUB TOTAL</t>
  </si>
  <si>
    <t>%</t>
  </si>
  <si>
    <t xml:space="preserve">% </t>
  </si>
  <si>
    <t>QUANTITY OF PIPE  :</t>
  </si>
  <si>
    <t>meters</t>
  </si>
  <si>
    <t>M.U. %</t>
  </si>
  <si>
    <t>PRODUCTION DAYS :</t>
  </si>
  <si>
    <t>day's</t>
  </si>
  <si>
    <t>DAILY AVG. PROD    :</t>
  </si>
  <si>
    <t>m / day</t>
  </si>
  <si>
    <t>WATERMAIN (2)</t>
  </si>
  <si>
    <t>WATERMAIN (1)</t>
  </si>
  <si>
    <t>SEWER (1)</t>
  </si>
  <si>
    <t>SEWER (2)</t>
  </si>
  <si>
    <t>SEWER (3)</t>
  </si>
  <si>
    <t>SEWER (4)</t>
  </si>
  <si>
    <t>MANHOLES (1)</t>
  </si>
  <si>
    <t>MANHOLES (2)</t>
  </si>
  <si>
    <t>MANHOLES (3)</t>
  </si>
  <si>
    <t>DDITCH INLT CB'S</t>
  </si>
  <si>
    <t>DICB F&amp;C $</t>
  </si>
  <si>
    <t>DDICB F&amp;C $</t>
  </si>
  <si>
    <t>LABOR DDICB</t>
  </si>
  <si>
    <t>DR35</t>
  </si>
  <si>
    <t>pvc-April/2011</t>
  </si>
  <si>
    <t>LOOKUP TABLES FOR CONCRETE PIPE APRIL 2014</t>
  </si>
  <si>
    <t>calc.</t>
  </si>
  <si>
    <t>ONSITE</t>
  </si>
  <si>
    <t>OFFSITE ADDER</t>
  </si>
  <si>
    <t>SALE</t>
  </si>
  <si>
    <t>200 One Locks</t>
  </si>
  <si>
    <t>150 One Locks</t>
  </si>
  <si>
    <t>100 One Locks</t>
  </si>
  <si>
    <t>TESTING</t>
  </si>
  <si>
    <t>Widthm</t>
  </si>
  <si>
    <t>MH Prices June 2022</t>
  </si>
  <si>
    <t>TOPSITE CONTRACTING LIMITED -  MANHOLE &amp; CATCHBASIN  ESTIMATE 2022</t>
  </si>
  <si>
    <t>JOB:</t>
  </si>
  <si>
    <t>TOPSITE CONTRACTING LIMITED - SEWER RUNS ESTIMATE - 2022</t>
  </si>
  <si>
    <t>TOPSITE CONTRACTING - WATERMAIN ESTIMATE 2022</t>
  </si>
  <si>
    <t>SUMMARY OF ESTIMATE 2022</t>
  </si>
  <si>
    <t>250 One Locks</t>
  </si>
  <si>
    <t>300 One 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</si>
</sst>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_)"/>
    <numFmt numFmtId="165" formatCode="0.0_)"/>
    <numFmt numFmtId="166" formatCode="dd\-mmm\-yy_)"/>
    <numFmt numFmtId="167" formatCode="0_)"/>
    <numFmt numFmtId="168" formatCode="mmmm\-yy"/>
    <numFmt numFmtId="169" formatCode="mmmm\ d\,\ yyyy"/>
    <numFmt numFmtId="170" formatCode="&quot;$&quot;#,##0.00"/>
  </numFmts>
  <fonts count="42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1"/>
      <name val="Arial Narrow"/>
      <family val="2"/>
    </font>
    <font>
      <sz val="11"/>
      <name val="Arial Narrow"/>
      <family val="2"/>
    </font>
    <font>
      <sz val="20"/>
      <name val="Courier"/>
      <family val="3"/>
    </font>
    <font>
      <sz val="11"/>
      <color indexed="12"/>
      <name val="Arial Narrow"/>
      <family val="2"/>
    </font>
    <font>
      <b/>
      <sz val="11"/>
      <color indexed="10"/>
      <name val="Arial Narrow"/>
      <family val="2"/>
    </font>
    <font>
      <b/>
      <sz val="12"/>
      <name val="Courier"/>
      <family val="3"/>
    </font>
    <font>
      <sz val="12"/>
      <name val="Courier"/>
      <family val="3"/>
    </font>
    <font>
      <b/>
      <i/>
      <sz val="11"/>
      <name val="Arial Narrow"/>
      <family val="2"/>
    </font>
    <font>
      <b/>
      <sz val="10"/>
      <name val="Courier"/>
      <family val="3"/>
    </font>
    <font>
      <b/>
      <i/>
      <sz val="11"/>
      <color indexed="10"/>
      <name val="Arial Narrow"/>
      <family val="2"/>
    </font>
    <font>
      <i/>
      <sz val="11"/>
      <color indexed="10"/>
      <name val="Arial Narrow"/>
      <family val="2"/>
    </font>
    <font>
      <b/>
      <i/>
      <sz val="11"/>
      <color indexed="12"/>
      <name val="Arial Narrow"/>
      <family val="2"/>
    </font>
    <font>
      <sz val="11"/>
      <color indexed="10"/>
      <name val="Arial Narrow"/>
      <family val="2"/>
    </font>
    <font>
      <sz val="11"/>
      <color indexed="14"/>
      <name val="Arial Narrow"/>
      <family val="2"/>
    </font>
    <font>
      <sz val="22"/>
      <name val="Courier"/>
      <family val="3"/>
    </font>
    <font>
      <sz val="14"/>
      <name val="Courier"/>
      <family val="3"/>
    </font>
    <font>
      <i/>
      <sz val="11"/>
      <name val="Arial Narrow"/>
      <family val="2"/>
    </font>
    <font>
      <i/>
      <sz val="10"/>
      <name val="Courier"/>
      <family val="3"/>
    </font>
    <font>
      <sz val="11"/>
      <color indexed="13"/>
      <name val="Arial Narrow"/>
      <family val="2"/>
    </font>
    <font>
      <b/>
      <sz val="19"/>
      <name val="Americana"/>
      <family val="1"/>
    </font>
    <font>
      <b/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9"/>
      <name val="Arial"/>
      <family val="2"/>
    </font>
    <font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8"/>
      <name val="Arial"/>
      <family val="2"/>
    </font>
    <font>
      <b/>
      <sz val="10"/>
      <color indexed="12"/>
      <name val="Arial"/>
      <family val="2"/>
    </font>
    <font>
      <b/>
      <sz val="24"/>
      <name val="Times New Roman"/>
      <family val="1"/>
    </font>
    <font>
      <sz val="24"/>
      <name val="Courier"/>
      <family val="3"/>
    </font>
    <font>
      <b/>
      <sz val="18"/>
      <name val="Times New Roman"/>
      <family val="1"/>
    </font>
    <font>
      <sz val="16"/>
      <name val="Times New Roman"/>
      <family val="1"/>
    </font>
    <font>
      <u/>
      <sz val="16"/>
      <name val="Times New Roman"/>
      <family val="1"/>
    </font>
    <font>
      <sz val="18"/>
      <name val="Times New Roman"/>
      <family val="1"/>
    </font>
    <font>
      <b/>
      <sz val="10"/>
      <name val="Arial Narrow"/>
      <family val="2"/>
    </font>
    <font>
      <sz val="10"/>
      <name val="Times New Roman"/>
      <family val="1"/>
    </font>
    <font>
      <sz val="15"/>
      <name val="Times New Roman"/>
      <family val="1"/>
    </font>
    <font>
      <sz val="14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44" fontId="3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</cellStyleXfs>
  <cellXfs count="555">
    <xf numFmtId="0" fontId="0" fillId="0" borderId="0" xfId="0"/>
    <xf numFmtId="164" fontId="22" fillId="0" borderId="0" xfId="6" applyFont="1"/>
    <xf numFmtId="164" fontId="2" fillId="0" borderId="0" xfId="6"/>
    <xf numFmtId="164" fontId="25" fillId="0" borderId="0" xfId="6" applyFont="1"/>
    <xf numFmtId="164" fontId="24" fillId="0" borderId="1" xfId="6" applyFont="1" applyBorder="1" applyAlignment="1">
      <alignment horizontal="left"/>
    </xf>
    <xf numFmtId="164" fontId="25" fillId="0" borderId="2" xfId="6" applyFont="1" applyBorder="1"/>
    <xf numFmtId="164" fontId="26" fillId="0" borderId="3" xfId="6" applyFont="1" applyBorder="1" applyAlignment="1" applyProtection="1">
      <alignment horizontal="left"/>
      <protection locked="0"/>
    </xf>
    <xf numFmtId="7" fontId="26" fillId="0" borderId="3" xfId="6" applyNumberFormat="1" applyFont="1" applyBorder="1" applyAlignment="1" applyProtection="1">
      <alignment horizontal="left"/>
      <protection locked="0"/>
    </xf>
    <xf numFmtId="164" fontId="24" fillId="0" borderId="3" xfId="6" applyFont="1" applyBorder="1" applyAlignment="1">
      <alignment horizontal="left"/>
    </xf>
    <xf numFmtId="164" fontId="25" fillId="0" borderId="0" xfId="6" applyFont="1" applyAlignment="1">
      <alignment horizontal="left"/>
    </xf>
    <xf numFmtId="164" fontId="27" fillId="0" borderId="3" xfId="6" applyFont="1" applyBorder="1" applyAlignment="1">
      <alignment horizontal="right"/>
    </xf>
    <xf numFmtId="164" fontId="26" fillId="0" borderId="3" xfId="6" applyFont="1" applyBorder="1" applyAlignment="1">
      <alignment horizontal="left"/>
    </xf>
    <xf numFmtId="164" fontId="24" fillId="0" borderId="4" xfId="6" applyFont="1" applyBorder="1" applyAlignment="1">
      <alignment horizontal="left"/>
    </xf>
    <xf numFmtId="164" fontId="26" fillId="0" borderId="5" xfId="6" applyFont="1" applyBorder="1" applyAlignment="1" applyProtection="1">
      <alignment horizontal="left"/>
      <protection locked="0"/>
    </xf>
    <xf numFmtId="164" fontId="26" fillId="0" borderId="5" xfId="6" applyFont="1" applyBorder="1" applyAlignment="1">
      <alignment horizontal="left"/>
    </xf>
    <xf numFmtId="164" fontId="24" fillId="0" borderId="5" xfId="6" applyFont="1" applyBorder="1" applyAlignment="1">
      <alignment horizontal="left"/>
    </xf>
    <xf numFmtId="7" fontId="26" fillId="0" borderId="5" xfId="6" applyNumberFormat="1" applyFont="1" applyBorder="1" applyAlignment="1" applyProtection="1">
      <alignment horizontal="left"/>
      <protection locked="0"/>
    </xf>
    <xf numFmtId="164" fontId="27" fillId="0" borderId="5" xfId="6" applyFont="1" applyBorder="1" applyAlignment="1">
      <alignment horizontal="right"/>
    </xf>
    <xf numFmtId="164" fontId="24" fillId="0" borderId="3" xfId="6" applyFont="1" applyBorder="1" applyAlignment="1">
      <alignment horizontal="right"/>
    </xf>
    <xf numFmtId="164" fontId="26" fillId="0" borderId="6" xfId="6" applyFont="1" applyBorder="1" applyAlignment="1">
      <alignment horizontal="left"/>
    </xf>
    <xf numFmtId="164" fontId="24" fillId="0" borderId="5" xfId="6" applyFont="1" applyBorder="1"/>
    <xf numFmtId="164" fontId="26" fillId="0" borderId="7" xfId="6" applyFont="1" applyBorder="1" applyAlignment="1">
      <alignment horizontal="left"/>
    </xf>
    <xf numFmtId="5" fontId="26" fillId="0" borderId="5" xfId="6" applyNumberFormat="1" applyFont="1" applyBorder="1" applyAlignment="1" applyProtection="1">
      <alignment horizontal="left"/>
      <protection locked="0"/>
    </xf>
    <xf numFmtId="164" fontId="24" fillId="0" borderId="8" xfId="6" applyFont="1" applyBorder="1"/>
    <xf numFmtId="164" fontId="26" fillId="0" borderId="9" xfId="6" applyFont="1" applyBorder="1" applyAlignment="1">
      <alignment horizontal="left"/>
    </xf>
    <xf numFmtId="164" fontId="24" fillId="0" borderId="0" xfId="6" applyFont="1"/>
    <xf numFmtId="164" fontId="24" fillId="0" borderId="9" xfId="6" applyFont="1" applyBorder="1" applyAlignment="1">
      <alignment horizontal="right"/>
    </xf>
    <xf numFmtId="164" fontId="26" fillId="0" borderId="10" xfId="6" applyFont="1" applyBorder="1" applyAlignment="1">
      <alignment horizontal="left"/>
    </xf>
    <xf numFmtId="164" fontId="28" fillId="0" borderId="0" xfId="6" applyFont="1" applyAlignment="1" applyProtection="1">
      <alignment horizontal="left"/>
      <protection locked="0"/>
    </xf>
    <xf numFmtId="164" fontId="24" fillId="0" borderId="8" xfId="6" applyFont="1" applyBorder="1" applyAlignment="1">
      <alignment horizontal="left"/>
    </xf>
    <xf numFmtId="164" fontId="25" fillId="0" borderId="11" xfId="6" applyFont="1" applyBorder="1"/>
    <xf numFmtId="164" fontId="26" fillId="0" borderId="9" xfId="6" applyFont="1" applyBorder="1" applyAlignment="1" applyProtection="1">
      <alignment horizontal="left"/>
      <protection locked="0"/>
    </xf>
    <xf numFmtId="164" fontId="24" fillId="0" borderId="9" xfId="6" applyFont="1" applyBorder="1" applyAlignment="1">
      <alignment horizontal="left"/>
    </xf>
    <xf numFmtId="7" fontId="26" fillId="0" borderId="9" xfId="6" applyNumberFormat="1" applyFont="1" applyBorder="1" applyAlignment="1" applyProtection="1">
      <alignment horizontal="left"/>
      <protection locked="0"/>
    </xf>
    <xf numFmtId="164" fontId="27" fillId="0" borderId="9" xfId="6" applyFont="1" applyBorder="1" applyAlignment="1">
      <alignment horizontal="right"/>
    </xf>
    <xf numFmtId="164" fontId="28" fillId="0" borderId="0" xfId="6" applyFont="1" applyProtection="1">
      <protection locked="0"/>
    </xf>
    <xf numFmtId="7" fontId="28" fillId="0" borderId="0" xfId="6" applyNumberFormat="1" applyFont="1" applyProtection="1">
      <protection locked="0"/>
    </xf>
    <xf numFmtId="164" fontId="24" fillId="0" borderId="0" xfId="6" applyFont="1" applyAlignment="1">
      <alignment horizontal="right"/>
    </xf>
    <xf numFmtId="168" fontId="24" fillId="0" borderId="0" xfId="6" applyNumberFormat="1" applyFont="1"/>
    <xf numFmtId="164" fontId="25" fillId="0" borderId="0" xfId="6" applyFont="1" applyAlignment="1">
      <alignment horizontal="fill"/>
    </xf>
    <xf numFmtId="164" fontId="24" fillId="0" borderId="3" xfId="6" applyFont="1" applyBorder="1" applyAlignment="1">
      <alignment horizontal="center"/>
    </xf>
    <xf numFmtId="164" fontId="24" fillId="0" borderId="1" xfId="6" applyFont="1" applyBorder="1" applyAlignment="1">
      <alignment horizontal="center"/>
    </xf>
    <xf numFmtId="167" fontId="24" fillId="0" borderId="3" xfId="6" applyNumberFormat="1" applyFont="1" applyBorder="1" applyAlignment="1">
      <alignment horizontal="center"/>
    </xf>
    <xf numFmtId="164" fontId="24" fillId="0" borderId="2" xfId="6" applyFont="1" applyBorder="1" applyAlignment="1">
      <alignment horizontal="center"/>
    </xf>
    <xf numFmtId="164" fontId="30" fillId="0" borderId="2" xfId="6" applyFont="1" applyBorder="1" applyAlignment="1">
      <alignment horizontal="center"/>
    </xf>
    <xf numFmtId="164" fontId="11" fillId="0" borderId="0" xfId="6" applyFont="1" applyAlignment="1">
      <alignment horizontal="center"/>
    </xf>
    <xf numFmtId="164" fontId="24" fillId="0" borderId="9" xfId="6" applyFont="1" applyBorder="1" applyAlignment="1">
      <alignment horizontal="center"/>
    </xf>
    <xf numFmtId="164" fontId="24" fillId="0" borderId="8" xfId="6" applyFont="1" applyBorder="1" applyAlignment="1">
      <alignment horizontal="center"/>
    </xf>
    <xf numFmtId="167" fontId="24" fillId="0" borderId="9" xfId="6" applyNumberFormat="1" applyFont="1" applyBorder="1" applyAlignment="1">
      <alignment horizontal="center"/>
    </xf>
    <xf numFmtId="164" fontId="24" fillId="0" borderId="11" xfId="6" applyFont="1" applyBorder="1" applyAlignment="1">
      <alignment horizontal="center"/>
    </xf>
    <xf numFmtId="164" fontId="25" fillId="0" borderId="5" xfId="6" applyFont="1" applyBorder="1" applyAlignment="1">
      <alignment horizontal="fill"/>
    </xf>
    <xf numFmtId="164" fontId="25" fillId="0" borderId="4" xfId="6" applyFont="1" applyBorder="1"/>
    <xf numFmtId="164" fontId="25" fillId="0" borderId="5" xfId="6" applyFont="1" applyBorder="1"/>
    <xf numFmtId="164" fontId="25" fillId="0" borderId="3" xfId="6" applyFont="1" applyBorder="1"/>
    <xf numFmtId="164" fontId="25" fillId="0" borderId="1" xfId="6" applyFont="1" applyBorder="1"/>
    <xf numFmtId="0" fontId="25" fillId="0" borderId="5" xfId="6" applyNumberFormat="1" applyFont="1" applyBorder="1"/>
    <xf numFmtId="164" fontId="28" fillId="0" borderId="5" xfId="6" applyFont="1" applyBorder="1" applyProtection="1">
      <protection locked="0"/>
    </xf>
    <xf numFmtId="165" fontId="28" fillId="0" borderId="4" xfId="6" applyNumberFormat="1" applyFont="1" applyBorder="1" applyProtection="1">
      <protection locked="0"/>
    </xf>
    <xf numFmtId="164" fontId="28" fillId="0" borderId="4" xfId="6" applyFont="1" applyBorder="1" applyProtection="1">
      <protection locked="0"/>
    </xf>
    <xf numFmtId="165" fontId="25" fillId="0" borderId="5" xfId="6" applyNumberFormat="1" applyFont="1" applyBorder="1"/>
    <xf numFmtId="7" fontId="25" fillId="0" borderId="5" xfId="6" applyNumberFormat="1" applyFont="1" applyBorder="1"/>
    <xf numFmtId="167" fontId="28" fillId="0" borderId="5" xfId="6" applyNumberFormat="1" applyFont="1" applyBorder="1" applyProtection="1">
      <protection locked="0"/>
    </xf>
    <xf numFmtId="164" fontId="25" fillId="0" borderId="9" xfId="6" applyFont="1" applyBorder="1" applyAlignment="1">
      <alignment horizontal="fill"/>
    </xf>
    <xf numFmtId="164" fontId="25" fillId="0" borderId="8" xfId="6" applyFont="1" applyBorder="1"/>
    <xf numFmtId="164" fontId="25" fillId="0" borderId="9" xfId="6" applyFont="1" applyBorder="1"/>
    <xf numFmtId="164" fontId="24" fillId="0" borderId="12" xfId="6" applyFont="1" applyBorder="1" applyAlignment="1">
      <alignment horizontal="left"/>
    </xf>
    <xf numFmtId="164" fontId="24" fillId="0" borderId="13" xfId="6" applyFont="1" applyBorder="1"/>
    <xf numFmtId="167" fontId="24" fillId="0" borderId="14" xfId="6" applyNumberFormat="1" applyFont="1" applyBorder="1"/>
    <xf numFmtId="164" fontId="24" fillId="0" borderId="13" xfId="6" applyFont="1" applyBorder="1" applyAlignment="1">
      <alignment horizontal="left"/>
    </xf>
    <xf numFmtId="164" fontId="24" fillId="0" borderId="14" xfId="6" applyFont="1" applyBorder="1"/>
    <xf numFmtId="165" fontId="24" fillId="0" borderId="14" xfId="6" applyNumberFormat="1" applyFont="1" applyBorder="1"/>
    <xf numFmtId="7" fontId="24" fillId="0" borderId="14" xfId="6" applyNumberFormat="1" applyFont="1" applyBorder="1"/>
    <xf numFmtId="164" fontId="11" fillId="0" borderId="0" xfId="6" applyFont="1"/>
    <xf numFmtId="164" fontId="24" fillId="0" borderId="12" xfId="6" applyFont="1" applyBorder="1" applyAlignment="1">
      <alignment horizontal="center"/>
    </xf>
    <xf numFmtId="164" fontId="24" fillId="0" borderId="14" xfId="6" applyFont="1" applyBorder="1" applyAlignment="1">
      <alignment horizontal="center"/>
    </xf>
    <xf numFmtId="167" fontId="24" fillId="0" borderId="15" xfId="6" applyNumberFormat="1" applyFont="1" applyBorder="1" applyAlignment="1">
      <alignment horizontal="center"/>
    </xf>
    <xf numFmtId="164" fontId="24" fillId="0" borderId="13" xfId="6" applyFont="1" applyBorder="1" applyAlignment="1">
      <alignment horizontal="center"/>
    </xf>
    <xf numFmtId="164" fontId="24" fillId="0" borderId="13" xfId="6" quotePrefix="1" applyFont="1" applyBorder="1" applyAlignment="1">
      <alignment horizontal="center"/>
    </xf>
    <xf numFmtId="164" fontId="24" fillId="0" borderId="0" xfId="6" applyFont="1" applyAlignment="1">
      <alignment horizontal="center"/>
    </xf>
    <xf numFmtId="164" fontId="25" fillId="0" borderId="7" xfId="6" applyFont="1" applyBorder="1"/>
    <xf numFmtId="0" fontId="24" fillId="0" borderId="0" xfId="6" applyNumberFormat="1" applyFont="1"/>
    <xf numFmtId="167" fontId="25" fillId="0" borderId="5" xfId="6" applyNumberFormat="1" applyFont="1" applyBorder="1" applyAlignment="1">
      <alignment horizontal="center"/>
    </xf>
    <xf numFmtId="164" fontId="25" fillId="0" borderId="5" xfId="6" applyFont="1" applyBorder="1" applyAlignment="1">
      <alignment horizontal="left"/>
    </xf>
    <xf numFmtId="164" fontId="25" fillId="0" borderId="5" xfId="6" applyFont="1" applyBorder="1" applyAlignment="1">
      <alignment horizontal="right"/>
    </xf>
    <xf numFmtId="164" fontId="26" fillId="0" borderId="5" xfId="6" applyFont="1" applyBorder="1" applyProtection="1">
      <protection locked="0"/>
    </xf>
    <xf numFmtId="164" fontId="25" fillId="0" borderId="9" xfId="6" applyFont="1" applyBorder="1" applyAlignment="1">
      <alignment horizontal="left"/>
    </xf>
    <xf numFmtId="164" fontId="25" fillId="0" borderId="9" xfId="6" applyFont="1" applyBorder="1" applyAlignment="1">
      <alignment horizontal="right"/>
    </xf>
    <xf numFmtId="164" fontId="26" fillId="0" borderId="9" xfId="6" applyFont="1" applyBorder="1" applyProtection="1">
      <protection locked="0"/>
    </xf>
    <xf numFmtId="164" fontId="25" fillId="0" borderId="0" xfId="6" quotePrefix="1" applyFont="1" applyAlignment="1">
      <alignment horizontal="right"/>
    </xf>
    <xf numFmtId="164" fontId="24" fillId="0" borderId="0" xfId="6" applyFont="1" applyAlignment="1">
      <alignment horizontal="left"/>
    </xf>
    <xf numFmtId="164" fontId="24" fillId="0" borderId="15" xfId="6" applyFont="1" applyBorder="1" applyAlignment="1">
      <alignment horizontal="center"/>
    </xf>
    <xf numFmtId="164" fontId="31" fillId="0" borderId="13" xfId="6" applyFont="1" applyBorder="1" applyProtection="1">
      <protection locked="0"/>
    </xf>
    <xf numFmtId="164" fontId="24" fillId="0" borderId="15" xfId="6" applyFont="1" applyBorder="1"/>
    <xf numFmtId="167" fontId="24" fillId="0" borderId="14" xfId="6" applyNumberFormat="1" applyFont="1" applyBorder="1" applyAlignment="1">
      <alignment horizontal="center"/>
    </xf>
    <xf numFmtId="164" fontId="26" fillId="0" borderId="4" xfId="6" applyFont="1" applyBorder="1" applyProtection="1">
      <protection locked="0"/>
    </xf>
    <xf numFmtId="164" fontId="24" fillId="0" borderId="11" xfId="6" applyFont="1" applyBorder="1"/>
    <xf numFmtId="164" fontId="24" fillId="0" borderId="14" xfId="6" applyFont="1" applyBorder="1" applyAlignment="1">
      <alignment horizontal="left"/>
    </xf>
    <xf numFmtId="164" fontId="25" fillId="0" borderId="14" xfId="6" applyFont="1" applyBorder="1"/>
    <xf numFmtId="164" fontId="24" fillId="0" borderId="13" xfId="6" applyFont="1" applyBorder="1" applyAlignment="1">
      <alignment horizontal="right"/>
    </xf>
    <xf numFmtId="164" fontId="24" fillId="0" borderId="14" xfId="6" applyFont="1" applyBorder="1" applyAlignment="1">
      <alignment horizontal="right"/>
    </xf>
    <xf numFmtId="164" fontId="28" fillId="0" borderId="5" xfId="6" applyFont="1" applyBorder="1" applyAlignment="1" applyProtection="1">
      <alignment horizontal="left"/>
      <protection locked="0"/>
    </xf>
    <xf numFmtId="167" fontId="25" fillId="0" borderId="5" xfId="6" applyNumberFormat="1" applyFont="1" applyBorder="1"/>
    <xf numFmtId="164" fontId="25" fillId="0" borderId="13" xfId="6" applyFont="1" applyBorder="1"/>
    <xf numFmtId="164" fontId="24" fillId="0" borderId="5" xfId="6" applyFont="1" applyBorder="1" applyAlignment="1">
      <alignment horizontal="center"/>
    </xf>
    <xf numFmtId="164" fontId="25" fillId="0" borderId="1" xfId="6" applyFont="1" applyBorder="1" applyAlignment="1">
      <alignment horizontal="left"/>
    </xf>
    <xf numFmtId="44" fontId="25" fillId="0" borderId="3" xfId="1" applyFont="1" applyBorder="1" applyAlignment="1" applyProtection="1">
      <alignment horizontal="left"/>
    </xf>
    <xf numFmtId="164" fontId="25" fillId="0" borderId="0" xfId="6" applyFont="1" applyAlignment="1">
      <alignment horizontal="right"/>
    </xf>
    <xf numFmtId="164" fontId="30" fillId="0" borderId="1" xfId="6" applyFont="1" applyBorder="1" applyAlignment="1">
      <alignment horizontal="right"/>
    </xf>
    <xf numFmtId="5" fontId="24" fillId="0" borderId="3" xfId="6" applyNumberFormat="1" applyFont="1" applyBorder="1" applyAlignment="1">
      <alignment horizontal="left"/>
    </xf>
    <xf numFmtId="165" fontId="24" fillId="0" borderId="3" xfId="6" applyNumberFormat="1" applyFont="1" applyBorder="1"/>
    <xf numFmtId="164" fontId="25" fillId="0" borderId="6" xfId="6" applyFont="1" applyBorder="1"/>
    <xf numFmtId="164" fontId="25" fillId="0" borderId="4" xfId="6" applyFont="1" applyBorder="1" applyAlignment="1">
      <alignment horizontal="left"/>
    </xf>
    <xf numFmtId="44" fontId="25" fillId="0" borderId="5" xfId="1" applyFont="1" applyBorder="1" applyAlignment="1" applyProtection="1">
      <alignment horizontal="left"/>
    </xf>
    <xf numFmtId="164" fontId="30" fillId="0" borderId="4" xfId="6" applyFont="1" applyBorder="1" applyAlignment="1">
      <alignment horizontal="right"/>
    </xf>
    <xf numFmtId="5" fontId="24" fillId="0" borderId="5" xfId="6" applyNumberFormat="1" applyFont="1" applyBorder="1" applyAlignment="1">
      <alignment horizontal="left"/>
    </xf>
    <xf numFmtId="7" fontId="24" fillId="0" borderId="7" xfId="6" applyNumberFormat="1" applyFont="1" applyBorder="1"/>
    <xf numFmtId="165" fontId="24" fillId="0" borderId="5" xfId="6" applyNumberFormat="1" applyFont="1" applyBorder="1"/>
    <xf numFmtId="164" fontId="24" fillId="0" borderId="5" xfId="6" applyFont="1" applyBorder="1" applyAlignment="1">
      <alignment horizontal="right"/>
    </xf>
    <xf numFmtId="165" fontId="24" fillId="0" borderId="5" xfId="6" applyNumberFormat="1" applyFont="1" applyBorder="1" applyAlignment="1">
      <alignment horizontal="left"/>
    </xf>
    <xf numFmtId="7" fontId="24" fillId="0" borderId="5" xfId="6" applyNumberFormat="1" applyFont="1" applyBorder="1" applyAlignment="1">
      <alignment horizontal="center"/>
    </xf>
    <xf numFmtId="164" fontId="25" fillId="0" borderId="5" xfId="6" applyFont="1" applyBorder="1" applyAlignment="1">
      <alignment horizontal="center"/>
    </xf>
    <xf numFmtId="7" fontId="24" fillId="0" borderId="5" xfId="6" applyNumberFormat="1" applyFont="1" applyBorder="1" applyAlignment="1">
      <alignment horizontal="right"/>
    </xf>
    <xf numFmtId="164" fontId="24" fillId="0" borderId="6" xfId="6" applyFont="1" applyBorder="1" applyAlignment="1">
      <alignment horizontal="center"/>
    </xf>
    <xf numFmtId="164" fontId="30" fillId="0" borderId="8" xfId="6" applyFont="1" applyBorder="1" applyAlignment="1">
      <alignment horizontal="right"/>
    </xf>
    <xf numFmtId="165" fontId="24" fillId="0" borderId="9" xfId="6" applyNumberFormat="1" applyFont="1" applyBorder="1" applyAlignment="1">
      <alignment horizontal="left"/>
    </xf>
    <xf numFmtId="165" fontId="24" fillId="0" borderId="9" xfId="6" applyNumberFormat="1" applyFont="1" applyBorder="1"/>
    <xf numFmtId="7" fontId="24" fillId="0" borderId="10" xfId="6" applyNumberFormat="1" applyFont="1" applyBorder="1"/>
    <xf numFmtId="164" fontId="24" fillId="0" borderId="10" xfId="6" applyFont="1" applyBorder="1" applyAlignment="1">
      <alignment horizontal="center"/>
    </xf>
    <xf numFmtId="164" fontId="25" fillId="0" borderId="8" xfId="6" applyFont="1" applyBorder="1" applyAlignment="1">
      <alignment horizontal="left"/>
    </xf>
    <xf numFmtId="44" fontId="25" fillId="0" borderId="9" xfId="1" applyFont="1" applyBorder="1" applyAlignment="1" applyProtection="1">
      <alignment horizontal="left"/>
    </xf>
    <xf numFmtId="44" fontId="24" fillId="0" borderId="5" xfId="6" applyNumberFormat="1" applyFont="1" applyBorder="1" applyAlignment="1">
      <alignment horizontal="center"/>
    </xf>
    <xf numFmtId="44" fontId="24" fillId="0" borderId="5" xfId="6" applyNumberFormat="1" applyFont="1" applyBorder="1"/>
    <xf numFmtId="44" fontId="24" fillId="0" borderId="14" xfId="6" applyNumberFormat="1" applyFont="1" applyBorder="1" applyAlignment="1">
      <alignment horizontal="center"/>
    </xf>
    <xf numFmtId="44" fontId="24" fillId="0" borderId="14" xfId="6" applyNumberFormat="1" applyFont="1" applyBorder="1"/>
    <xf numFmtId="164" fontId="3" fillId="0" borderId="0" xfId="6" applyFont="1"/>
    <xf numFmtId="164" fontId="3" fillId="0" borderId="0" xfId="6" applyFont="1" applyProtection="1">
      <protection locked="0"/>
    </xf>
    <xf numFmtId="7" fontId="15" fillId="0" borderId="6" xfId="5" applyNumberFormat="1" applyFont="1" applyBorder="1" applyAlignment="1" applyProtection="1">
      <alignment horizontal="left"/>
      <protection locked="0"/>
    </xf>
    <xf numFmtId="7" fontId="15" fillId="0" borderId="7" xfId="5" applyNumberFormat="1" applyFont="1" applyBorder="1" applyAlignment="1" applyProtection="1">
      <alignment horizontal="left"/>
      <protection locked="0"/>
    </xf>
    <xf numFmtId="7" fontId="15" fillId="0" borderId="10" xfId="5" applyNumberFormat="1" applyFont="1" applyBorder="1" applyAlignment="1" applyProtection="1">
      <alignment horizontal="left"/>
      <protection locked="0"/>
    </xf>
    <xf numFmtId="15" fontId="24" fillId="0" borderId="0" xfId="7" applyNumberFormat="1" applyFont="1" applyAlignment="1">
      <alignment horizontal="right"/>
    </xf>
    <xf numFmtId="15" fontId="29" fillId="0" borderId="0" xfId="7" applyNumberFormat="1" applyFont="1" applyAlignment="1">
      <alignment horizontal="right"/>
    </xf>
    <xf numFmtId="0" fontId="3" fillId="0" borderId="0" xfId="3" applyFont="1" applyAlignment="1">
      <alignment horizontal="center"/>
    </xf>
    <xf numFmtId="0" fontId="4" fillId="0" borderId="0" xfId="3" applyFont="1"/>
    <xf numFmtId="0" fontId="5" fillId="0" borderId="0" xfId="3" applyFont="1"/>
    <xf numFmtId="0" fontId="3" fillId="0" borderId="0" xfId="3" applyFont="1"/>
    <xf numFmtId="0" fontId="2" fillId="0" borderId="0" xfId="3"/>
    <xf numFmtId="0" fontId="6" fillId="0" borderId="0" xfId="3" applyFont="1" applyAlignment="1" applyProtection="1">
      <alignment horizontal="left"/>
      <protection locked="0"/>
    </xf>
    <xf numFmtId="0" fontId="3" fillId="0" borderId="1" xfId="3" applyFont="1" applyBorder="1" applyAlignment="1">
      <alignment horizontal="left"/>
    </xf>
    <xf numFmtId="0" fontId="3" fillId="0" borderId="2" xfId="3" applyFont="1" applyBorder="1" applyAlignment="1">
      <alignment horizontal="left"/>
    </xf>
    <xf numFmtId="7" fontId="7" fillId="0" borderId="27" xfId="3" applyNumberFormat="1" applyFont="1" applyBorder="1" applyAlignment="1" applyProtection="1">
      <alignment horizontal="left"/>
      <protection locked="0"/>
    </xf>
    <xf numFmtId="0" fontId="7" fillId="0" borderId="27" xfId="3" applyFont="1" applyBorder="1" applyAlignment="1" applyProtection="1">
      <alignment horizontal="left"/>
      <protection locked="0"/>
    </xf>
    <xf numFmtId="164" fontId="3" fillId="0" borderId="1" xfId="3" applyNumberFormat="1" applyFont="1" applyBorder="1" applyAlignment="1">
      <alignment horizontal="left"/>
    </xf>
    <xf numFmtId="168" fontId="3" fillId="0" borderId="27" xfId="3" applyNumberFormat="1" applyFont="1" applyBorder="1" applyAlignment="1" applyProtection="1">
      <alignment horizontal="left"/>
      <protection locked="0"/>
    </xf>
    <xf numFmtId="0" fontId="3" fillId="0" borderId="0" xfId="3" applyFont="1" applyAlignment="1">
      <alignment horizontal="left"/>
    </xf>
    <xf numFmtId="0" fontId="3" fillId="0" borderId="4" xfId="3" applyFont="1" applyBorder="1"/>
    <xf numFmtId="7" fontId="7" fillId="0" borderId="28" xfId="3" applyNumberFormat="1" applyFont="1" applyBorder="1" applyAlignment="1">
      <alignment horizontal="left"/>
    </xf>
    <xf numFmtId="0" fontId="3" fillId="0" borderId="4" xfId="3" applyFont="1" applyBorder="1" applyAlignment="1">
      <alignment horizontal="left"/>
    </xf>
    <xf numFmtId="0" fontId="7" fillId="0" borderId="28" xfId="3" applyFont="1" applyBorder="1" applyAlignment="1" applyProtection="1">
      <alignment horizontal="left"/>
      <protection locked="0"/>
    </xf>
    <xf numFmtId="164" fontId="3" fillId="0" borderId="4" xfId="3" applyNumberFormat="1" applyFont="1" applyBorder="1" applyAlignment="1">
      <alignment horizontal="left"/>
    </xf>
    <xf numFmtId="7" fontId="7" fillId="0" borderId="28" xfId="3" applyNumberFormat="1" applyFont="1" applyBorder="1" applyAlignment="1" applyProtection="1">
      <alignment horizontal="left"/>
      <protection locked="0"/>
    </xf>
    <xf numFmtId="164" fontId="3" fillId="0" borderId="12" xfId="3" applyNumberFormat="1" applyFont="1" applyBorder="1" applyAlignment="1" applyProtection="1">
      <alignment horizontal="left"/>
      <protection locked="0"/>
    </xf>
    <xf numFmtId="0" fontId="3" fillId="0" borderId="13" xfId="3" applyFont="1" applyBorder="1" applyAlignment="1">
      <alignment horizontal="left"/>
    </xf>
    <xf numFmtId="164" fontId="3" fillId="0" borderId="15" xfId="3" applyNumberFormat="1" applyFont="1" applyBorder="1"/>
    <xf numFmtId="15" fontId="4" fillId="0" borderId="0" xfId="3" applyNumberFormat="1" applyFont="1"/>
    <xf numFmtId="0" fontId="7" fillId="0" borderId="28" xfId="3" applyFont="1" applyBorder="1" applyAlignment="1">
      <alignment horizontal="left"/>
    </xf>
    <xf numFmtId="0" fontId="4" fillId="0" borderId="4" xfId="3" applyFont="1" applyBorder="1"/>
    <xf numFmtId="0" fontId="3" fillId="0" borderId="28" xfId="3" applyFont="1" applyBorder="1" applyAlignment="1">
      <alignment horizontal="left"/>
    </xf>
    <xf numFmtId="7" fontId="3" fillId="0" borderId="0" xfId="3" applyNumberFormat="1" applyFont="1" applyAlignment="1">
      <alignment horizontal="left"/>
    </xf>
    <xf numFmtId="0" fontId="3" fillId="0" borderId="0" xfId="3" applyFont="1" applyAlignment="1">
      <alignment horizontal="right"/>
    </xf>
    <xf numFmtId="166" fontId="3" fillId="0" borderId="0" xfId="3" applyNumberFormat="1" applyFont="1" applyAlignment="1" applyProtection="1">
      <alignment horizontal="left"/>
      <protection locked="0"/>
    </xf>
    <xf numFmtId="164" fontId="3" fillId="0" borderId="0" xfId="3" applyNumberFormat="1" applyFont="1"/>
    <xf numFmtId="165" fontId="4" fillId="0" borderId="28" xfId="3" applyNumberFormat="1" applyFont="1" applyBorder="1" applyAlignment="1">
      <alignment horizontal="left"/>
    </xf>
    <xf numFmtId="7" fontId="3" fillId="0" borderId="0" xfId="3" applyNumberFormat="1" applyFont="1" applyAlignment="1">
      <alignment horizontal="right"/>
    </xf>
    <xf numFmtId="15" fontId="3" fillId="0" borderId="0" xfId="3" applyNumberFormat="1" applyFont="1" applyAlignment="1">
      <alignment horizontal="left"/>
    </xf>
    <xf numFmtId="164" fontId="3" fillId="0" borderId="0" xfId="3" applyNumberFormat="1" applyFont="1" applyAlignment="1" applyProtection="1">
      <alignment horizontal="left"/>
      <protection locked="0"/>
    </xf>
    <xf numFmtId="0" fontId="3" fillId="0" borderId="8" xfId="3" applyFont="1" applyBorder="1"/>
    <xf numFmtId="0" fontId="3" fillId="0" borderId="11" xfId="3" applyFont="1" applyBorder="1" applyAlignment="1">
      <alignment horizontal="left"/>
    </xf>
    <xf numFmtId="0" fontId="7" fillId="0" borderId="29" xfId="3" applyFont="1" applyBorder="1" applyAlignment="1" applyProtection="1">
      <alignment horizontal="left"/>
      <protection locked="0"/>
    </xf>
    <xf numFmtId="0" fontId="3" fillId="0" borderId="8" xfId="3" applyFont="1" applyBorder="1" applyAlignment="1">
      <alignment horizontal="left"/>
    </xf>
    <xf numFmtId="7" fontId="7" fillId="0" borderId="29" xfId="3" applyNumberFormat="1" applyFont="1" applyBorder="1" applyAlignment="1" applyProtection="1">
      <alignment horizontal="left"/>
      <protection locked="0"/>
    </xf>
    <xf numFmtId="164" fontId="3" fillId="0" borderId="8" xfId="3" applyNumberFormat="1" applyFont="1" applyBorder="1" applyAlignment="1">
      <alignment horizontal="right"/>
    </xf>
    <xf numFmtId="165" fontId="7" fillId="0" borderId="29" xfId="3" applyNumberFormat="1" applyFont="1" applyBorder="1" applyAlignment="1" applyProtection="1">
      <alignment horizontal="left"/>
      <protection locked="0"/>
    </xf>
    <xf numFmtId="169" fontId="4" fillId="0" borderId="0" xfId="3" applyNumberFormat="1" applyFont="1" applyAlignment="1">
      <alignment horizontal="right"/>
    </xf>
    <xf numFmtId="18" fontId="4" fillId="0" borderId="0" xfId="3" applyNumberFormat="1" applyFont="1"/>
    <xf numFmtId="0" fontId="4" fillId="0" borderId="0" xfId="3" applyFont="1" applyAlignment="1">
      <alignment horizontal="fill"/>
    </xf>
    <xf numFmtId="0" fontId="3" fillId="0" borderId="14" xfId="3" applyFont="1" applyBorder="1" applyAlignment="1">
      <alignment horizontal="center"/>
    </xf>
    <xf numFmtId="164" fontId="3" fillId="0" borderId="14" xfId="3" applyNumberFormat="1" applyFont="1" applyBorder="1" applyAlignment="1">
      <alignment horizontal="center"/>
    </xf>
    <xf numFmtId="165" fontId="3" fillId="0" borderId="14" xfId="3" applyNumberFormat="1" applyFont="1" applyBorder="1" applyAlignment="1">
      <alignment horizontal="center"/>
    </xf>
    <xf numFmtId="164" fontId="3" fillId="0" borderId="15" xfId="3" applyNumberFormat="1" applyFont="1" applyBorder="1" applyAlignment="1">
      <alignment horizontal="center"/>
    </xf>
    <xf numFmtId="164" fontId="3" fillId="0" borderId="12" xfId="3" applyNumberFormat="1" applyFont="1" applyBorder="1" applyAlignment="1">
      <alignment horizontal="center"/>
    </xf>
    <xf numFmtId="7" fontId="3" fillId="0" borderId="14" xfId="3" applyNumberFormat="1" applyFont="1" applyBorder="1" applyAlignment="1">
      <alignment horizontal="center"/>
    </xf>
    <xf numFmtId="0" fontId="8" fillId="0" borderId="0" xfId="3" applyFont="1" applyAlignment="1">
      <alignment horizontal="center"/>
    </xf>
    <xf numFmtId="0" fontId="4" fillId="0" borderId="5" xfId="3" applyFont="1" applyBorder="1"/>
    <xf numFmtId="0" fontId="4" fillId="0" borderId="3" xfId="3" applyFont="1" applyBorder="1"/>
    <xf numFmtId="44" fontId="4" fillId="0" borderId="5" xfId="2" applyFont="1" applyBorder="1"/>
    <xf numFmtId="0" fontId="9" fillId="0" borderId="0" xfId="3" applyFont="1"/>
    <xf numFmtId="0" fontId="4" fillId="0" borderId="5" xfId="3" applyFont="1" applyBorder="1" applyAlignment="1">
      <alignment horizontal="left"/>
    </xf>
    <xf numFmtId="2" fontId="4" fillId="0" borderId="5" xfId="3" applyNumberFormat="1" applyFont="1" applyBorder="1" applyAlignment="1">
      <alignment horizontal="left" indent="1"/>
    </xf>
    <xf numFmtId="2" fontId="4" fillId="0" borderId="5" xfId="3" applyNumberFormat="1" applyFont="1" applyBorder="1"/>
    <xf numFmtId="0" fontId="4" fillId="0" borderId="5" xfId="3" applyFont="1" applyBorder="1" applyAlignment="1">
      <alignment horizontal="right"/>
    </xf>
    <xf numFmtId="4" fontId="4" fillId="0" borderId="5" xfId="2" applyNumberFormat="1" applyFont="1" applyBorder="1" applyProtection="1">
      <protection locked="0"/>
    </xf>
    <xf numFmtId="164" fontId="4" fillId="0" borderId="5" xfId="3" applyNumberFormat="1" applyFont="1" applyBorder="1"/>
    <xf numFmtId="167" fontId="4" fillId="0" borderId="5" xfId="3" applyNumberFormat="1" applyFont="1" applyBorder="1"/>
    <xf numFmtId="4" fontId="4" fillId="0" borderId="5" xfId="3" applyNumberFormat="1" applyFont="1" applyBorder="1"/>
    <xf numFmtId="4" fontId="4" fillId="0" borderId="7" xfId="3" applyNumberFormat="1" applyFont="1" applyBorder="1"/>
    <xf numFmtId="4" fontId="4" fillId="0" borderId="4" xfId="3" applyNumberFormat="1" applyFont="1" applyBorder="1"/>
    <xf numFmtId="7" fontId="4" fillId="0" borderId="5" xfId="3" applyNumberFormat="1" applyFont="1" applyBorder="1" applyProtection="1">
      <protection locked="0"/>
    </xf>
    <xf numFmtId="4" fontId="4" fillId="0" borderId="5" xfId="2" applyNumberFormat="1" applyFont="1" applyBorder="1"/>
    <xf numFmtId="0" fontId="4" fillId="0" borderId="5" xfId="3" applyFont="1" applyBorder="1" applyAlignment="1" applyProtection="1">
      <alignment horizontal="right"/>
      <protection locked="0"/>
    </xf>
    <xf numFmtId="0" fontId="4" fillId="0" borderId="9" xfId="3" applyFont="1" applyBorder="1"/>
    <xf numFmtId="2" fontId="4" fillId="0" borderId="9" xfId="3" applyNumberFormat="1" applyFont="1" applyBorder="1" applyAlignment="1">
      <alignment horizontal="left" indent="1"/>
    </xf>
    <xf numFmtId="2" fontId="4" fillId="0" borderId="9" xfId="3" applyNumberFormat="1" applyFont="1" applyBorder="1"/>
    <xf numFmtId="0" fontId="4" fillId="0" borderId="9" xfId="3" applyFont="1" applyBorder="1" applyAlignment="1" applyProtection="1">
      <alignment horizontal="left"/>
      <protection locked="0"/>
    </xf>
    <xf numFmtId="4" fontId="4" fillId="0" borderId="9" xfId="2" applyNumberFormat="1" applyFont="1" applyBorder="1"/>
    <xf numFmtId="164" fontId="4" fillId="0" borderId="9" xfId="3" applyNumberFormat="1" applyFont="1" applyBorder="1"/>
    <xf numFmtId="167" fontId="4" fillId="0" borderId="9" xfId="3" applyNumberFormat="1" applyFont="1" applyBorder="1"/>
    <xf numFmtId="0" fontId="4" fillId="0" borderId="0" xfId="3" applyFont="1" applyAlignment="1">
      <alignment horizontal="left"/>
    </xf>
    <xf numFmtId="4" fontId="4" fillId="0" borderId="3" xfId="3" applyNumberFormat="1" applyFont="1" applyBorder="1"/>
    <xf numFmtId="164" fontId="4" fillId="0" borderId="7" xfId="3" applyNumberFormat="1" applyFont="1" applyBorder="1"/>
    <xf numFmtId="164" fontId="6" fillId="0" borderId="5" xfId="3" applyNumberFormat="1" applyFont="1" applyBorder="1" applyProtection="1">
      <protection locked="0"/>
    </xf>
    <xf numFmtId="0" fontId="10" fillId="0" borderId="0" xfId="3" applyFont="1" applyAlignment="1">
      <alignment horizontal="left"/>
    </xf>
    <xf numFmtId="4" fontId="10" fillId="0" borderId="14" xfId="3" applyNumberFormat="1" applyFont="1" applyBorder="1"/>
    <xf numFmtId="0" fontId="10" fillId="0" borderId="7" xfId="3" applyFont="1" applyBorder="1"/>
    <xf numFmtId="0" fontId="10" fillId="0" borderId="5" xfId="3" applyFont="1" applyBorder="1"/>
    <xf numFmtId="4" fontId="10" fillId="0" borderId="15" xfId="3" applyNumberFormat="1" applyFont="1" applyBorder="1"/>
    <xf numFmtId="4" fontId="10" fillId="0" borderId="12" xfId="3" applyNumberFormat="1" applyFont="1" applyBorder="1"/>
    <xf numFmtId="7" fontId="10" fillId="0" borderId="14" xfId="3" applyNumberFormat="1" applyFont="1" applyBorder="1"/>
    <xf numFmtId="0" fontId="11" fillId="0" borderId="0" xfId="3" applyFont="1"/>
    <xf numFmtId="0" fontId="3" fillId="0" borderId="3" xfId="3" applyFont="1" applyBorder="1" applyAlignment="1">
      <alignment horizontal="center"/>
    </xf>
    <xf numFmtId="0" fontId="3" fillId="0" borderId="15" xfId="3" applyFont="1" applyBorder="1" applyAlignment="1">
      <alignment horizontal="center"/>
    </xf>
    <xf numFmtId="0" fontId="3" fillId="0" borderId="13" xfId="3" applyFont="1" applyBorder="1" applyAlignment="1">
      <alignment horizontal="center"/>
    </xf>
    <xf numFmtId="164" fontId="3" fillId="0" borderId="13" xfId="3" applyNumberFormat="1" applyFont="1" applyBorder="1" applyAlignment="1">
      <alignment horizontal="center"/>
    </xf>
    <xf numFmtId="164" fontId="12" fillId="2" borderId="3" xfId="3" applyNumberFormat="1" applyFont="1" applyFill="1" applyBorder="1" applyAlignment="1">
      <alignment horizontal="center"/>
    </xf>
    <xf numFmtId="7" fontId="12" fillId="2" borderId="6" xfId="3" applyNumberFormat="1" applyFont="1" applyFill="1" applyBorder="1" applyAlignment="1">
      <alignment horizontal="center"/>
    </xf>
    <xf numFmtId="0" fontId="11" fillId="0" borderId="0" xfId="3" applyFont="1" applyAlignment="1">
      <alignment horizontal="center"/>
    </xf>
    <xf numFmtId="0" fontId="3" fillId="0" borderId="5" xfId="3" applyFont="1" applyBorder="1"/>
    <xf numFmtId="164" fontId="3" fillId="0" borderId="3" xfId="3" applyNumberFormat="1" applyFont="1" applyBorder="1" applyAlignment="1">
      <alignment horizontal="left"/>
    </xf>
    <xf numFmtId="0" fontId="4" fillId="0" borderId="6" xfId="3" applyFont="1" applyBorder="1" applyProtection="1">
      <protection locked="0"/>
    </xf>
    <xf numFmtId="167" fontId="4" fillId="0" borderId="1" xfId="3" applyNumberFormat="1" applyFont="1" applyBorder="1" applyProtection="1">
      <protection locked="0"/>
    </xf>
    <xf numFmtId="0" fontId="4" fillId="0" borderId="3" xfId="3" applyFont="1" applyBorder="1" applyAlignment="1">
      <alignment horizontal="right"/>
    </xf>
    <xf numFmtId="4" fontId="4" fillId="0" borderId="3" xfId="3" applyNumberFormat="1" applyFont="1" applyBorder="1" applyProtection="1">
      <protection locked="0"/>
    </xf>
    <xf numFmtId="4" fontId="4" fillId="0" borderId="0" xfId="3" applyNumberFormat="1" applyFont="1"/>
    <xf numFmtId="0" fontId="13" fillId="2" borderId="9" xfId="3" applyFont="1" applyFill="1" applyBorder="1"/>
    <xf numFmtId="44" fontId="13" fillId="2" borderId="9" xfId="2" applyFont="1" applyFill="1" applyBorder="1"/>
    <xf numFmtId="44" fontId="13" fillId="2" borderId="10" xfId="2" applyFont="1" applyFill="1" applyBorder="1"/>
    <xf numFmtId="164" fontId="3" fillId="0" borderId="5" xfId="3" applyNumberFormat="1" applyFont="1" applyBorder="1" applyAlignment="1">
      <alignment horizontal="left"/>
    </xf>
    <xf numFmtId="0" fontId="4" fillId="0" borderId="7" xfId="3" applyFont="1" applyBorder="1" applyProtection="1">
      <protection locked="0"/>
    </xf>
    <xf numFmtId="167" fontId="4" fillId="0" borderId="4" xfId="3" applyNumberFormat="1" applyFont="1" applyBorder="1" applyProtection="1">
      <protection locked="0"/>
    </xf>
    <xf numFmtId="4" fontId="4" fillId="0" borderId="5" xfId="3" applyNumberFormat="1" applyFont="1" applyBorder="1" applyProtection="1">
      <protection locked="0"/>
    </xf>
    <xf numFmtId="164" fontId="12" fillId="2" borderId="3" xfId="3" applyNumberFormat="1" applyFont="1" applyFill="1" applyBorder="1" applyAlignment="1">
      <alignment horizontal="left"/>
    </xf>
    <xf numFmtId="44" fontId="12" fillId="2" borderId="3" xfId="3" applyNumberFormat="1" applyFont="1" applyFill="1" applyBorder="1"/>
    <xf numFmtId="44" fontId="12" fillId="2" borderId="3" xfId="2" applyFont="1" applyFill="1" applyBorder="1" applyProtection="1"/>
    <xf numFmtId="44" fontId="12" fillId="2" borderId="7" xfId="3" applyNumberFormat="1" applyFont="1" applyFill="1" applyBorder="1"/>
    <xf numFmtId="164" fontId="12" fillId="2" borderId="5" xfId="3" applyNumberFormat="1" applyFont="1" applyFill="1" applyBorder="1" applyAlignment="1">
      <alignment horizontal="left"/>
    </xf>
    <xf numFmtId="44" fontId="12" fillId="2" borderId="5" xfId="3" applyNumberFormat="1" applyFont="1" applyFill="1" applyBorder="1"/>
    <xf numFmtId="44" fontId="12" fillId="2" borderId="5" xfId="2" applyFont="1" applyFill="1" applyBorder="1" applyProtection="1"/>
    <xf numFmtId="0" fontId="3" fillId="0" borderId="9" xfId="3" applyFont="1" applyBorder="1"/>
    <xf numFmtId="164" fontId="3" fillId="0" borderId="9" xfId="3" applyNumberFormat="1" applyFont="1" applyBorder="1" applyAlignment="1">
      <alignment horizontal="left"/>
    </xf>
    <xf numFmtId="0" fontId="4" fillId="0" borderId="10" xfId="3" applyFont="1" applyBorder="1" applyProtection="1">
      <protection locked="0"/>
    </xf>
    <xf numFmtId="167" fontId="4" fillId="0" borderId="8" xfId="3" applyNumberFormat="1" applyFont="1" applyBorder="1" applyProtection="1">
      <protection locked="0"/>
    </xf>
    <xf numFmtId="0" fontId="4" fillId="0" borderId="9" xfId="3" applyFont="1" applyBorder="1" applyAlignment="1">
      <alignment horizontal="right"/>
    </xf>
    <xf numFmtId="4" fontId="4" fillId="0" borderId="9" xfId="3" applyNumberFormat="1" applyFont="1" applyBorder="1"/>
    <xf numFmtId="164" fontId="10" fillId="0" borderId="0" xfId="3" applyNumberFormat="1" applyFont="1" applyAlignment="1">
      <alignment horizontal="left"/>
    </xf>
    <xf numFmtId="0" fontId="10" fillId="0" borderId="0" xfId="3" applyFont="1" applyAlignment="1">
      <alignment horizontal="right"/>
    </xf>
    <xf numFmtId="0" fontId="10" fillId="0" borderId="0" xfId="3" applyFont="1" applyAlignment="1" applyProtection="1">
      <alignment horizontal="right"/>
      <protection locked="0"/>
    </xf>
    <xf numFmtId="4" fontId="14" fillId="0" borderId="0" xfId="3" applyNumberFormat="1" applyFont="1" applyAlignment="1" applyProtection="1">
      <alignment horizontal="right"/>
      <protection locked="0"/>
    </xf>
    <xf numFmtId="4" fontId="10" fillId="0" borderId="14" xfId="3" applyNumberFormat="1" applyFont="1" applyBorder="1" applyAlignment="1">
      <alignment horizontal="right"/>
    </xf>
    <xf numFmtId="7" fontId="10" fillId="0" borderId="13" xfId="3" applyNumberFormat="1" applyFont="1" applyBorder="1" applyAlignment="1">
      <alignment horizontal="right"/>
    </xf>
    <xf numFmtId="7" fontId="10" fillId="0" borderId="14" xfId="3" applyNumberFormat="1" applyFont="1" applyBorder="1" applyAlignment="1" applyProtection="1">
      <alignment horizontal="right"/>
      <protection locked="0"/>
    </xf>
    <xf numFmtId="164" fontId="12" fillId="2" borderId="9" xfId="3" applyNumberFormat="1" applyFont="1" applyFill="1" applyBorder="1" applyAlignment="1">
      <alignment horizontal="left"/>
    </xf>
    <xf numFmtId="44" fontId="12" fillId="2" borderId="14" xfId="3" applyNumberFormat="1" applyFont="1" applyFill="1" applyBorder="1" applyAlignment="1">
      <alignment horizontal="right"/>
    </xf>
    <xf numFmtId="44" fontId="12" fillId="2" borderId="14" xfId="2" applyFont="1" applyFill="1" applyBorder="1" applyAlignment="1" applyProtection="1">
      <alignment horizontal="right"/>
    </xf>
    <xf numFmtId="0" fontId="8" fillId="0" borderId="0" xfId="3" applyFont="1" applyAlignment="1">
      <alignment horizontal="right"/>
    </xf>
    <xf numFmtId="0" fontId="3" fillId="0" borderId="1" xfId="3" applyFont="1" applyBorder="1"/>
    <xf numFmtId="44" fontId="15" fillId="0" borderId="6" xfId="2" applyFont="1" applyBorder="1"/>
    <xf numFmtId="44" fontId="15" fillId="0" borderId="3" xfId="2" applyFont="1" applyBorder="1"/>
    <xf numFmtId="0" fontId="6" fillId="0" borderId="0" xfId="3" applyFont="1" applyAlignment="1" applyProtection="1">
      <alignment horizontal="right"/>
      <protection locked="0"/>
    </xf>
    <xf numFmtId="164" fontId="4" fillId="0" borderId="0" xfId="3" applyNumberFormat="1" applyFont="1" applyAlignment="1">
      <alignment horizontal="left"/>
    </xf>
    <xf numFmtId="44" fontId="15" fillId="0" borderId="7" xfId="2" applyFont="1" applyBorder="1"/>
    <xf numFmtId="44" fontId="15" fillId="0" borderId="9" xfId="2" applyFont="1" applyBorder="1"/>
    <xf numFmtId="164" fontId="3" fillId="0" borderId="0" xfId="3" applyNumberFormat="1" applyFont="1" applyAlignment="1">
      <alignment horizontal="left"/>
    </xf>
    <xf numFmtId="0" fontId="4" fillId="0" borderId="11" xfId="3" applyFont="1" applyBorder="1"/>
    <xf numFmtId="44" fontId="15" fillId="0" borderId="10" xfId="2" applyFont="1" applyBorder="1"/>
    <xf numFmtId="0" fontId="6" fillId="0" borderId="11" xfId="3" applyFont="1" applyBorder="1" applyAlignment="1" applyProtection="1">
      <alignment horizontal="left"/>
      <protection locked="0"/>
    </xf>
    <xf numFmtId="164" fontId="4" fillId="0" borderId="11" xfId="3" applyNumberFormat="1" applyFont="1" applyBorder="1" applyAlignment="1">
      <alignment horizontal="left"/>
    </xf>
    <xf numFmtId="167" fontId="6" fillId="0" borderId="0" xfId="3" applyNumberFormat="1" applyFont="1" applyProtection="1">
      <protection locked="0"/>
    </xf>
    <xf numFmtId="167" fontId="4" fillId="0" borderId="0" xfId="3" applyNumberFormat="1" applyFont="1"/>
    <xf numFmtId="164" fontId="6" fillId="0" borderId="0" xfId="3" applyNumberFormat="1" applyFont="1" applyProtection="1">
      <protection locked="0"/>
    </xf>
    <xf numFmtId="0" fontId="3" fillId="3" borderId="1" xfId="3" applyFont="1" applyFill="1" applyBorder="1" applyAlignment="1">
      <alignment horizontal="left"/>
    </xf>
    <xf numFmtId="0" fontId="4" fillId="3" borderId="2" xfId="3" applyFont="1" applyFill="1" applyBorder="1"/>
    <xf numFmtId="0" fontId="3" fillId="3" borderId="2" xfId="3" applyFont="1" applyFill="1" applyBorder="1" applyAlignment="1">
      <alignment horizontal="left"/>
    </xf>
    <xf numFmtId="0" fontId="4" fillId="3" borderId="6" xfId="3" applyFont="1" applyFill="1" applyBorder="1"/>
    <xf numFmtId="0" fontId="3" fillId="3" borderId="8" xfId="3" applyFont="1" applyFill="1" applyBorder="1" applyAlignment="1">
      <alignment horizontal="left"/>
    </xf>
    <xf numFmtId="0" fontId="4" fillId="3" borderId="11" xfId="3" applyFont="1" applyFill="1" applyBorder="1"/>
    <xf numFmtId="0" fontId="3" fillId="3" borderId="11" xfId="3" applyFont="1" applyFill="1" applyBorder="1" applyAlignment="1">
      <alignment horizontal="center"/>
    </xf>
    <xf numFmtId="0" fontId="4" fillId="3" borderId="10" xfId="3" applyFont="1" applyFill="1" applyBorder="1"/>
    <xf numFmtId="164" fontId="3" fillId="4" borderId="1" xfId="3" applyNumberFormat="1" applyFont="1" applyFill="1" applyBorder="1" applyAlignment="1">
      <alignment horizontal="left"/>
    </xf>
    <xf numFmtId="0" fontId="4" fillId="4" borderId="2" xfId="3" applyFont="1" applyFill="1" applyBorder="1"/>
    <xf numFmtId="0" fontId="4" fillId="4" borderId="6" xfId="3" applyFont="1" applyFill="1" applyBorder="1"/>
    <xf numFmtId="0" fontId="16" fillId="0" borderId="0" xfId="3" applyFont="1"/>
    <xf numFmtId="164" fontId="4" fillId="4" borderId="4" xfId="3" applyNumberFormat="1" applyFont="1" applyFill="1" applyBorder="1"/>
    <xf numFmtId="164" fontId="4" fillId="4" borderId="0" xfId="3" applyNumberFormat="1" applyFont="1" applyFill="1" applyProtection="1">
      <protection locked="0"/>
    </xf>
    <xf numFmtId="164" fontId="4" fillId="4" borderId="0" xfId="3" applyNumberFormat="1" applyFont="1" applyFill="1"/>
    <xf numFmtId="164" fontId="4" fillId="4" borderId="7" xfId="3" applyNumberFormat="1" applyFont="1" applyFill="1" applyBorder="1" applyProtection="1">
      <protection locked="0"/>
    </xf>
    <xf numFmtId="164" fontId="4" fillId="4" borderId="7" xfId="3" applyNumberFormat="1" applyFont="1" applyFill="1" applyBorder="1"/>
    <xf numFmtId="164" fontId="6" fillId="4" borderId="7" xfId="3" applyNumberFormat="1" applyFont="1" applyFill="1" applyBorder="1" applyProtection="1">
      <protection locked="0"/>
    </xf>
    <xf numFmtId="164" fontId="6" fillId="4" borderId="0" xfId="3" applyNumberFormat="1" applyFont="1" applyFill="1" applyProtection="1">
      <protection locked="0"/>
    </xf>
    <xf numFmtId="0" fontId="4" fillId="4" borderId="0" xfId="3" applyFont="1" applyFill="1" applyProtection="1">
      <protection locked="0"/>
    </xf>
    <xf numFmtId="7" fontId="4" fillId="4" borderId="7" xfId="3" applyNumberFormat="1" applyFont="1" applyFill="1" applyBorder="1" applyProtection="1">
      <protection locked="0"/>
    </xf>
    <xf numFmtId="0" fontId="4" fillId="4" borderId="0" xfId="3" applyFont="1" applyFill="1"/>
    <xf numFmtId="7" fontId="4" fillId="4" borderId="7" xfId="3" applyNumberFormat="1" applyFont="1" applyFill="1" applyBorder="1"/>
    <xf numFmtId="164" fontId="4" fillId="4" borderId="8" xfId="3" applyNumberFormat="1" applyFont="1" applyFill="1" applyBorder="1"/>
    <xf numFmtId="164" fontId="4" fillId="4" borderId="11" xfId="3" applyNumberFormat="1" applyFont="1" applyFill="1" applyBorder="1" applyProtection="1">
      <protection locked="0"/>
    </xf>
    <xf numFmtId="0" fontId="4" fillId="4" borderId="11" xfId="3" applyFont="1" applyFill="1" applyBorder="1"/>
    <xf numFmtId="7" fontId="4" fillId="4" borderId="10" xfId="3" applyNumberFormat="1" applyFont="1" applyFill="1" applyBorder="1"/>
    <xf numFmtId="0" fontId="17" fillId="0" borderId="0" xfId="3" applyFont="1"/>
    <xf numFmtId="0" fontId="4" fillId="0" borderId="2" xfId="3" applyFont="1" applyBorder="1" applyAlignment="1">
      <alignment horizontal="left"/>
    </xf>
    <xf numFmtId="0" fontId="4" fillId="0" borderId="2" xfId="3" applyFont="1" applyBorder="1"/>
    <xf numFmtId="0" fontId="15" fillId="0" borderId="6" xfId="3" applyFont="1" applyBorder="1" applyAlignment="1" applyProtection="1">
      <alignment horizontal="left"/>
      <protection locked="0"/>
    </xf>
    <xf numFmtId="0" fontId="3" fillId="0" borderId="30" xfId="3" applyFont="1" applyBorder="1"/>
    <xf numFmtId="7" fontId="15" fillId="0" borderId="6" xfId="3" applyNumberFormat="1" applyFont="1" applyBorder="1" applyAlignment="1" applyProtection="1">
      <alignment horizontal="left"/>
      <protection locked="0"/>
    </xf>
    <xf numFmtId="0" fontId="4" fillId="0" borderId="30" xfId="3" applyFont="1" applyBorder="1"/>
    <xf numFmtId="0" fontId="3" fillId="0" borderId="3" xfId="3" applyFont="1" applyBorder="1" applyAlignment="1">
      <alignment horizontal="left"/>
    </xf>
    <xf numFmtId="165" fontId="3" fillId="0" borderId="0" xfId="3" applyNumberFormat="1" applyFont="1" applyAlignment="1">
      <alignment horizontal="left"/>
    </xf>
    <xf numFmtId="164" fontId="3" fillId="0" borderId="31" xfId="3" applyNumberFormat="1" applyFont="1" applyBorder="1" applyAlignment="1">
      <alignment horizontal="left"/>
    </xf>
    <xf numFmtId="164" fontId="15" fillId="0" borderId="6" xfId="3" applyNumberFormat="1" applyFont="1" applyBorder="1" applyProtection="1">
      <protection locked="0"/>
    </xf>
    <xf numFmtId="0" fontId="15" fillId="0" borderId="7" xfId="3" applyFont="1" applyBorder="1" applyAlignment="1" applyProtection="1">
      <alignment horizontal="left"/>
      <protection locked="0"/>
    </xf>
    <xf numFmtId="0" fontId="3" fillId="0" borderId="20" xfId="3" applyFont="1" applyBorder="1"/>
    <xf numFmtId="164" fontId="15" fillId="0" borderId="7" xfId="3" applyNumberFormat="1" applyFont="1" applyBorder="1" applyAlignment="1" applyProtection="1">
      <alignment horizontal="left"/>
      <protection locked="0"/>
    </xf>
    <xf numFmtId="0" fontId="4" fillId="0" borderId="20" xfId="3" applyFont="1" applyBorder="1"/>
    <xf numFmtId="0" fontId="3" fillId="0" borderId="5" xfId="3" applyFont="1" applyBorder="1" applyAlignment="1">
      <alignment horizontal="left"/>
    </xf>
    <xf numFmtId="0" fontId="15" fillId="0" borderId="0" xfId="3" applyFont="1" applyAlignment="1">
      <alignment horizontal="left"/>
    </xf>
    <xf numFmtId="164" fontId="3" fillId="0" borderId="32" xfId="3" applyNumberFormat="1" applyFont="1" applyBorder="1" applyAlignment="1">
      <alignment horizontal="left"/>
    </xf>
    <xf numFmtId="164" fontId="15" fillId="0" borderId="7" xfId="3" applyNumberFormat="1" applyFont="1" applyBorder="1"/>
    <xf numFmtId="7" fontId="15" fillId="0" borderId="7" xfId="3" applyNumberFormat="1" applyFont="1" applyBorder="1" applyAlignment="1" applyProtection="1">
      <alignment horizontal="left"/>
      <protection locked="0"/>
    </xf>
    <xf numFmtId="5" fontId="15" fillId="0" borderId="7" xfId="3" applyNumberFormat="1" applyFont="1" applyBorder="1" applyAlignment="1" applyProtection="1">
      <alignment horizontal="left"/>
      <protection locked="0"/>
    </xf>
    <xf numFmtId="165" fontId="3" fillId="0" borderId="0" xfId="3" applyNumberFormat="1" applyFont="1"/>
    <xf numFmtId="0" fontId="15" fillId="0" borderId="0" xfId="3" applyFont="1" applyAlignment="1" applyProtection="1">
      <alignment horizontal="left"/>
      <protection locked="0"/>
    </xf>
    <xf numFmtId="164" fontId="3" fillId="0" borderId="33" xfId="3" applyNumberFormat="1" applyFont="1" applyBorder="1" applyAlignment="1">
      <alignment horizontal="left"/>
    </xf>
    <xf numFmtId="164" fontId="15" fillId="0" borderId="10" xfId="3" applyNumberFormat="1" applyFont="1" applyBorder="1"/>
    <xf numFmtId="0" fontId="3" fillId="0" borderId="9" xfId="3" applyFont="1" applyBorder="1" applyAlignment="1">
      <alignment horizontal="left"/>
    </xf>
    <xf numFmtId="0" fontId="4" fillId="0" borderId="34" xfId="3" applyFont="1" applyBorder="1"/>
    <xf numFmtId="164" fontId="15" fillId="0" borderId="10" xfId="3" applyNumberFormat="1" applyFont="1" applyBorder="1" applyAlignment="1" applyProtection="1">
      <alignment horizontal="left"/>
      <protection locked="0"/>
    </xf>
    <xf numFmtId="0" fontId="4" fillId="0" borderId="11" xfId="3" applyFont="1" applyBorder="1" applyAlignment="1">
      <alignment horizontal="left"/>
    </xf>
    <xf numFmtId="0" fontId="15" fillId="0" borderId="10" xfId="3" applyFont="1" applyBorder="1" applyAlignment="1" applyProtection="1">
      <alignment horizontal="left"/>
      <protection locked="0"/>
    </xf>
    <xf numFmtId="0" fontId="3" fillId="0" borderId="34" xfId="3" applyFont="1" applyBorder="1"/>
    <xf numFmtId="0" fontId="4" fillId="0" borderId="10" xfId="3" applyFont="1" applyBorder="1"/>
    <xf numFmtId="165" fontId="3" fillId="0" borderId="1" xfId="3" applyNumberFormat="1" applyFont="1" applyBorder="1" applyAlignment="1">
      <alignment horizontal="left"/>
    </xf>
    <xf numFmtId="0" fontId="15" fillId="0" borderId="6" xfId="3" applyFont="1" applyBorder="1" applyAlignment="1">
      <alignment horizontal="left"/>
    </xf>
    <xf numFmtId="15" fontId="7" fillId="0" borderId="0" xfId="3" applyNumberFormat="1" applyFont="1" applyAlignment="1">
      <alignment horizontal="left"/>
    </xf>
    <xf numFmtId="164" fontId="3" fillId="0" borderId="8" xfId="3" applyNumberFormat="1" applyFont="1" applyBorder="1" applyAlignment="1">
      <alignment horizontal="left"/>
    </xf>
    <xf numFmtId="165" fontId="3" fillId="0" borderId="8" xfId="3" applyNumberFormat="1" applyFont="1" applyBorder="1"/>
    <xf numFmtId="0" fontId="15" fillId="0" borderId="10" xfId="3" applyFont="1" applyBorder="1" applyAlignment="1">
      <alignment horizontal="left"/>
    </xf>
    <xf numFmtId="0" fontId="4" fillId="0" borderId="3" xfId="3" applyFont="1" applyBorder="1" applyAlignment="1">
      <alignment horizontal="center"/>
    </xf>
    <xf numFmtId="164" fontId="3" fillId="0" borderId="3" xfId="3" applyNumberFormat="1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165" fontId="3" fillId="0" borderId="3" xfId="3" applyNumberFormat="1" applyFont="1" applyBorder="1" applyAlignment="1">
      <alignment horizontal="center"/>
    </xf>
    <xf numFmtId="164" fontId="3" fillId="0" borderId="1" xfId="3" applyNumberFormat="1" applyFont="1" applyBorder="1" applyAlignment="1">
      <alignment horizontal="center"/>
    </xf>
    <xf numFmtId="7" fontId="3" fillId="0" borderId="3" xfId="3" applyNumberFormat="1" applyFont="1" applyBorder="1" applyAlignment="1">
      <alignment horizontal="center"/>
    </xf>
    <xf numFmtId="165" fontId="3" fillId="0" borderId="1" xfId="3" applyNumberFormat="1" applyFont="1" applyBorder="1" applyAlignment="1">
      <alignment horizontal="center"/>
    </xf>
    <xf numFmtId="0" fontId="4" fillId="0" borderId="0" xfId="3" applyFont="1" applyAlignment="1">
      <alignment horizontal="center"/>
    </xf>
    <xf numFmtId="0" fontId="2" fillId="0" borderId="0" xfId="3" applyAlignment="1">
      <alignment horizontal="center"/>
    </xf>
    <xf numFmtId="0" fontId="3" fillId="0" borderId="9" xfId="3" applyFont="1" applyBorder="1" applyAlignment="1">
      <alignment horizontal="center"/>
    </xf>
    <xf numFmtId="0" fontId="4" fillId="0" borderId="9" xfId="3" applyFont="1" applyBorder="1" applyAlignment="1">
      <alignment horizontal="center"/>
    </xf>
    <xf numFmtId="164" fontId="3" fillId="0" borderId="9" xfId="3" applyNumberFormat="1" applyFont="1" applyBorder="1" applyAlignment="1">
      <alignment horizontal="center"/>
    </xf>
    <xf numFmtId="0" fontId="4" fillId="0" borderId="8" xfId="3" applyFont="1" applyBorder="1" applyAlignment="1">
      <alignment horizontal="center"/>
    </xf>
    <xf numFmtId="165" fontId="3" fillId="0" borderId="9" xfId="3" applyNumberFormat="1" applyFont="1" applyBorder="1" applyAlignment="1">
      <alignment horizontal="center"/>
    </xf>
    <xf numFmtId="164" fontId="3" fillId="0" borderId="8" xfId="3" applyNumberFormat="1" applyFont="1" applyBorder="1" applyAlignment="1">
      <alignment horizontal="center"/>
    </xf>
    <xf numFmtId="7" fontId="3" fillId="0" borderId="9" xfId="3" applyNumberFormat="1" applyFont="1" applyBorder="1" applyAlignment="1">
      <alignment horizontal="center"/>
    </xf>
    <xf numFmtId="165" fontId="3" fillId="0" borderId="8" xfId="3" applyNumberFormat="1" applyFont="1" applyBorder="1" applyAlignment="1">
      <alignment horizontal="center"/>
    </xf>
    <xf numFmtId="0" fontId="4" fillId="0" borderId="3" xfId="3" applyFont="1" applyBorder="1" applyAlignment="1">
      <alignment horizontal="fill"/>
    </xf>
    <xf numFmtId="0" fontId="4" fillId="0" borderId="1" xfId="3" applyFont="1" applyBorder="1"/>
    <xf numFmtId="0" fontId="4" fillId="0" borderId="6" xfId="3" applyFont="1" applyBorder="1"/>
    <xf numFmtId="0" fontId="6" fillId="0" borderId="5" xfId="3" applyFont="1" applyBorder="1" applyProtection="1">
      <protection locked="0"/>
    </xf>
    <xf numFmtId="164" fontId="4" fillId="0" borderId="4" xfId="3" applyNumberFormat="1" applyFont="1" applyBorder="1"/>
    <xf numFmtId="7" fontId="4" fillId="0" borderId="5" xfId="3" applyNumberFormat="1" applyFont="1" applyBorder="1"/>
    <xf numFmtId="165" fontId="4" fillId="0" borderId="4" xfId="3" applyNumberFormat="1" applyFont="1" applyBorder="1"/>
    <xf numFmtId="0" fontId="18" fillId="0" borderId="0" xfId="3" applyFont="1"/>
    <xf numFmtId="0" fontId="6" fillId="0" borderId="9" xfId="3" applyFont="1" applyBorder="1" applyProtection="1">
      <protection locked="0"/>
    </xf>
    <xf numFmtId="0" fontId="4" fillId="0" borderId="8" xfId="3" applyFont="1" applyBorder="1"/>
    <xf numFmtId="164" fontId="4" fillId="0" borderId="8" xfId="3" applyNumberFormat="1" applyFont="1" applyBorder="1"/>
    <xf numFmtId="7" fontId="4" fillId="0" borderId="9" xfId="3" applyNumberFormat="1" applyFont="1" applyBorder="1"/>
    <xf numFmtId="165" fontId="4" fillId="0" borderId="8" xfId="3" applyNumberFormat="1" applyFont="1" applyBorder="1"/>
    <xf numFmtId="0" fontId="19" fillId="0" borderId="0" xfId="3" applyFont="1" applyAlignment="1">
      <alignment horizontal="left"/>
    </xf>
    <xf numFmtId="0" fontId="10" fillId="0" borderId="0" xfId="3" applyFont="1"/>
    <xf numFmtId="0" fontId="19" fillId="0" borderId="0" xfId="3" applyFont="1"/>
    <xf numFmtId="164" fontId="10" fillId="0" borderId="0" xfId="3" applyNumberFormat="1" applyFont="1"/>
    <xf numFmtId="44" fontId="10" fillId="0" borderId="0" xfId="2" applyFont="1" applyProtection="1"/>
    <xf numFmtId="7" fontId="10" fillId="0" borderId="0" xfId="3" applyNumberFormat="1" applyFont="1"/>
    <xf numFmtId="0" fontId="20" fillId="0" borderId="0" xfId="3" applyFont="1"/>
    <xf numFmtId="165" fontId="19" fillId="0" borderId="0" xfId="3" applyNumberFormat="1" applyFont="1" applyAlignment="1">
      <alignment horizontal="left"/>
    </xf>
    <xf numFmtId="165" fontId="10" fillId="0" borderId="0" xfId="3" applyNumberFormat="1" applyFont="1" applyAlignment="1">
      <alignment horizontal="left"/>
    </xf>
    <xf numFmtId="167" fontId="19" fillId="0" borderId="0" xfId="3" applyNumberFormat="1" applyFont="1"/>
    <xf numFmtId="165" fontId="19" fillId="0" borderId="0" xfId="3" applyNumberFormat="1" applyFont="1"/>
    <xf numFmtId="165" fontId="10" fillId="0" borderId="0" xfId="3" applyNumberFormat="1" applyFont="1"/>
    <xf numFmtId="0" fontId="4" fillId="0" borderId="31" xfId="3" applyFont="1" applyBorder="1"/>
    <xf numFmtId="0" fontId="4" fillId="0" borderId="35" xfId="3" applyFont="1" applyBorder="1"/>
    <xf numFmtId="0" fontId="3" fillId="0" borderId="36" xfId="3" applyFont="1" applyBorder="1" applyAlignment="1">
      <alignment horizontal="left"/>
    </xf>
    <xf numFmtId="5" fontId="3" fillId="0" borderId="37" xfId="3" applyNumberFormat="1" applyFont="1" applyBorder="1" applyAlignment="1">
      <alignment horizontal="left"/>
    </xf>
    <xf numFmtId="165" fontId="3" fillId="0" borderId="6" xfId="3" applyNumberFormat="1" applyFont="1" applyBorder="1" applyAlignment="1">
      <alignment horizontal="center"/>
    </xf>
    <xf numFmtId="7" fontId="3" fillId="0" borderId="6" xfId="3" applyNumberFormat="1" applyFont="1" applyBorder="1" applyAlignment="1">
      <alignment horizontal="left"/>
    </xf>
    <xf numFmtId="164" fontId="3" fillId="0" borderId="32" xfId="3" applyNumberFormat="1" applyFont="1" applyBorder="1" applyAlignment="1">
      <alignment horizontal="center"/>
    </xf>
    <xf numFmtId="164" fontId="3" fillId="0" borderId="38" xfId="3" applyNumberFormat="1" applyFont="1" applyBorder="1" applyAlignment="1">
      <alignment horizontal="center"/>
    </xf>
    <xf numFmtId="7" fontId="3" fillId="0" borderId="7" xfId="3" applyNumberFormat="1" applyFont="1" applyBorder="1" applyAlignment="1">
      <alignment horizontal="center"/>
    </xf>
    <xf numFmtId="0" fontId="3" fillId="0" borderId="39" xfId="3" applyFont="1" applyBorder="1" applyAlignment="1">
      <alignment horizontal="left"/>
    </xf>
    <xf numFmtId="5" fontId="3" fillId="0" borderId="40" xfId="3" applyNumberFormat="1" applyFont="1" applyBorder="1" applyAlignment="1">
      <alignment horizontal="left"/>
    </xf>
    <xf numFmtId="165" fontId="3" fillId="0" borderId="7" xfId="3" applyNumberFormat="1" applyFont="1" applyBorder="1" applyAlignment="1">
      <alignment horizontal="center"/>
    </xf>
    <xf numFmtId="165" fontId="3" fillId="0" borderId="7" xfId="3" applyNumberFormat="1" applyFont="1" applyBorder="1" applyAlignment="1">
      <alignment horizontal="left"/>
    </xf>
    <xf numFmtId="164" fontId="3" fillId="0" borderId="32" xfId="3" applyNumberFormat="1" applyFont="1" applyBorder="1" applyAlignment="1">
      <alignment horizontal="fill"/>
    </xf>
    <xf numFmtId="0" fontId="3" fillId="0" borderId="38" xfId="3" applyFont="1" applyBorder="1"/>
    <xf numFmtId="0" fontId="3" fillId="0" borderId="7" xfId="3" applyFont="1" applyBorder="1"/>
    <xf numFmtId="44" fontId="3" fillId="0" borderId="38" xfId="2" applyFont="1" applyBorder="1" applyProtection="1"/>
    <xf numFmtId="44" fontId="3" fillId="0" borderId="7" xfId="2" applyFont="1" applyBorder="1" applyProtection="1"/>
    <xf numFmtId="0" fontId="3" fillId="0" borderId="32" xfId="3" applyFont="1" applyBorder="1"/>
    <xf numFmtId="164" fontId="3" fillId="0" borderId="38" xfId="3" applyNumberFormat="1" applyFont="1" applyBorder="1" applyAlignment="1">
      <alignment horizontal="right"/>
    </xf>
    <xf numFmtId="44" fontId="3" fillId="0" borderId="38" xfId="2" applyFont="1" applyBorder="1" applyAlignment="1" applyProtection="1">
      <alignment horizontal="right"/>
    </xf>
    <xf numFmtId="44" fontId="3" fillId="0" borderId="7" xfId="2" applyFont="1" applyBorder="1" applyAlignment="1" applyProtection="1">
      <alignment horizontal="right"/>
    </xf>
    <xf numFmtId="0" fontId="3" fillId="0" borderId="31" xfId="3" applyFont="1" applyBorder="1"/>
    <xf numFmtId="0" fontId="3" fillId="0" borderId="35" xfId="3" applyFont="1" applyBorder="1"/>
    <xf numFmtId="44" fontId="3" fillId="0" borderId="35" xfId="2" applyFont="1" applyBorder="1"/>
    <xf numFmtId="44" fontId="3" fillId="0" borderId="6" xfId="2" applyFont="1" applyBorder="1"/>
    <xf numFmtId="165" fontId="3" fillId="0" borderId="10" xfId="3" applyNumberFormat="1" applyFont="1" applyBorder="1" applyAlignment="1">
      <alignment horizontal="center"/>
    </xf>
    <xf numFmtId="7" fontId="3" fillId="0" borderId="7" xfId="3" applyNumberFormat="1" applyFont="1" applyBorder="1" applyAlignment="1">
      <alignment horizontal="left"/>
    </xf>
    <xf numFmtId="164" fontId="7" fillId="0" borderId="32" xfId="3" applyNumberFormat="1" applyFont="1" applyBorder="1" applyAlignment="1">
      <alignment horizontal="right"/>
    </xf>
    <xf numFmtId="44" fontId="7" fillId="0" borderId="38" xfId="2" applyFont="1" applyBorder="1" applyProtection="1"/>
    <xf numFmtId="44" fontId="7" fillId="0" borderId="7" xfId="2" applyFont="1" applyBorder="1" applyProtection="1"/>
    <xf numFmtId="0" fontId="3" fillId="0" borderId="41" xfId="3" applyFont="1" applyBorder="1" applyAlignment="1">
      <alignment horizontal="left"/>
    </xf>
    <xf numFmtId="5" fontId="3" fillId="0" borderId="42" xfId="3" applyNumberFormat="1" applyFont="1" applyBorder="1" applyAlignment="1">
      <alignment horizontal="left"/>
    </xf>
    <xf numFmtId="7" fontId="3" fillId="0" borderId="10" xfId="3" applyNumberFormat="1" applyFont="1" applyBorder="1" applyAlignment="1">
      <alignment horizontal="left"/>
    </xf>
    <xf numFmtId="0" fontId="4" fillId="0" borderId="33" xfId="3" applyFont="1" applyBorder="1"/>
    <xf numFmtId="0" fontId="4" fillId="0" borderId="43" xfId="3" applyFont="1" applyBorder="1"/>
    <xf numFmtId="7" fontId="4" fillId="0" borderId="10" xfId="3" applyNumberFormat="1" applyFont="1" applyBorder="1" applyAlignment="1">
      <alignment horizontal="left"/>
    </xf>
    <xf numFmtId="0" fontId="21" fillId="0" borderId="0" xfId="3" applyFont="1" applyAlignment="1">
      <alignment horizontal="left"/>
    </xf>
    <xf numFmtId="0" fontId="4" fillId="4" borderId="1" xfId="3" applyFont="1" applyFill="1" applyBorder="1" applyAlignment="1">
      <alignment horizontal="left"/>
    </xf>
    <xf numFmtId="0" fontId="4" fillId="4" borderId="4" xfId="3" applyFont="1" applyFill="1" applyBorder="1" applyAlignment="1">
      <alignment horizontal="left"/>
    </xf>
    <xf numFmtId="165" fontId="4" fillId="4" borderId="0" xfId="3" applyNumberFormat="1" applyFont="1" applyFill="1"/>
    <xf numFmtId="7" fontId="4" fillId="4" borderId="0" xfId="3" applyNumberFormat="1" applyFont="1" applyFill="1"/>
    <xf numFmtId="17" fontId="4" fillId="4" borderId="4" xfId="3" applyNumberFormat="1" applyFont="1" applyFill="1" applyBorder="1" applyAlignment="1" applyProtection="1">
      <alignment horizontal="left"/>
      <protection locked="0"/>
    </xf>
    <xf numFmtId="0" fontId="4" fillId="4" borderId="8" xfId="3" applyFont="1" applyFill="1" applyBorder="1" applyAlignment="1">
      <alignment horizontal="left"/>
    </xf>
    <xf numFmtId="164" fontId="4" fillId="4" borderId="11" xfId="3" applyNumberFormat="1" applyFont="1" applyFill="1" applyBorder="1"/>
    <xf numFmtId="165" fontId="4" fillId="4" borderId="11" xfId="3" applyNumberFormat="1" applyFont="1" applyFill="1" applyBorder="1"/>
    <xf numFmtId="164" fontId="4" fillId="0" borderId="0" xfId="3" applyNumberFormat="1" applyFont="1"/>
    <xf numFmtId="165" fontId="4" fillId="0" borderId="0" xfId="3" applyNumberFormat="1" applyFont="1"/>
    <xf numFmtId="0" fontId="4" fillId="3" borderId="1" xfId="3" applyFont="1" applyFill="1" applyBorder="1" applyAlignment="1">
      <alignment horizontal="left"/>
    </xf>
    <xf numFmtId="0" fontId="4" fillId="3" borderId="4" xfId="3" applyFont="1" applyFill="1" applyBorder="1" applyAlignment="1">
      <alignment horizontal="left"/>
    </xf>
    <xf numFmtId="0" fontId="4" fillId="3" borderId="0" xfId="3" applyFont="1" applyFill="1"/>
    <xf numFmtId="0" fontId="4" fillId="3" borderId="7" xfId="3" applyFont="1" applyFill="1" applyBorder="1"/>
    <xf numFmtId="0" fontId="4" fillId="3" borderId="8" xfId="3" applyFont="1" applyFill="1" applyBorder="1" applyAlignment="1">
      <alignment horizontal="left"/>
    </xf>
    <xf numFmtId="0" fontId="4" fillId="5" borderId="1" xfId="3" applyFont="1" applyFill="1" applyBorder="1" applyAlignment="1">
      <alignment horizontal="left"/>
    </xf>
    <xf numFmtId="0" fontId="4" fillId="5" borderId="2" xfId="3" applyFont="1" applyFill="1" applyBorder="1"/>
    <xf numFmtId="0" fontId="6" fillId="5" borderId="2" xfId="3" applyFont="1" applyFill="1" applyBorder="1" applyProtection="1">
      <protection locked="0"/>
    </xf>
    <xf numFmtId="164" fontId="4" fillId="5" borderId="2" xfId="3" applyNumberFormat="1" applyFont="1" applyFill="1" applyBorder="1"/>
    <xf numFmtId="165" fontId="4" fillId="5" borderId="2" xfId="3" applyNumberFormat="1" applyFont="1" applyFill="1" applyBorder="1"/>
    <xf numFmtId="164" fontId="4" fillId="5" borderId="6" xfId="3" applyNumberFormat="1" applyFont="1" applyFill="1" applyBorder="1"/>
    <xf numFmtId="0" fontId="4" fillId="5" borderId="8" xfId="3" applyFont="1" applyFill="1" applyBorder="1" applyAlignment="1">
      <alignment horizontal="left"/>
    </xf>
    <xf numFmtId="0" fontId="4" fillId="5" borderId="11" xfId="3" applyFont="1" applyFill="1" applyBorder="1" applyAlignment="1">
      <alignment horizontal="left"/>
    </xf>
    <xf numFmtId="7" fontId="4" fillId="5" borderId="11" xfId="3" applyNumberFormat="1" applyFont="1" applyFill="1" applyBorder="1"/>
    <xf numFmtId="7" fontId="6" fillId="5" borderId="11" xfId="3" applyNumberFormat="1" applyFont="1" applyFill="1" applyBorder="1" applyProtection="1">
      <protection locked="0"/>
    </xf>
    <xf numFmtId="0" fontId="4" fillId="5" borderId="11" xfId="3" applyFont="1" applyFill="1" applyBorder="1"/>
    <xf numFmtId="164" fontId="4" fillId="5" borderId="11" xfId="3" applyNumberFormat="1" applyFont="1" applyFill="1" applyBorder="1"/>
    <xf numFmtId="165" fontId="4" fillId="5" borderId="11" xfId="3" applyNumberFormat="1" applyFont="1" applyFill="1" applyBorder="1"/>
    <xf numFmtId="164" fontId="4" fillId="5" borderId="10" xfId="3" applyNumberFormat="1" applyFont="1" applyFill="1" applyBorder="1"/>
    <xf numFmtId="167" fontId="24" fillId="0" borderId="0" xfId="6" applyNumberFormat="1" applyFont="1"/>
    <xf numFmtId="49" fontId="3" fillId="0" borderId="0" xfId="3" applyNumberFormat="1" applyFont="1"/>
    <xf numFmtId="0" fontId="18" fillId="0" borderId="11" xfId="3" applyFont="1" applyBorder="1"/>
    <xf numFmtId="0" fontId="4" fillId="0" borderId="9" xfId="3" applyFont="1" applyBorder="1" applyAlignment="1" applyProtection="1">
      <alignment horizontal="right"/>
      <protection locked="0"/>
    </xf>
    <xf numFmtId="4" fontId="4" fillId="0" borderId="5" xfId="2" applyNumberFormat="1" applyFont="1" applyFill="1" applyBorder="1"/>
    <xf numFmtId="164" fontId="1" fillId="0" borderId="4" xfId="6" applyFont="1" applyBorder="1"/>
    <xf numFmtId="164" fontId="1" fillId="0" borderId="5" xfId="6" applyFont="1" applyBorder="1"/>
    <xf numFmtId="49" fontId="3" fillId="0" borderId="3" xfId="3" applyNumberFormat="1" applyFont="1" applyBorder="1"/>
    <xf numFmtId="49" fontId="4" fillId="0" borderId="5" xfId="3" applyNumberFormat="1" applyFont="1" applyBorder="1"/>
    <xf numFmtId="49" fontId="3" fillId="0" borderId="5" xfId="3" applyNumberFormat="1" applyFont="1" applyBorder="1"/>
    <xf numFmtId="49" fontId="4" fillId="0" borderId="9" xfId="3" applyNumberFormat="1" applyFont="1" applyBorder="1"/>
    <xf numFmtId="49" fontId="4" fillId="0" borderId="3" xfId="3" applyNumberFormat="1" applyFont="1" applyBorder="1"/>
    <xf numFmtId="164" fontId="1" fillId="0" borderId="9" xfId="6" applyFont="1" applyBorder="1"/>
    <xf numFmtId="164" fontId="1" fillId="6" borderId="7" xfId="6" applyFont="1" applyFill="1" applyBorder="1"/>
    <xf numFmtId="167" fontId="1" fillId="0" borderId="5" xfId="6" applyNumberFormat="1" applyFont="1" applyBorder="1" applyAlignment="1">
      <alignment horizontal="center"/>
    </xf>
    <xf numFmtId="164" fontId="1" fillId="0" borderId="0" xfId="6" applyFont="1"/>
    <xf numFmtId="164" fontId="1" fillId="0" borderId="7" xfId="6" applyFont="1" applyBorder="1"/>
    <xf numFmtId="164" fontId="1" fillId="6" borderId="0" xfId="6" applyFont="1" applyFill="1"/>
    <xf numFmtId="0" fontId="2" fillId="0" borderId="0" xfId="4" applyProtection="1">
      <protection locked="0"/>
    </xf>
    <xf numFmtId="0" fontId="32" fillId="0" borderId="0" xfId="4" applyFont="1" applyProtection="1">
      <protection locked="0"/>
    </xf>
    <xf numFmtId="0" fontId="33" fillId="0" borderId="0" xfId="4" applyFont="1" applyProtection="1">
      <protection locked="0"/>
    </xf>
    <xf numFmtId="0" fontId="34" fillId="0" borderId="0" xfId="4" applyFont="1" applyProtection="1">
      <protection locked="0"/>
    </xf>
    <xf numFmtId="49" fontId="34" fillId="0" borderId="0" xfId="4" applyNumberFormat="1" applyFont="1" applyProtection="1">
      <protection locked="0"/>
    </xf>
    <xf numFmtId="0" fontId="2" fillId="0" borderId="0" xfId="4" applyAlignment="1" applyProtection="1">
      <alignment horizontal="left"/>
      <protection locked="0"/>
    </xf>
    <xf numFmtId="0" fontId="35" fillId="0" borderId="0" xfId="4" applyFont="1" applyAlignment="1" applyProtection="1">
      <alignment horizontal="right"/>
      <protection locked="0"/>
    </xf>
    <xf numFmtId="169" fontId="36" fillId="0" borderId="0" xfId="4" applyNumberFormat="1" applyFont="1" applyAlignment="1" applyProtection="1">
      <alignment horizontal="center"/>
      <protection locked="0"/>
    </xf>
    <xf numFmtId="0" fontId="2" fillId="0" borderId="16" xfId="4" applyBorder="1" applyProtection="1">
      <protection locked="0"/>
    </xf>
    <xf numFmtId="0" fontId="2" fillId="0" borderId="17" xfId="4" applyBorder="1" applyProtection="1">
      <protection locked="0"/>
    </xf>
    <xf numFmtId="0" fontId="2" fillId="0" borderId="18" xfId="4" applyBorder="1" applyProtection="1">
      <protection locked="0"/>
    </xf>
    <xf numFmtId="0" fontId="37" fillId="0" borderId="16" xfId="4" applyFont="1" applyBorder="1" applyProtection="1">
      <protection locked="0"/>
    </xf>
    <xf numFmtId="0" fontId="37" fillId="0" borderId="18" xfId="4" applyFont="1" applyBorder="1" applyProtection="1">
      <protection locked="0"/>
    </xf>
    <xf numFmtId="0" fontId="37" fillId="0" borderId="0" xfId="4" applyFont="1" applyProtection="1">
      <protection locked="0"/>
    </xf>
    <xf numFmtId="0" fontId="2" fillId="0" borderId="19" xfId="4" applyBorder="1" applyProtection="1">
      <protection locked="0"/>
    </xf>
    <xf numFmtId="0" fontId="2" fillId="0" borderId="19" xfId="4" applyBorder="1" applyAlignment="1" applyProtection="1">
      <alignment horizontal="center"/>
      <protection locked="0"/>
    </xf>
    <xf numFmtId="0" fontId="37" fillId="0" borderId="0" xfId="4" applyFont="1" applyAlignment="1" applyProtection="1">
      <alignment horizontal="center"/>
      <protection locked="0"/>
    </xf>
    <xf numFmtId="0" fontId="2" fillId="0" borderId="0" xfId="4" applyAlignment="1" applyProtection="1">
      <alignment horizontal="center"/>
      <protection locked="0"/>
    </xf>
    <xf numFmtId="0" fontId="37" fillId="0" borderId="19" xfId="4" applyFont="1" applyBorder="1" applyAlignment="1" applyProtection="1">
      <alignment horizontal="left"/>
      <protection locked="0"/>
    </xf>
    <xf numFmtId="0" fontId="2" fillId="0" borderId="20" xfId="4" applyBorder="1" applyAlignment="1" applyProtection="1">
      <alignment horizontal="center"/>
      <protection locked="0"/>
    </xf>
    <xf numFmtId="0" fontId="37" fillId="0" borderId="19" xfId="4" applyFont="1" applyBorder="1" applyAlignment="1" applyProtection="1">
      <alignment horizontal="center"/>
      <protection locked="0"/>
    </xf>
    <xf numFmtId="0" fontId="37" fillId="0" borderId="20" xfId="4" applyFont="1" applyBorder="1" applyAlignment="1" applyProtection="1">
      <alignment horizontal="left"/>
      <protection locked="0"/>
    </xf>
    <xf numFmtId="0" fontId="2" fillId="0" borderId="21" xfId="4" applyBorder="1" applyProtection="1">
      <protection locked="0"/>
    </xf>
    <xf numFmtId="0" fontId="2" fillId="0" borderId="22" xfId="4" applyBorder="1" applyProtection="1">
      <protection locked="0"/>
    </xf>
    <xf numFmtId="0" fontId="2" fillId="0" borderId="23" xfId="4" applyBorder="1" applyProtection="1">
      <protection locked="0"/>
    </xf>
    <xf numFmtId="0" fontId="37" fillId="0" borderId="21" xfId="4" applyFont="1" applyBorder="1" applyProtection="1">
      <protection locked="0"/>
    </xf>
    <xf numFmtId="0" fontId="37" fillId="0" borderId="23" xfId="4" applyFont="1" applyBorder="1" applyProtection="1">
      <protection locked="0"/>
    </xf>
    <xf numFmtId="0" fontId="23" fillId="0" borderId="0" xfId="4" applyFont="1" applyProtection="1">
      <protection locked="0"/>
    </xf>
    <xf numFmtId="0" fontId="38" fillId="0" borderId="0" xfId="4" applyFont="1" applyProtection="1">
      <protection locked="0"/>
    </xf>
    <xf numFmtId="0" fontId="2" fillId="0" borderId="24" xfId="4" applyBorder="1" applyProtection="1">
      <protection locked="0"/>
    </xf>
    <xf numFmtId="0" fontId="37" fillId="0" borderId="25" xfId="4" applyFont="1" applyBorder="1" applyAlignment="1" applyProtection="1">
      <alignment horizontal="left"/>
      <protection locked="0"/>
    </xf>
    <xf numFmtId="0" fontId="39" fillId="0" borderId="25" xfId="4" applyFont="1" applyBorder="1" applyAlignment="1" applyProtection="1">
      <alignment horizontal="center"/>
      <protection locked="0"/>
    </xf>
    <xf numFmtId="0" fontId="39" fillId="0" borderId="26" xfId="4" applyFont="1" applyBorder="1" applyProtection="1">
      <protection locked="0"/>
    </xf>
    <xf numFmtId="0" fontId="39" fillId="0" borderId="24" xfId="4" applyFont="1" applyBorder="1" applyProtection="1">
      <protection locked="0"/>
    </xf>
    <xf numFmtId="0" fontId="2" fillId="0" borderId="25" xfId="4" applyBorder="1" applyProtection="1">
      <protection locked="0"/>
    </xf>
    <xf numFmtId="0" fontId="2" fillId="0" borderId="26" xfId="4" applyBorder="1" applyProtection="1">
      <protection locked="0"/>
    </xf>
    <xf numFmtId="5" fontId="23" fillId="0" borderId="0" xfId="4" applyNumberFormat="1" applyFont="1" applyProtection="1">
      <protection locked="0"/>
    </xf>
    <xf numFmtId="0" fontId="37" fillId="0" borderId="25" xfId="4" applyFont="1" applyBorder="1" applyProtection="1">
      <protection locked="0"/>
    </xf>
    <xf numFmtId="0" fontId="41" fillId="0" borderId="25" xfId="4" applyFont="1" applyBorder="1" applyAlignment="1" applyProtection="1">
      <alignment horizontal="center"/>
      <protection locked="0"/>
    </xf>
    <xf numFmtId="0" fontId="41" fillId="0" borderId="26" xfId="4" applyFont="1" applyBorder="1" applyProtection="1">
      <protection locked="0"/>
    </xf>
    <xf numFmtId="0" fontId="41" fillId="0" borderId="24" xfId="4" applyFont="1" applyBorder="1" applyProtection="1">
      <protection locked="0"/>
    </xf>
    <xf numFmtId="0" fontId="39" fillId="0" borderId="25" xfId="4" applyFont="1" applyBorder="1" applyProtection="1">
      <protection locked="0"/>
    </xf>
    <xf numFmtId="0" fontId="39" fillId="0" borderId="0" xfId="4" applyFont="1" applyProtection="1">
      <protection locked="0"/>
    </xf>
    <xf numFmtId="9" fontId="41" fillId="0" borderId="0" xfId="4" applyNumberFormat="1" applyFont="1" applyAlignment="1" applyProtection="1">
      <alignment horizontal="center"/>
      <protection locked="0"/>
    </xf>
    <xf numFmtId="44" fontId="40" fillId="0" borderId="0" xfId="4" applyNumberFormat="1" applyFont="1" applyProtection="1">
      <protection locked="0"/>
    </xf>
    <xf numFmtId="0" fontId="41" fillId="0" borderId="22" xfId="4" applyFont="1" applyBorder="1" applyAlignment="1" applyProtection="1">
      <alignment horizontal="center"/>
      <protection locked="0"/>
    </xf>
    <xf numFmtId="0" fontId="41" fillId="0" borderId="22" xfId="4" applyFont="1" applyBorder="1" applyProtection="1">
      <protection locked="0"/>
    </xf>
    <xf numFmtId="0" fontId="41" fillId="0" borderId="0" xfId="4" applyFont="1" applyProtection="1">
      <protection locked="0"/>
    </xf>
    <xf numFmtId="0" fontId="40" fillId="0" borderId="0" xfId="4" applyFont="1" applyProtection="1">
      <protection locked="0"/>
    </xf>
    <xf numFmtId="9" fontId="39" fillId="0" borderId="0" xfId="4" applyNumberFormat="1" applyFont="1" applyProtection="1">
      <protection locked="0"/>
    </xf>
    <xf numFmtId="0" fontId="40" fillId="0" borderId="0" xfId="4" applyFont="1" applyAlignment="1" applyProtection="1">
      <alignment horizontal="right"/>
      <protection locked="0"/>
    </xf>
    <xf numFmtId="0" fontId="35" fillId="0" borderId="0" xfId="4" applyFont="1" applyAlignment="1" applyProtection="1">
      <alignment horizontal="left"/>
      <protection locked="0"/>
    </xf>
    <xf numFmtId="44" fontId="40" fillId="0" borderId="22" xfId="4" applyNumberFormat="1" applyFont="1" applyBorder="1" applyProtection="1">
      <protection locked="0"/>
    </xf>
    <xf numFmtId="0" fontId="41" fillId="0" borderId="0" xfId="4" applyFont="1" applyAlignment="1" applyProtection="1">
      <alignment horizontal="right"/>
      <protection locked="0"/>
    </xf>
    <xf numFmtId="8" fontId="41" fillId="0" borderId="0" xfId="4" applyNumberFormat="1" applyFont="1" applyProtection="1">
      <protection locked="0"/>
    </xf>
    <xf numFmtId="44" fontId="40" fillId="0" borderId="25" xfId="4" applyNumberFormat="1" applyFont="1" applyBorder="1"/>
    <xf numFmtId="0" fontId="40" fillId="0" borderId="26" xfId="4" applyFont="1" applyBorder="1"/>
    <xf numFmtId="0" fontId="40" fillId="0" borderId="24" xfId="4" applyFont="1" applyBorder="1"/>
    <xf numFmtId="0" fontId="39" fillId="0" borderId="26" xfId="4" applyFont="1" applyBorder="1"/>
    <xf numFmtId="0" fontId="39" fillId="0" borderId="24" xfId="4" applyFont="1" applyBorder="1"/>
    <xf numFmtId="44" fontId="40" fillId="0" borderId="26" xfId="4" applyNumberFormat="1" applyFont="1" applyBorder="1"/>
    <xf numFmtId="164" fontId="6" fillId="0" borderId="5" xfId="3" applyNumberFormat="1" applyFont="1" applyBorder="1"/>
    <xf numFmtId="0" fontId="6" fillId="0" borderId="5" xfId="3" applyFont="1" applyBorder="1"/>
    <xf numFmtId="5" fontId="6" fillId="0" borderId="5" xfId="3" applyNumberFormat="1" applyFont="1" applyBorder="1"/>
    <xf numFmtId="164" fontId="6" fillId="0" borderId="9" xfId="3" applyNumberFormat="1" applyFont="1" applyBorder="1"/>
    <xf numFmtId="0" fontId="6" fillId="0" borderId="9" xfId="3" applyFont="1" applyBorder="1"/>
    <xf numFmtId="5" fontId="6" fillId="0" borderId="9" xfId="3" applyNumberFormat="1" applyFont="1" applyBorder="1"/>
    <xf numFmtId="164" fontId="28" fillId="0" borderId="5" xfId="6" applyFont="1" applyBorder="1"/>
    <xf numFmtId="164" fontId="28" fillId="0" borderId="4" xfId="6" applyFont="1" applyBorder="1"/>
    <xf numFmtId="170" fontId="4" fillId="0" borderId="5" xfId="3" applyNumberFormat="1" applyFont="1" applyBorder="1"/>
    <xf numFmtId="170" fontId="4" fillId="0" borderId="9" xfId="3" applyNumberFormat="1" applyFont="1" applyBorder="1"/>
    <xf numFmtId="170" fontId="4" fillId="0" borderId="0" xfId="3" applyNumberFormat="1" applyFont="1"/>
    <xf numFmtId="170" fontId="10" fillId="0" borderId="0" xfId="2" applyNumberFormat="1" applyFont="1" applyProtection="1"/>
    <xf numFmtId="0" fontId="3" fillId="0" borderId="0" xfId="3" applyFont="1" applyAlignment="1">
      <alignment horizontal="center"/>
    </xf>
    <xf numFmtId="164" fontId="22" fillId="0" borderId="0" xfId="6" applyFont="1" applyAlignment="1">
      <alignment horizontal="center"/>
    </xf>
  </cellXfs>
  <cellStyles count="8">
    <cellStyle name="Currency" xfId="1" builtinId="4"/>
    <cellStyle name="Currency 2" xfId="2"/>
    <cellStyle name="Normal" xfId="0" builtinId="0"/>
    <cellStyle name="Normal 2" xfId="3"/>
    <cellStyle name="Normal_7 IMPUTS ESTIMATING WORKBOOKS" xfId="4"/>
    <cellStyle name="Normal_SEWER TEMPLATEMarch2008" xfId="5"/>
    <cellStyle name="Normal_WATERMAIN TEMPLATE" xfId="6"/>
    <cellStyle name="Normal_WATERMAIN TEMPLATESeptember2008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CC119"/>
  <sheetViews>
    <sheetView tabSelected="1" view="pageBreakPreview" zoomScale="85" zoomScaleNormal="100" zoomScaleSheetLayoutView="85" workbookViewId="0">
      <selection activeCell="O7" sqref="O7"/>
    </sheetView>
  </sheetViews>
  <sheetFormatPr defaultColWidth="12.42578125" defaultRowHeight="16.5"/>
  <cols>
    <col min="1" max="1" width="7.7109375" style="142" customWidth="1"/>
    <col min="2" max="2" width="18" style="142" customWidth="1"/>
    <col min="3" max="3" width="12.28515625" style="142" customWidth="1"/>
    <col min="4" max="4" width="11.42578125" style="142" customWidth="1"/>
    <col min="5" max="5" width="12.42578125" style="142" customWidth="1"/>
    <col min="6" max="6" width="12.85546875" style="142" customWidth="1"/>
    <col min="7" max="7" width="12.42578125" style="142" customWidth="1"/>
    <col min="8" max="8" width="11.85546875" style="142" customWidth="1"/>
    <col min="9" max="9" width="13.85546875" style="142" customWidth="1"/>
    <col min="10" max="10" width="12.28515625" style="142" customWidth="1"/>
    <col min="11" max="11" width="12.7109375" style="142" customWidth="1"/>
    <col min="12" max="12" width="12.5703125" style="142" customWidth="1"/>
    <col min="13" max="13" width="12" style="142" customWidth="1"/>
    <col min="14" max="14" width="13.140625" style="142" customWidth="1"/>
    <col min="15" max="15" width="12.5703125" style="142" customWidth="1"/>
    <col min="16" max="16" width="12.85546875" style="142" customWidth="1"/>
    <col min="17" max="17" width="13.28515625" style="142" customWidth="1"/>
    <col min="18" max="19" width="14.7109375" style="142" customWidth="1"/>
    <col min="20" max="20" width="15.85546875" style="142" customWidth="1"/>
    <col min="21" max="21" width="16.7109375" style="142" customWidth="1"/>
    <col min="22" max="22" width="16.85546875" style="142" customWidth="1"/>
    <col min="23" max="81" width="12.42578125" style="142"/>
    <col min="82" max="16384" width="12.42578125" style="145"/>
  </cols>
  <sheetData>
    <row r="1" spans="1:81" s="143" customFormat="1" ht="24">
      <c r="A1" s="553" t="s">
        <v>382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  <c r="S1" s="553"/>
      <c r="T1" s="553"/>
      <c r="U1" s="553"/>
      <c r="V1" s="553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2"/>
      <c r="BT1" s="142"/>
      <c r="BU1" s="142"/>
      <c r="BV1" s="142"/>
      <c r="BW1" s="142"/>
      <c r="BX1" s="142"/>
      <c r="BY1" s="142"/>
      <c r="BZ1" s="142"/>
      <c r="CA1" s="142"/>
      <c r="CB1" s="142"/>
      <c r="CC1" s="142"/>
    </row>
    <row r="2" spans="1:81" ht="17.25" thickBot="1">
      <c r="B2" s="463"/>
    </row>
    <row r="3" spans="1:81" ht="17.25" thickBot="1">
      <c r="A3" s="144" t="s">
        <v>383</v>
      </c>
      <c r="D3" s="147" t="s">
        <v>0</v>
      </c>
      <c r="E3" s="148"/>
      <c r="F3" s="149">
        <v>10</v>
      </c>
      <c r="G3" s="146" t="s">
        <v>1</v>
      </c>
      <c r="H3" s="147" t="s">
        <v>2</v>
      </c>
      <c r="I3" s="150">
        <v>1</v>
      </c>
      <c r="K3" s="151"/>
      <c r="L3" s="152"/>
    </row>
    <row r="4" spans="1:81" ht="17.25" thickBot="1">
      <c r="A4" s="153"/>
      <c r="D4" s="154" t="s">
        <v>3</v>
      </c>
      <c r="E4" s="153"/>
      <c r="F4" s="155">
        <v>250</v>
      </c>
      <c r="G4" s="146" t="s">
        <v>1</v>
      </c>
      <c r="H4" s="156" t="s">
        <v>4</v>
      </c>
      <c r="I4" s="157">
        <v>1</v>
      </c>
      <c r="K4" s="158" t="s">
        <v>5</v>
      </c>
      <c r="L4" s="159">
        <v>110</v>
      </c>
      <c r="O4" s="160" t="str">
        <f>IF(F7=1,"METRIC","IMPERIAL")</f>
        <v>METRIC</v>
      </c>
      <c r="P4" s="161" t="str">
        <f>O4</f>
        <v>METRIC</v>
      </c>
      <c r="Q4" s="162" t="str">
        <f>O4</f>
        <v>METRIC</v>
      </c>
    </row>
    <row r="5" spans="1:81">
      <c r="A5" s="153" t="s">
        <v>6</v>
      </c>
      <c r="B5" s="163"/>
      <c r="D5" s="154" t="s">
        <v>7</v>
      </c>
      <c r="E5" s="153"/>
      <c r="F5" s="164">
        <v>40</v>
      </c>
      <c r="G5" s="146" t="s">
        <v>1</v>
      </c>
      <c r="H5" s="156" t="s">
        <v>8</v>
      </c>
      <c r="I5" s="159">
        <v>718</v>
      </c>
      <c r="K5" s="165"/>
      <c r="L5" s="166"/>
      <c r="T5" s="167"/>
      <c r="U5" s="167"/>
    </row>
    <row r="6" spans="1:81">
      <c r="A6" s="168"/>
      <c r="B6" s="169"/>
      <c r="C6" s="170"/>
      <c r="D6" s="154" t="s">
        <v>9</v>
      </c>
      <c r="E6" s="153"/>
      <c r="F6" s="157">
        <v>1.1000000000000001</v>
      </c>
      <c r="G6" s="146" t="s">
        <v>1</v>
      </c>
      <c r="H6" s="156" t="s">
        <v>10</v>
      </c>
      <c r="I6" s="159">
        <v>375</v>
      </c>
      <c r="K6" s="165" t="s">
        <v>11</v>
      </c>
      <c r="L6" s="171">
        <v>1</v>
      </c>
      <c r="U6" s="172" t="s">
        <v>12</v>
      </c>
      <c r="V6" s="173">
        <v>44859</v>
      </c>
    </row>
    <row r="7" spans="1:81" ht="17.25" thickBot="1">
      <c r="A7" s="153"/>
      <c r="C7" s="174" t="str">
        <f>O4</f>
        <v>METRIC</v>
      </c>
      <c r="D7" s="175" t="s">
        <v>13</v>
      </c>
      <c r="E7" s="176"/>
      <c r="F7" s="177">
        <v>1</v>
      </c>
      <c r="H7" s="178" t="s">
        <v>14</v>
      </c>
      <c r="I7" s="179">
        <v>500</v>
      </c>
      <c r="K7" s="180" t="s">
        <v>15</v>
      </c>
      <c r="L7" s="181">
        <v>0.3</v>
      </c>
      <c r="O7" s="168"/>
      <c r="P7" s="182"/>
      <c r="Q7" s="183"/>
      <c r="U7" s="172" t="s">
        <v>16</v>
      </c>
      <c r="V7" s="173">
        <f ca="1">TODAY()</f>
        <v>46143</v>
      </c>
    </row>
    <row r="8" spans="1:81" ht="17.25" thickBot="1">
      <c r="A8" s="184"/>
    </row>
    <row r="9" spans="1:81" s="191" customFormat="1" ht="17.25" thickBot="1">
      <c r="A9" s="185" t="s">
        <v>17</v>
      </c>
      <c r="B9" s="185" t="s">
        <v>18</v>
      </c>
      <c r="C9" s="185" t="s">
        <v>19</v>
      </c>
      <c r="D9" s="185" t="s">
        <v>20</v>
      </c>
      <c r="E9" s="185" t="s">
        <v>21</v>
      </c>
      <c r="F9" s="185" t="s">
        <v>22</v>
      </c>
      <c r="G9" s="185" t="s">
        <v>23</v>
      </c>
      <c r="H9" s="185" t="s">
        <v>24</v>
      </c>
      <c r="I9" s="185" t="s">
        <v>25</v>
      </c>
      <c r="J9" s="186" t="s">
        <v>26</v>
      </c>
      <c r="K9" s="186" t="s">
        <v>27</v>
      </c>
      <c r="L9" s="187" t="s">
        <v>28</v>
      </c>
      <c r="M9" s="186" t="s">
        <v>29</v>
      </c>
      <c r="N9" s="186" t="s">
        <v>30</v>
      </c>
      <c r="O9" s="188" t="s">
        <v>31</v>
      </c>
      <c r="P9" s="186" t="s">
        <v>32</v>
      </c>
      <c r="Q9" s="188" t="s">
        <v>33</v>
      </c>
      <c r="R9" s="189" t="s">
        <v>34</v>
      </c>
      <c r="S9" s="186" t="s">
        <v>35</v>
      </c>
      <c r="T9" s="188" t="s">
        <v>36</v>
      </c>
      <c r="U9" s="190" t="s">
        <v>37</v>
      </c>
      <c r="V9" s="190" t="s">
        <v>38</v>
      </c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1"/>
    </row>
    <row r="10" spans="1:81" s="195" customFormat="1">
      <c r="A10" s="196">
        <v>0</v>
      </c>
      <c r="B10" s="235"/>
      <c r="C10" s="192"/>
      <c r="D10" s="192"/>
      <c r="E10" s="192"/>
      <c r="F10" s="192"/>
      <c r="G10" s="192"/>
      <c r="H10" s="192"/>
      <c r="I10" s="192"/>
      <c r="J10" s="193"/>
      <c r="K10" s="193"/>
      <c r="L10" s="193"/>
      <c r="M10" s="193"/>
      <c r="N10" s="194"/>
      <c r="O10" s="194"/>
      <c r="P10" s="194"/>
      <c r="Q10" s="194"/>
      <c r="R10" s="194"/>
      <c r="S10" s="194"/>
      <c r="T10" s="194"/>
      <c r="U10" s="194"/>
      <c r="V10" s="194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</row>
    <row r="11" spans="1:81" s="195" customFormat="1">
      <c r="A11" s="196">
        <v>1</v>
      </c>
      <c r="B11" s="470"/>
      <c r="C11" s="197"/>
      <c r="D11" s="198"/>
      <c r="E11" s="198"/>
      <c r="F11" s="192"/>
      <c r="G11" s="199"/>
      <c r="H11" s="200"/>
      <c r="I11" s="200"/>
      <c r="J11" s="201">
        <f t="shared" ref="J11:J46" si="0">(C11-D11)*IF(F$7=1,1,0.3049)</f>
        <v>0</v>
      </c>
      <c r="K11" s="201">
        <f t="shared" ref="K11:K46" si="1">IF(E11=0,0,(D11-E11)*IF(F$7=1,1,0.3049))</f>
        <v>0</v>
      </c>
      <c r="L11" s="202">
        <f>IF(F11=0,0,IF((G11=1),HLOOKUP(F11,B$65:F$66,2),HLOOKUP(F11,H$65:L$66,2)))</f>
        <v>0</v>
      </c>
      <c r="M11" s="201">
        <f t="shared" ref="M11:M43" si="2">IF(J11=0,0,J11-L$7+0.3*F11/1000+0.3)</f>
        <v>0</v>
      </c>
      <c r="N11" s="203">
        <f>(IF(L11=0,0,IF(L11&lt;1501,VLOOKUP(L11+M11,C$70:D$118,2),VLOOKUP(L11+M11,E$70:F$114,2))+(L$7-0.15)*I$5)*I$3*I$4*(100-F$5)/100)</f>
        <v>0</v>
      </c>
      <c r="O11" s="204">
        <f t="shared" ref="O11:O43" si="3">(((L11/1000)^2*PI()/4*F11/1000)-PI()/4*(F11/1000)^2*L11/1000+L11/1000)*F$4</f>
        <v>0</v>
      </c>
      <c r="P11" s="203">
        <f t="shared" ref="P11:P43" si="4">IF(L11=0,0,I$6*I$3*I$4)</f>
        <v>0</v>
      </c>
      <c r="Q11" s="204">
        <f t="shared" ref="Q11:Q43" si="5">H11+N11+O11+P11</f>
        <v>0</v>
      </c>
      <c r="R11" s="205">
        <f>(L11=1200)*(15*L$4+L$4*M11)+(L11=1500)*(20*L$4+1.3*L$4*M11)+(L11=1800)*(30*L$4+1.5*L$4*M11)+(L11=2400)*(40*L$4+2*L$4*M11)+(L11=3000)*(50*L$4+2.5*L$4*M11)+(L11=3600)*(60*L$4+3*L$4*M11)+I11</f>
        <v>0</v>
      </c>
      <c r="S11" s="203">
        <f t="shared" ref="S11:S43" si="6">F$3*(J11*(0.001*L11*1.3)^2*PI()/4)</f>
        <v>0</v>
      </c>
      <c r="T11" s="204">
        <f t="shared" ref="T11:T43" si="7">IF(L11=0,0,(Q11+R11+S11)/J11)</f>
        <v>0</v>
      </c>
      <c r="U11" s="203">
        <f t="shared" ref="U11:U43" si="8">Q11+R11+S11</f>
        <v>0</v>
      </c>
      <c r="V11" s="206">
        <f t="shared" ref="V11:V43" si="9">U11*F$6</f>
        <v>0</v>
      </c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</row>
    <row r="12" spans="1:81" s="195" customFormat="1">
      <c r="A12" s="196">
        <v>2</v>
      </c>
      <c r="B12" s="192"/>
      <c r="C12" s="197"/>
      <c r="D12" s="198"/>
      <c r="E12" s="198"/>
      <c r="F12" s="192"/>
      <c r="G12" s="199"/>
      <c r="H12" s="207"/>
      <c r="I12" s="207"/>
      <c r="J12" s="201">
        <f t="shared" si="0"/>
        <v>0</v>
      </c>
      <c r="K12" s="201">
        <f t="shared" si="1"/>
        <v>0</v>
      </c>
      <c r="L12" s="202">
        <f t="shared" ref="L12:L46" si="10">IF(F12=0,0,IF((G12=1),HLOOKUP(F12,B$65:F$66,2),HLOOKUP(F12,H$65:L$66,2)))</f>
        <v>0</v>
      </c>
      <c r="M12" s="201">
        <f t="shared" si="2"/>
        <v>0</v>
      </c>
      <c r="N12" s="203">
        <f t="shared" ref="N12:N46" si="11">(IF(L12=0,0,IF(L12&lt;1501,VLOOKUP(L12+M12,C$70:D$118,2),VLOOKUP(L12+M12,E$70:F$114,2))+(L$7-0.15)*I$5)*I$3*I$4*(100-F$5)/100)</f>
        <v>0</v>
      </c>
      <c r="O12" s="204">
        <f t="shared" si="3"/>
        <v>0</v>
      </c>
      <c r="P12" s="203">
        <f t="shared" si="4"/>
        <v>0</v>
      </c>
      <c r="Q12" s="204">
        <f t="shared" si="5"/>
        <v>0</v>
      </c>
      <c r="R12" s="205">
        <f t="shared" ref="R12:R46" si="12">(L12=1200)*(15*L$4+L$4*M12)+(L12=1500)*(20*L$4+1.3*L$4*M12)+(L12=1800)*(30*L$4+1.5*L$4*M12)+(L12=2400)*(40*L$4+2*L$4*M12)+(L12=3000)*(50*L$4+2.5*L$4*M12)+(L12=3600)*(60*L$4+3*L$4*M12)+I12</f>
        <v>0</v>
      </c>
      <c r="S12" s="203">
        <f t="shared" si="6"/>
        <v>0</v>
      </c>
      <c r="T12" s="204">
        <f t="shared" si="7"/>
        <v>0</v>
      </c>
      <c r="U12" s="203">
        <f t="shared" si="8"/>
        <v>0</v>
      </c>
      <c r="V12" s="206">
        <f t="shared" si="9"/>
        <v>0</v>
      </c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</row>
    <row r="13" spans="1:81" s="195" customFormat="1">
      <c r="A13" s="196">
        <v>3</v>
      </c>
      <c r="B13" s="192"/>
      <c r="C13" s="197"/>
      <c r="D13" s="198"/>
      <c r="E13" s="198"/>
      <c r="F13" s="192"/>
      <c r="G13" s="199"/>
      <c r="H13" s="207"/>
      <c r="I13" s="207"/>
      <c r="J13" s="201">
        <f t="shared" si="0"/>
        <v>0</v>
      </c>
      <c r="K13" s="201">
        <f t="shared" si="1"/>
        <v>0</v>
      </c>
      <c r="L13" s="202">
        <f t="shared" si="10"/>
        <v>0</v>
      </c>
      <c r="M13" s="201">
        <f t="shared" si="2"/>
        <v>0</v>
      </c>
      <c r="N13" s="203">
        <f t="shared" si="11"/>
        <v>0</v>
      </c>
      <c r="O13" s="204">
        <f t="shared" si="3"/>
        <v>0</v>
      </c>
      <c r="P13" s="203">
        <f t="shared" si="4"/>
        <v>0</v>
      </c>
      <c r="Q13" s="204">
        <f t="shared" si="5"/>
        <v>0</v>
      </c>
      <c r="R13" s="205">
        <f t="shared" si="12"/>
        <v>0</v>
      </c>
      <c r="S13" s="203">
        <f t="shared" si="6"/>
        <v>0</v>
      </c>
      <c r="T13" s="204">
        <f t="shared" si="7"/>
        <v>0</v>
      </c>
      <c r="U13" s="203">
        <f t="shared" si="8"/>
        <v>0</v>
      </c>
      <c r="V13" s="206">
        <f t="shared" si="9"/>
        <v>0</v>
      </c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</row>
    <row r="14" spans="1:81" s="195" customFormat="1">
      <c r="A14" s="196">
        <v>4</v>
      </c>
      <c r="B14" s="192"/>
      <c r="C14" s="197"/>
      <c r="D14" s="198"/>
      <c r="E14" s="198"/>
      <c r="F14" s="192"/>
      <c r="G14" s="208"/>
      <c r="H14" s="207"/>
      <c r="I14" s="207"/>
      <c r="J14" s="201">
        <f t="shared" si="0"/>
        <v>0</v>
      </c>
      <c r="K14" s="201">
        <f t="shared" si="1"/>
        <v>0</v>
      </c>
      <c r="L14" s="202">
        <f t="shared" si="10"/>
        <v>0</v>
      </c>
      <c r="M14" s="201">
        <f t="shared" si="2"/>
        <v>0</v>
      </c>
      <c r="N14" s="203">
        <f t="shared" si="11"/>
        <v>0</v>
      </c>
      <c r="O14" s="204">
        <f t="shared" si="3"/>
        <v>0</v>
      </c>
      <c r="P14" s="203">
        <f t="shared" si="4"/>
        <v>0</v>
      </c>
      <c r="Q14" s="204">
        <f t="shared" si="5"/>
        <v>0</v>
      </c>
      <c r="R14" s="205">
        <f t="shared" si="12"/>
        <v>0</v>
      </c>
      <c r="S14" s="203">
        <f t="shared" si="6"/>
        <v>0</v>
      </c>
      <c r="T14" s="204">
        <f t="shared" si="7"/>
        <v>0</v>
      </c>
      <c r="U14" s="203">
        <f t="shared" si="8"/>
        <v>0</v>
      </c>
      <c r="V14" s="206">
        <f t="shared" si="9"/>
        <v>0</v>
      </c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</row>
    <row r="15" spans="1:81" s="195" customFormat="1">
      <c r="A15" s="196">
        <v>5</v>
      </c>
      <c r="B15" s="192"/>
      <c r="C15" s="197"/>
      <c r="D15" s="198"/>
      <c r="E15" s="198"/>
      <c r="F15" s="192"/>
      <c r="G15" s="208"/>
      <c r="H15" s="207"/>
      <c r="I15" s="207"/>
      <c r="J15" s="201">
        <f t="shared" si="0"/>
        <v>0</v>
      </c>
      <c r="K15" s="201">
        <f t="shared" si="1"/>
        <v>0</v>
      </c>
      <c r="L15" s="202">
        <f t="shared" si="10"/>
        <v>0</v>
      </c>
      <c r="M15" s="201">
        <f t="shared" si="2"/>
        <v>0</v>
      </c>
      <c r="N15" s="203">
        <f t="shared" si="11"/>
        <v>0</v>
      </c>
      <c r="O15" s="204">
        <f t="shared" si="3"/>
        <v>0</v>
      </c>
      <c r="P15" s="203">
        <f t="shared" si="4"/>
        <v>0</v>
      </c>
      <c r="Q15" s="204">
        <f t="shared" si="5"/>
        <v>0</v>
      </c>
      <c r="R15" s="205">
        <f t="shared" si="12"/>
        <v>0</v>
      </c>
      <c r="S15" s="203">
        <f t="shared" si="6"/>
        <v>0</v>
      </c>
      <c r="T15" s="204">
        <f t="shared" si="7"/>
        <v>0</v>
      </c>
      <c r="U15" s="203">
        <f t="shared" si="8"/>
        <v>0</v>
      </c>
      <c r="V15" s="206">
        <f t="shared" si="9"/>
        <v>0</v>
      </c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</row>
    <row r="16" spans="1:81" s="195" customFormat="1">
      <c r="A16" s="196">
        <v>6</v>
      </c>
      <c r="B16" s="235"/>
      <c r="C16" s="197"/>
      <c r="D16" s="198"/>
      <c r="E16" s="198"/>
      <c r="F16" s="192"/>
      <c r="G16" s="208"/>
      <c r="H16" s="207"/>
      <c r="I16" s="207"/>
      <c r="J16" s="201">
        <f t="shared" si="0"/>
        <v>0</v>
      </c>
      <c r="K16" s="201">
        <f t="shared" si="1"/>
        <v>0</v>
      </c>
      <c r="L16" s="202">
        <f t="shared" si="10"/>
        <v>0</v>
      </c>
      <c r="M16" s="201">
        <f t="shared" si="2"/>
        <v>0</v>
      </c>
      <c r="N16" s="203">
        <f t="shared" si="11"/>
        <v>0</v>
      </c>
      <c r="O16" s="204">
        <f t="shared" si="3"/>
        <v>0</v>
      </c>
      <c r="P16" s="203">
        <f t="shared" si="4"/>
        <v>0</v>
      </c>
      <c r="Q16" s="204">
        <f t="shared" si="5"/>
        <v>0</v>
      </c>
      <c r="R16" s="205">
        <f t="shared" si="12"/>
        <v>0</v>
      </c>
      <c r="S16" s="203">
        <f t="shared" si="6"/>
        <v>0</v>
      </c>
      <c r="T16" s="204">
        <f t="shared" si="7"/>
        <v>0</v>
      </c>
      <c r="U16" s="203">
        <f t="shared" si="8"/>
        <v>0</v>
      </c>
      <c r="V16" s="206">
        <f t="shared" si="9"/>
        <v>0</v>
      </c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</row>
    <row r="17" spans="1:81" s="195" customFormat="1">
      <c r="A17" s="196">
        <v>7</v>
      </c>
      <c r="B17" s="192"/>
      <c r="C17" s="197"/>
      <c r="D17" s="198"/>
      <c r="E17" s="198"/>
      <c r="F17" s="192"/>
      <c r="G17" s="208"/>
      <c r="H17" s="207"/>
      <c r="I17" s="207"/>
      <c r="J17" s="201">
        <f t="shared" si="0"/>
        <v>0</v>
      </c>
      <c r="K17" s="201">
        <f t="shared" si="1"/>
        <v>0</v>
      </c>
      <c r="L17" s="202">
        <f t="shared" si="10"/>
        <v>0</v>
      </c>
      <c r="M17" s="201">
        <f t="shared" si="2"/>
        <v>0</v>
      </c>
      <c r="N17" s="203">
        <f t="shared" si="11"/>
        <v>0</v>
      </c>
      <c r="O17" s="204">
        <f t="shared" si="3"/>
        <v>0</v>
      </c>
      <c r="P17" s="203">
        <f t="shared" si="4"/>
        <v>0</v>
      </c>
      <c r="Q17" s="204">
        <f t="shared" si="5"/>
        <v>0</v>
      </c>
      <c r="R17" s="205">
        <f t="shared" si="12"/>
        <v>0</v>
      </c>
      <c r="S17" s="203">
        <f t="shared" si="6"/>
        <v>0</v>
      </c>
      <c r="T17" s="204">
        <f t="shared" si="7"/>
        <v>0</v>
      </c>
      <c r="U17" s="203">
        <f t="shared" si="8"/>
        <v>0</v>
      </c>
      <c r="V17" s="206">
        <f t="shared" si="9"/>
        <v>0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</row>
    <row r="18" spans="1:81" s="195" customFormat="1">
      <c r="A18" s="196">
        <v>8</v>
      </c>
      <c r="B18" s="192"/>
      <c r="C18" s="197"/>
      <c r="D18" s="198"/>
      <c r="E18" s="198"/>
      <c r="F18" s="192"/>
      <c r="G18" s="208"/>
      <c r="H18" s="207"/>
      <c r="I18" s="207"/>
      <c r="J18" s="201">
        <f t="shared" si="0"/>
        <v>0</v>
      </c>
      <c r="K18" s="201">
        <f t="shared" si="1"/>
        <v>0</v>
      </c>
      <c r="L18" s="202">
        <f t="shared" si="10"/>
        <v>0</v>
      </c>
      <c r="M18" s="201">
        <f t="shared" si="2"/>
        <v>0</v>
      </c>
      <c r="N18" s="203">
        <f t="shared" si="11"/>
        <v>0</v>
      </c>
      <c r="O18" s="204">
        <f t="shared" si="3"/>
        <v>0</v>
      </c>
      <c r="P18" s="203">
        <f t="shared" si="4"/>
        <v>0</v>
      </c>
      <c r="Q18" s="204">
        <f t="shared" si="5"/>
        <v>0</v>
      </c>
      <c r="R18" s="205">
        <f t="shared" si="12"/>
        <v>0</v>
      </c>
      <c r="S18" s="203">
        <f t="shared" si="6"/>
        <v>0</v>
      </c>
      <c r="T18" s="204">
        <f t="shared" si="7"/>
        <v>0</v>
      </c>
      <c r="U18" s="203">
        <f t="shared" si="8"/>
        <v>0</v>
      </c>
      <c r="V18" s="206">
        <f t="shared" si="9"/>
        <v>0</v>
      </c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</row>
    <row r="19" spans="1:81" s="195" customFormat="1">
      <c r="A19" s="196">
        <v>9</v>
      </c>
      <c r="B19" s="192"/>
      <c r="C19" s="197"/>
      <c r="D19" s="198"/>
      <c r="E19" s="198"/>
      <c r="F19" s="192"/>
      <c r="G19" s="208"/>
      <c r="H19" s="207"/>
      <c r="I19" s="207"/>
      <c r="J19" s="201">
        <f t="shared" si="0"/>
        <v>0</v>
      </c>
      <c r="K19" s="201">
        <f t="shared" si="1"/>
        <v>0</v>
      </c>
      <c r="L19" s="202">
        <f t="shared" si="10"/>
        <v>0</v>
      </c>
      <c r="M19" s="201">
        <f t="shared" si="2"/>
        <v>0</v>
      </c>
      <c r="N19" s="203">
        <f t="shared" si="11"/>
        <v>0</v>
      </c>
      <c r="O19" s="204">
        <f t="shared" si="3"/>
        <v>0</v>
      </c>
      <c r="P19" s="203">
        <f t="shared" si="4"/>
        <v>0</v>
      </c>
      <c r="Q19" s="204">
        <f t="shared" si="5"/>
        <v>0</v>
      </c>
      <c r="R19" s="205">
        <f t="shared" si="12"/>
        <v>0</v>
      </c>
      <c r="S19" s="203">
        <f t="shared" si="6"/>
        <v>0</v>
      </c>
      <c r="T19" s="204">
        <f t="shared" si="7"/>
        <v>0</v>
      </c>
      <c r="U19" s="203">
        <f t="shared" si="8"/>
        <v>0</v>
      </c>
      <c r="V19" s="206">
        <f t="shared" si="9"/>
        <v>0</v>
      </c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</row>
    <row r="20" spans="1:81" s="195" customFormat="1">
      <c r="A20" s="196">
        <v>10</v>
      </c>
      <c r="B20" s="192"/>
      <c r="C20" s="197"/>
      <c r="D20" s="198"/>
      <c r="E20" s="198"/>
      <c r="F20" s="192"/>
      <c r="G20" s="208"/>
      <c r="H20" s="207"/>
      <c r="I20" s="207"/>
      <c r="J20" s="201">
        <f t="shared" si="0"/>
        <v>0</v>
      </c>
      <c r="K20" s="201">
        <f t="shared" si="1"/>
        <v>0</v>
      </c>
      <c r="L20" s="202">
        <f t="shared" si="10"/>
        <v>0</v>
      </c>
      <c r="M20" s="201">
        <f t="shared" si="2"/>
        <v>0</v>
      </c>
      <c r="N20" s="203">
        <f t="shared" si="11"/>
        <v>0</v>
      </c>
      <c r="O20" s="204">
        <f t="shared" si="3"/>
        <v>0</v>
      </c>
      <c r="P20" s="203">
        <f t="shared" si="4"/>
        <v>0</v>
      </c>
      <c r="Q20" s="204">
        <f t="shared" si="5"/>
        <v>0</v>
      </c>
      <c r="R20" s="205">
        <f t="shared" si="12"/>
        <v>0</v>
      </c>
      <c r="S20" s="203">
        <f t="shared" si="6"/>
        <v>0</v>
      </c>
      <c r="T20" s="204">
        <f t="shared" si="7"/>
        <v>0</v>
      </c>
      <c r="U20" s="203">
        <f t="shared" si="8"/>
        <v>0</v>
      </c>
      <c r="V20" s="206">
        <f t="shared" si="9"/>
        <v>0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</row>
    <row r="21" spans="1:81" s="195" customFormat="1">
      <c r="A21" s="196">
        <v>11</v>
      </c>
      <c r="B21" s="192"/>
      <c r="C21" s="197"/>
      <c r="D21" s="198"/>
      <c r="E21" s="198"/>
      <c r="F21" s="192"/>
      <c r="G21" s="208"/>
      <c r="H21" s="466"/>
      <c r="I21" s="466"/>
      <c r="J21" s="201">
        <f t="shared" si="0"/>
        <v>0</v>
      </c>
      <c r="K21" s="201">
        <f t="shared" si="1"/>
        <v>0</v>
      </c>
      <c r="L21" s="202">
        <f t="shared" si="10"/>
        <v>0</v>
      </c>
      <c r="M21" s="201">
        <f t="shared" si="2"/>
        <v>0</v>
      </c>
      <c r="N21" s="203">
        <f t="shared" si="11"/>
        <v>0</v>
      </c>
      <c r="O21" s="204">
        <f t="shared" si="3"/>
        <v>0</v>
      </c>
      <c r="P21" s="203">
        <f t="shared" si="4"/>
        <v>0</v>
      </c>
      <c r="Q21" s="204">
        <f t="shared" si="5"/>
        <v>0</v>
      </c>
      <c r="R21" s="205">
        <f t="shared" si="12"/>
        <v>0</v>
      </c>
      <c r="S21" s="203">
        <f t="shared" si="6"/>
        <v>0</v>
      </c>
      <c r="T21" s="204">
        <f t="shared" si="7"/>
        <v>0</v>
      </c>
      <c r="U21" s="203">
        <f t="shared" si="8"/>
        <v>0</v>
      </c>
      <c r="V21" s="206">
        <f t="shared" si="9"/>
        <v>0</v>
      </c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</row>
    <row r="22" spans="1:81" s="195" customFormat="1">
      <c r="A22" s="196">
        <v>12</v>
      </c>
      <c r="B22" s="192"/>
      <c r="C22" s="197"/>
      <c r="D22" s="198"/>
      <c r="E22" s="198"/>
      <c r="F22" s="192"/>
      <c r="G22" s="208"/>
      <c r="H22" s="466"/>
      <c r="I22" s="466"/>
      <c r="J22" s="201">
        <f t="shared" si="0"/>
        <v>0</v>
      </c>
      <c r="K22" s="201">
        <f t="shared" si="1"/>
        <v>0</v>
      </c>
      <c r="L22" s="202">
        <f t="shared" si="10"/>
        <v>0</v>
      </c>
      <c r="M22" s="201">
        <f t="shared" si="2"/>
        <v>0</v>
      </c>
      <c r="N22" s="203">
        <f t="shared" si="11"/>
        <v>0</v>
      </c>
      <c r="O22" s="204">
        <f t="shared" si="3"/>
        <v>0</v>
      </c>
      <c r="P22" s="203">
        <f t="shared" si="4"/>
        <v>0</v>
      </c>
      <c r="Q22" s="204">
        <f t="shared" si="5"/>
        <v>0</v>
      </c>
      <c r="R22" s="205">
        <f t="shared" si="12"/>
        <v>0</v>
      </c>
      <c r="S22" s="203">
        <f t="shared" si="6"/>
        <v>0</v>
      </c>
      <c r="T22" s="204">
        <f t="shared" si="7"/>
        <v>0</v>
      </c>
      <c r="U22" s="203">
        <f t="shared" si="8"/>
        <v>0</v>
      </c>
      <c r="V22" s="206">
        <f t="shared" si="9"/>
        <v>0</v>
      </c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</row>
    <row r="23" spans="1:81" s="195" customFormat="1">
      <c r="A23" s="196">
        <v>13</v>
      </c>
      <c r="B23" s="192"/>
      <c r="C23" s="197"/>
      <c r="D23" s="198"/>
      <c r="E23" s="198"/>
      <c r="F23" s="192"/>
      <c r="G23" s="208"/>
      <c r="H23" s="466"/>
      <c r="I23" s="466"/>
      <c r="J23" s="201">
        <f t="shared" si="0"/>
        <v>0</v>
      </c>
      <c r="K23" s="201">
        <f t="shared" si="1"/>
        <v>0</v>
      </c>
      <c r="L23" s="202">
        <f t="shared" si="10"/>
        <v>0</v>
      </c>
      <c r="M23" s="201">
        <f t="shared" si="2"/>
        <v>0</v>
      </c>
      <c r="N23" s="203">
        <f t="shared" si="11"/>
        <v>0</v>
      </c>
      <c r="O23" s="204">
        <f t="shared" si="3"/>
        <v>0</v>
      </c>
      <c r="P23" s="203">
        <f t="shared" si="4"/>
        <v>0</v>
      </c>
      <c r="Q23" s="204">
        <f t="shared" si="5"/>
        <v>0</v>
      </c>
      <c r="R23" s="205">
        <f t="shared" si="12"/>
        <v>0</v>
      </c>
      <c r="S23" s="203">
        <f t="shared" si="6"/>
        <v>0</v>
      </c>
      <c r="T23" s="204">
        <f t="shared" si="7"/>
        <v>0</v>
      </c>
      <c r="U23" s="203">
        <f t="shared" si="8"/>
        <v>0</v>
      </c>
      <c r="V23" s="206">
        <f t="shared" si="9"/>
        <v>0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</row>
    <row r="24" spans="1:81" s="195" customFormat="1">
      <c r="A24" s="196">
        <v>14</v>
      </c>
      <c r="B24" s="192"/>
      <c r="C24" s="197"/>
      <c r="D24" s="198"/>
      <c r="E24" s="198"/>
      <c r="F24" s="192"/>
      <c r="G24" s="208"/>
      <c r="H24" s="207"/>
      <c r="I24" s="207"/>
      <c r="J24" s="201">
        <f t="shared" si="0"/>
        <v>0</v>
      </c>
      <c r="K24" s="201">
        <f t="shared" si="1"/>
        <v>0</v>
      </c>
      <c r="L24" s="202">
        <f t="shared" si="10"/>
        <v>0</v>
      </c>
      <c r="M24" s="201">
        <f t="shared" si="2"/>
        <v>0</v>
      </c>
      <c r="N24" s="203">
        <f t="shared" si="11"/>
        <v>0</v>
      </c>
      <c r="O24" s="204">
        <f t="shared" si="3"/>
        <v>0</v>
      </c>
      <c r="P24" s="203">
        <f t="shared" si="4"/>
        <v>0</v>
      </c>
      <c r="Q24" s="204">
        <f t="shared" si="5"/>
        <v>0</v>
      </c>
      <c r="R24" s="205">
        <f t="shared" si="12"/>
        <v>0</v>
      </c>
      <c r="S24" s="203">
        <f t="shared" si="6"/>
        <v>0</v>
      </c>
      <c r="T24" s="204">
        <f t="shared" si="7"/>
        <v>0</v>
      </c>
      <c r="U24" s="203">
        <f t="shared" si="8"/>
        <v>0</v>
      </c>
      <c r="V24" s="206">
        <f t="shared" si="9"/>
        <v>0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</row>
    <row r="25" spans="1:81" s="195" customFormat="1">
      <c r="A25" s="196">
        <v>15</v>
      </c>
      <c r="B25" s="192"/>
      <c r="C25" s="197"/>
      <c r="D25" s="198"/>
      <c r="E25" s="198"/>
      <c r="F25" s="192"/>
      <c r="G25" s="208"/>
      <c r="H25" s="207"/>
      <c r="I25" s="207"/>
      <c r="J25" s="201">
        <f t="shared" si="0"/>
        <v>0</v>
      </c>
      <c r="K25" s="201">
        <f t="shared" si="1"/>
        <v>0</v>
      </c>
      <c r="L25" s="202">
        <f t="shared" si="10"/>
        <v>0</v>
      </c>
      <c r="M25" s="201">
        <f t="shared" si="2"/>
        <v>0</v>
      </c>
      <c r="N25" s="203">
        <f t="shared" si="11"/>
        <v>0</v>
      </c>
      <c r="O25" s="204">
        <f t="shared" si="3"/>
        <v>0</v>
      </c>
      <c r="P25" s="203">
        <f t="shared" si="4"/>
        <v>0</v>
      </c>
      <c r="Q25" s="204">
        <f t="shared" si="5"/>
        <v>0</v>
      </c>
      <c r="R25" s="205">
        <f t="shared" si="12"/>
        <v>0</v>
      </c>
      <c r="S25" s="203">
        <f t="shared" si="6"/>
        <v>0</v>
      </c>
      <c r="T25" s="204">
        <f t="shared" si="7"/>
        <v>0</v>
      </c>
      <c r="U25" s="203">
        <f t="shared" si="8"/>
        <v>0</v>
      </c>
      <c r="V25" s="206">
        <f t="shared" si="9"/>
        <v>0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</row>
    <row r="26" spans="1:81" s="195" customFormat="1">
      <c r="A26" s="196">
        <v>16</v>
      </c>
      <c r="B26" s="192"/>
      <c r="C26" s="197"/>
      <c r="D26" s="198"/>
      <c r="E26" s="198"/>
      <c r="F26" s="192"/>
      <c r="G26" s="208"/>
      <c r="H26" s="207"/>
      <c r="I26" s="207"/>
      <c r="J26" s="201">
        <f t="shared" si="0"/>
        <v>0</v>
      </c>
      <c r="K26" s="201">
        <f t="shared" si="1"/>
        <v>0</v>
      </c>
      <c r="L26" s="202">
        <f t="shared" si="10"/>
        <v>0</v>
      </c>
      <c r="M26" s="201">
        <f t="shared" si="2"/>
        <v>0</v>
      </c>
      <c r="N26" s="203">
        <f t="shared" si="11"/>
        <v>0</v>
      </c>
      <c r="O26" s="204">
        <f t="shared" si="3"/>
        <v>0</v>
      </c>
      <c r="P26" s="203">
        <f t="shared" si="4"/>
        <v>0</v>
      </c>
      <c r="Q26" s="204">
        <f t="shared" si="5"/>
        <v>0</v>
      </c>
      <c r="R26" s="205">
        <f t="shared" si="12"/>
        <v>0</v>
      </c>
      <c r="S26" s="203">
        <f t="shared" si="6"/>
        <v>0</v>
      </c>
      <c r="T26" s="204">
        <f t="shared" si="7"/>
        <v>0</v>
      </c>
      <c r="U26" s="203">
        <f t="shared" si="8"/>
        <v>0</v>
      </c>
      <c r="V26" s="206">
        <f t="shared" si="9"/>
        <v>0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</row>
    <row r="27" spans="1:81" s="195" customFormat="1">
      <c r="A27" s="196">
        <v>17</v>
      </c>
      <c r="B27" s="192"/>
      <c r="C27" s="197"/>
      <c r="D27" s="198"/>
      <c r="E27" s="198"/>
      <c r="F27" s="192"/>
      <c r="G27" s="208"/>
      <c r="H27" s="207"/>
      <c r="I27" s="207"/>
      <c r="J27" s="201">
        <f t="shared" si="0"/>
        <v>0</v>
      </c>
      <c r="K27" s="201">
        <f t="shared" si="1"/>
        <v>0</v>
      </c>
      <c r="L27" s="202">
        <f t="shared" si="10"/>
        <v>0</v>
      </c>
      <c r="M27" s="201">
        <f t="shared" si="2"/>
        <v>0</v>
      </c>
      <c r="N27" s="203">
        <f t="shared" si="11"/>
        <v>0</v>
      </c>
      <c r="O27" s="204">
        <f t="shared" si="3"/>
        <v>0</v>
      </c>
      <c r="P27" s="203">
        <f t="shared" si="4"/>
        <v>0</v>
      </c>
      <c r="Q27" s="204">
        <f t="shared" si="5"/>
        <v>0</v>
      </c>
      <c r="R27" s="205">
        <f t="shared" si="12"/>
        <v>0</v>
      </c>
      <c r="S27" s="203">
        <f t="shared" si="6"/>
        <v>0</v>
      </c>
      <c r="T27" s="204">
        <f t="shared" si="7"/>
        <v>0</v>
      </c>
      <c r="U27" s="203">
        <f t="shared" si="8"/>
        <v>0</v>
      </c>
      <c r="V27" s="206">
        <f t="shared" si="9"/>
        <v>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</row>
    <row r="28" spans="1:81" s="195" customFormat="1">
      <c r="A28" s="196">
        <v>18</v>
      </c>
      <c r="B28" s="192"/>
      <c r="C28" s="197"/>
      <c r="D28" s="198"/>
      <c r="E28" s="198"/>
      <c r="F28" s="192"/>
      <c r="G28" s="208"/>
      <c r="H28" s="207"/>
      <c r="I28" s="207"/>
      <c r="J28" s="201">
        <f t="shared" si="0"/>
        <v>0</v>
      </c>
      <c r="K28" s="201">
        <f t="shared" si="1"/>
        <v>0</v>
      </c>
      <c r="L28" s="202">
        <f t="shared" si="10"/>
        <v>0</v>
      </c>
      <c r="M28" s="201">
        <f t="shared" si="2"/>
        <v>0</v>
      </c>
      <c r="N28" s="203">
        <f t="shared" si="11"/>
        <v>0</v>
      </c>
      <c r="O28" s="204">
        <f t="shared" si="3"/>
        <v>0</v>
      </c>
      <c r="P28" s="203">
        <f t="shared" si="4"/>
        <v>0</v>
      </c>
      <c r="Q28" s="204">
        <f t="shared" si="5"/>
        <v>0</v>
      </c>
      <c r="R28" s="205">
        <f t="shared" si="12"/>
        <v>0</v>
      </c>
      <c r="S28" s="203">
        <f t="shared" si="6"/>
        <v>0</v>
      </c>
      <c r="T28" s="204">
        <f t="shared" si="7"/>
        <v>0</v>
      </c>
      <c r="U28" s="203">
        <f t="shared" si="8"/>
        <v>0</v>
      </c>
      <c r="V28" s="206">
        <f t="shared" si="9"/>
        <v>0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</row>
    <row r="29" spans="1:81" s="195" customFormat="1">
      <c r="A29" s="196">
        <v>19</v>
      </c>
      <c r="B29" s="192"/>
      <c r="C29" s="197"/>
      <c r="D29" s="198"/>
      <c r="E29" s="198"/>
      <c r="F29" s="192"/>
      <c r="G29" s="208"/>
      <c r="H29" s="207"/>
      <c r="I29" s="207"/>
      <c r="J29" s="201">
        <f t="shared" si="0"/>
        <v>0</v>
      </c>
      <c r="K29" s="201">
        <f t="shared" si="1"/>
        <v>0</v>
      </c>
      <c r="L29" s="202">
        <f t="shared" si="10"/>
        <v>0</v>
      </c>
      <c r="M29" s="201">
        <f t="shared" si="2"/>
        <v>0</v>
      </c>
      <c r="N29" s="203">
        <f t="shared" si="11"/>
        <v>0</v>
      </c>
      <c r="O29" s="204">
        <f t="shared" si="3"/>
        <v>0</v>
      </c>
      <c r="P29" s="203">
        <f t="shared" si="4"/>
        <v>0</v>
      </c>
      <c r="Q29" s="204">
        <f t="shared" si="5"/>
        <v>0</v>
      </c>
      <c r="R29" s="205">
        <f t="shared" si="12"/>
        <v>0</v>
      </c>
      <c r="S29" s="203">
        <f t="shared" si="6"/>
        <v>0</v>
      </c>
      <c r="T29" s="204">
        <f t="shared" si="7"/>
        <v>0</v>
      </c>
      <c r="U29" s="203">
        <f t="shared" si="8"/>
        <v>0</v>
      </c>
      <c r="V29" s="206">
        <f t="shared" si="9"/>
        <v>0</v>
      </c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</row>
    <row r="30" spans="1:81" s="195" customFormat="1">
      <c r="A30" s="196">
        <v>20</v>
      </c>
      <c r="B30" s="192"/>
      <c r="C30" s="197"/>
      <c r="D30" s="198"/>
      <c r="E30" s="198"/>
      <c r="F30" s="192"/>
      <c r="G30" s="208"/>
      <c r="H30" s="207"/>
      <c r="I30" s="207"/>
      <c r="J30" s="201">
        <f t="shared" si="0"/>
        <v>0</v>
      </c>
      <c r="K30" s="201">
        <f t="shared" si="1"/>
        <v>0</v>
      </c>
      <c r="L30" s="202">
        <f t="shared" si="10"/>
        <v>0</v>
      </c>
      <c r="M30" s="201">
        <f t="shared" si="2"/>
        <v>0</v>
      </c>
      <c r="N30" s="203">
        <f t="shared" si="11"/>
        <v>0</v>
      </c>
      <c r="O30" s="204">
        <f t="shared" si="3"/>
        <v>0</v>
      </c>
      <c r="P30" s="203">
        <f t="shared" si="4"/>
        <v>0</v>
      </c>
      <c r="Q30" s="204">
        <f t="shared" si="5"/>
        <v>0</v>
      </c>
      <c r="R30" s="205">
        <f t="shared" si="12"/>
        <v>0</v>
      </c>
      <c r="S30" s="203">
        <f t="shared" si="6"/>
        <v>0</v>
      </c>
      <c r="T30" s="204">
        <f t="shared" si="7"/>
        <v>0</v>
      </c>
      <c r="U30" s="203">
        <f t="shared" si="8"/>
        <v>0</v>
      </c>
      <c r="V30" s="206">
        <f t="shared" si="9"/>
        <v>0</v>
      </c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</row>
    <row r="31" spans="1:81" s="195" customFormat="1">
      <c r="A31" s="196">
        <v>21</v>
      </c>
      <c r="B31" s="192"/>
      <c r="C31" s="197"/>
      <c r="D31" s="198"/>
      <c r="E31" s="198"/>
      <c r="F31" s="192"/>
      <c r="G31" s="208"/>
      <c r="H31" s="207"/>
      <c r="I31" s="207"/>
      <c r="J31" s="201">
        <f t="shared" si="0"/>
        <v>0</v>
      </c>
      <c r="K31" s="201">
        <f t="shared" si="1"/>
        <v>0</v>
      </c>
      <c r="L31" s="202">
        <f t="shared" si="10"/>
        <v>0</v>
      </c>
      <c r="M31" s="201">
        <f t="shared" si="2"/>
        <v>0</v>
      </c>
      <c r="N31" s="203">
        <f t="shared" si="11"/>
        <v>0</v>
      </c>
      <c r="O31" s="204">
        <f t="shared" si="3"/>
        <v>0</v>
      </c>
      <c r="P31" s="203">
        <f t="shared" si="4"/>
        <v>0</v>
      </c>
      <c r="Q31" s="204">
        <f t="shared" si="5"/>
        <v>0</v>
      </c>
      <c r="R31" s="205">
        <f t="shared" si="12"/>
        <v>0</v>
      </c>
      <c r="S31" s="203">
        <f t="shared" si="6"/>
        <v>0</v>
      </c>
      <c r="T31" s="204">
        <f t="shared" si="7"/>
        <v>0</v>
      </c>
      <c r="U31" s="203">
        <f t="shared" si="8"/>
        <v>0</v>
      </c>
      <c r="V31" s="206">
        <f t="shared" si="9"/>
        <v>0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</row>
    <row r="32" spans="1:81" s="195" customFormat="1">
      <c r="A32" s="196">
        <v>22</v>
      </c>
      <c r="B32" s="192"/>
      <c r="C32" s="197"/>
      <c r="D32" s="198"/>
      <c r="E32" s="198"/>
      <c r="F32" s="192"/>
      <c r="G32" s="208"/>
      <c r="H32" s="207"/>
      <c r="I32" s="207"/>
      <c r="J32" s="201">
        <f t="shared" si="0"/>
        <v>0</v>
      </c>
      <c r="K32" s="201">
        <f t="shared" si="1"/>
        <v>0</v>
      </c>
      <c r="L32" s="202">
        <f t="shared" si="10"/>
        <v>0</v>
      </c>
      <c r="M32" s="201">
        <f t="shared" si="2"/>
        <v>0</v>
      </c>
      <c r="N32" s="203">
        <f t="shared" si="11"/>
        <v>0</v>
      </c>
      <c r="O32" s="204">
        <f t="shared" si="3"/>
        <v>0</v>
      </c>
      <c r="P32" s="203">
        <f t="shared" si="4"/>
        <v>0</v>
      </c>
      <c r="Q32" s="204">
        <f t="shared" si="5"/>
        <v>0</v>
      </c>
      <c r="R32" s="205">
        <f t="shared" si="12"/>
        <v>0</v>
      </c>
      <c r="S32" s="203">
        <f t="shared" si="6"/>
        <v>0</v>
      </c>
      <c r="T32" s="204">
        <f t="shared" si="7"/>
        <v>0</v>
      </c>
      <c r="U32" s="203">
        <f t="shared" si="8"/>
        <v>0</v>
      </c>
      <c r="V32" s="206">
        <f t="shared" si="9"/>
        <v>0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</row>
    <row r="33" spans="1:81" s="195" customFormat="1">
      <c r="A33" s="196">
        <v>23</v>
      </c>
      <c r="B33" s="192"/>
      <c r="C33" s="197"/>
      <c r="D33" s="198"/>
      <c r="E33" s="198"/>
      <c r="F33" s="192"/>
      <c r="G33" s="208"/>
      <c r="H33" s="207"/>
      <c r="I33" s="207"/>
      <c r="J33" s="201">
        <f t="shared" si="0"/>
        <v>0</v>
      </c>
      <c r="K33" s="201">
        <f t="shared" si="1"/>
        <v>0</v>
      </c>
      <c r="L33" s="202">
        <f t="shared" si="10"/>
        <v>0</v>
      </c>
      <c r="M33" s="201">
        <f>IF(J33=0,0,J33-L$7+0.3*F33/1000+0.3)</f>
        <v>0</v>
      </c>
      <c r="N33" s="203">
        <f t="shared" si="11"/>
        <v>0</v>
      </c>
      <c r="O33" s="204">
        <f t="shared" si="3"/>
        <v>0</v>
      </c>
      <c r="P33" s="203">
        <f t="shared" si="4"/>
        <v>0</v>
      </c>
      <c r="Q33" s="204">
        <f t="shared" si="5"/>
        <v>0</v>
      </c>
      <c r="R33" s="205">
        <f t="shared" si="12"/>
        <v>0</v>
      </c>
      <c r="S33" s="203">
        <f t="shared" si="6"/>
        <v>0</v>
      </c>
      <c r="T33" s="204">
        <f t="shared" si="7"/>
        <v>0</v>
      </c>
      <c r="U33" s="203">
        <f t="shared" si="8"/>
        <v>0</v>
      </c>
      <c r="V33" s="206">
        <f t="shared" si="9"/>
        <v>0</v>
      </c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</row>
    <row r="34" spans="1:81" s="195" customFormat="1">
      <c r="A34" s="196">
        <v>24</v>
      </c>
      <c r="B34" s="192"/>
      <c r="C34" s="197"/>
      <c r="D34" s="198"/>
      <c r="E34" s="198"/>
      <c r="F34" s="192"/>
      <c r="G34" s="208"/>
      <c r="H34" s="207"/>
      <c r="I34" s="207"/>
      <c r="J34" s="201">
        <f t="shared" si="0"/>
        <v>0</v>
      </c>
      <c r="K34" s="201">
        <f t="shared" si="1"/>
        <v>0</v>
      </c>
      <c r="L34" s="202">
        <f t="shared" si="10"/>
        <v>0</v>
      </c>
      <c r="M34" s="201">
        <f t="shared" si="2"/>
        <v>0</v>
      </c>
      <c r="N34" s="203">
        <f t="shared" si="11"/>
        <v>0</v>
      </c>
      <c r="O34" s="204">
        <f t="shared" si="3"/>
        <v>0</v>
      </c>
      <c r="P34" s="203">
        <f t="shared" si="4"/>
        <v>0</v>
      </c>
      <c r="Q34" s="204">
        <f t="shared" si="5"/>
        <v>0</v>
      </c>
      <c r="R34" s="205">
        <f t="shared" si="12"/>
        <v>0</v>
      </c>
      <c r="S34" s="203">
        <f t="shared" si="6"/>
        <v>0</v>
      </c>
      <c r="T34" s="204">
        <f t="shared" si="7"/>
        <v>0</v>
      </c>
      <c r="U34" s="203">
        <f t="shared" si="8"/>
        <v>0</v>
      </c>
      <c r="V34" s="206">
        <f t="shared" si="9"/>
        <v>0</v>
      </c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</row>
    <row r="35" spans="1:81" s="195" customFormat="1">
      <c r="A35" s="196">
        <v>25</v>
      </c>
      <c r="B35" s="192"/>
      <c r="C35" s="197"/>
      <c r="D35" s="198"/>
      <c r="E35" s="198"/>
      <c r="F35" s="192"/>
      <c r="G35" s="208"/>
      <c r="H35" s="207"/>
      <c r="I35" s="207"/>
      <c r="J35" s="201">
        <f t="shared" si="0"/>
        <v>0</v>
      </c>
      <c r="K35" s="201">
        <f t="shared" si="1"/>
        <v>0</v>
      </c>
      <c r="L35" s="202">
        <f t="shared" si="10"/>
        <v>0</v>
      </c>
      <c r="M35" s="201">
        <f t="shared" si="2"/>
        <v>0</v>
      </c>
      <c r="N35" s="203">
        <f t="shared" si="11"/>
        <v>0</v>
      </c>
      <c r="O35" s="204">
        <f t="shared" si="3"/>
        <v>0</v>
      </c>
      <c r="P35" s="203">
        <f t="shared" si="4"/>
        <v>0</v>
      </c>
      <c r="Q35" s="204">
        <f t="shared" si="5"/>
        <v>0</v>
      </c>
      <c r="R35" s="205">
        <f t="shared" si="12"/>
        <v>0</v>
      </c>
      <c r="S35" s="203">
        <f t="shared" si="6"/>
        <v>0</v>
      </c>
      <c r="T35" s="204">
        <f t="shared" si="7"/>
        <v>0</v>
      </c>
      <c r="U35" s="203">
        <f t="shared" si="8"/>
        <v>0</v>
      </c>
      <c r="V35" s="206">
        <f t="shared" si="9"/>
        <v>0</v>
      </c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</row>
    <row r="36" spans="1:81" s="195" customFormat="1">
      <c r="A36" s="196">
        <v>26</v>
      </c>
      <c r="B36" s="192"/>
      <c r="C36" s="197"/>
      <c r="D36" s="198"/>
      <c r="E36" s="198"/>
      <c r="F36" s="192"/>
      <c r="G36" s="208"/>
      <c r="H36" s="207"/>
      <c r="I36" s="207"/>
      <c r="J36" s="201">
        <f t="shared" si="0"/>
        <v>0</v>
      </c>
      <c r="K36" s="201">
        <f t="shared" si="1"/>
        <v>0</v>
      </c>
      <c r="L36" s="202">
        <f t="shared" si="10"/>
        <v>0</v>
      </c>
      <c r="M36" s="201">
        <f t="shared" si="2"/>
        <v>0</v>
      </c>
      <c r="N36" s="203">
        <f t="shared" si="11"/>
        <v>0</v>
      </c>
      <c r="O36" s="204">
        <f t="shared" si="3"/>
        <v>0</v>
      </c>
      <c r="P36" s="203">
        <f t="shared" si="4"/>
        <v>0</v>
      </c>
      <c r="Q36" s="204">
        <f>H36+N36+O36+P36</f>
        <v>0</v>
      </c>
      <c r="R36" s="205">
        <f t="shared" si="12"/>
        <v>0</v>
      </c>
      <c r="S36" s="203">
        <f t="shared" si="6"/>
        <v>0</v>
      </c>
      <c r="T36" s="204">
        <f t="shared" si="7"/>
        <v>0</v>
      </c>
      <c r="U36" s="203">
        <f t="shared" si="8"/>
        <v>0</v>
      </c>
      <c r="V36" s="206">
        <f t="shared" si="9"/>
        <v>0</v>
      </c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</row>
    <row r="37" spans="1:81" s="195" customFormat="1">
      <c r="A37" s="196">
        <v>27</v>
      </c>
      <c r="B37" s="192"/>
      <c r="C37" s="197"/>
      <c r="D37" s="198"/>
      <c r="E37" s="198"/>
      <c r="F37" s="192"/>
      <c r="G37" s="208"/>
      <c r="H37" s="207"/>
      <c r="I37" s="207"/>
      <c r="J37" s="201">
        <f t="shared" si="0"/>
        <v>0</v>
      </c>
      <c r="K37" s="201">
        <f t="shared" si="1"/>
        <v>0</v>
      </c>
      <c r="L37" s="202">
        <f t="shared" si="10"/>
        <v>0</v>
      </c>
      <c r="M37" s="201">
        <f t="shared" si="2"/>
        <v>0</v>
      </c>
      <c r="N37" s="203">
        <f t="shared" si="11"/>
        <v>0</v>
      </c>
      <c r="O37" s="204">
        <f t="shared" si="3"/>
        <v>0</v>
      </c>
      <c r="P37" s="203">
        <f t="shared" si="4"/>
        <v>0</v>
      </c>
      <c r="Q37" s="204">
        <f t="shared" si="5"/>
        <v>0</v>
      </c>
      <c r="R37" s="205">
        <f t="shared" si="12"/>
        <v>0</v>
      </c>
      <c r="S37" s="203">
        <f t="shared" si="6"/>
        <v>0</v>
      </c>
      <c r="T37" s="204">
        <f t="shared" si="7"/>
        <v>0</v>
      </c>
      <c r="U37" s="203">
        <f t="shared" si="8"/>
        <v>0</v>
      </c>
      <c r="V37" s="206">
        <f t="shared" si="9"/>
        <v>0</v>
      </c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</row>
    <row r="38" spans="1:81" s="195" customFormat="1">
      <c r="A38" s="196">
        <v>28</v>
      </c>
      <c r="B38" s="192"/>
      <c r="C38" s="197"/>
      <c r="D38" s="198"/>
      <c r="E38" s="198"/>
      <c r="F38" s="192"/>
      <c r="G38" s="208"/>
      <c r="H38" s="207"/>
      <c r="I38" s="207"/>
      <c r="J38" s="201">
        <f t="shared" si="0"/>
        <v>0</v>
      </c>
      <c r="K38" s="201">
        <f t="shared" si="1"/>
        <v>0</v>
      </c>
      <c r="L38" s="202">
        <f t="shared" si="10"/>
        <v>0</v>
      </c>
      <c r="M38" s="201">
        <f t="shared" si="2"/>
        <v>0</v>
      </c>
      <c r="N38" s="203">
        <f t="shared" si="11"/>
        <v>0</v>
      </c>
      <c r="O38" s="204">
        <f t="shared" si="3"/>
        <v>0</v>
      </c>
      <c r="P38" s="203">
        <f t="shared" si="4"/>
        <v>0</v>
      </c>
      <c r="Q38" s="204">
        <f t="shared" si="5"/>
        <v>0</v>
      </c>
      <c r="R38" s="205">
        <f t="shared" si="12"/>
        <v>0</v>
      </c>
      <c r="S38" s="203">
        <f t="shared" si="6"/>
        <v>0</v>
      </c>
      <c r="T38" s="204">
        <f t="shared" si="7"/>
        <v>0</v>
      </c>
      <c r="U38" s="203">
        <f t="shared" si="8"/>
        <v>0</v>
      </c>
      <c r="V38" s="206">
        <f t="shared" si="9"/>
        <v>0</v>
      </c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</row>
    <row r="39" spans="1:81" s="195" customFormat="1">
      <c r="A39" s="196">
        <v>29</v>
      </c>
      <c r="B39" s="192"/>
      <c r="C39" s="197"/>
      <c r="D39" s="198"/>
      <c r="E39" s="198"/>
      <c r="F39" s="192"/>
      <c r="G39" s="208"/>
      <c r="H39" s="207"/>
      <c r="I39" s="207"/>
      <c r="J39" s="201">
        <f t="shared" si="0"/>
        <v>0</v>
      </c>
      <c r="K39" s="201">
        <f t="shared" si="1"/>
        <v>0</v>
      </c>
      <c r="L39" s="202">
        <f t="shared" si="10"/>
        <v>0</v>
      </c>
      <c r="M39" s="201">
        <f t="shared" si="2"/>
        <v>0</v>
      </c>
      <c r="N39" s="203">
        <f t="shared" si="11"/>
        <v>0</v>
      </c>
      <c r="O39" s="204">
        <f t="shared" si="3"/>
        <v>0</v>
      </c>
      <c r="P39" s="203">
        <f t="shared" si="4"/>
        <v>0</v>
      </c>
      <c r="Q39" s="204">
        <f t="shared" si="5"/>
        <v>0</v>
      </c>
      <c r="R39" s="205">
        <f t="shared" si="12"/>
        <v>0</v>
      </c>
      <c r="S39" s="203">
        <f t="shared" si="6"/>
        <v>0</v>
      </c>
      <c r="T39" s="204">
        <f t="shared" si="7"/>
        <v>0</v>
      </c>
      <c r="U39" s="203">
        <f t="shared" si="8"/>
        <v>0</v>
      </c>
      <c r="V39" s="206">
        <f t="shared" si="9"/>
        <v>0</v>
      </c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</row>
    <row r="40" spans="1:81" s="195" customFormat="1">
      <c r="A40" s="196">
        <v>30</v>
      </c>
      <c r="B40" s="192"/>
      <c r="C40" s="197"/>
      <c r="D40" s="198"/>
      <c r="E40" s="198"/>
      <c r="F40" s="192"/>
      <c r="G40" s="208"/>
      <c r="H40" s="207"/>
      <c r="I40" s="207"/>
      <c r="J40" s="201">
        <f t="shared" si="0"/>
        <v>0</v>
      </c>
      <c r="K40" s="201">
        <f t="shared" si="1"/>
        <v>0</v>
      </c>
      <c r="L40" s="202">
        <f t="shared" si="10"/>
        <v>0</v>
      </c>
      <c r="M40" s="201">
        <f t="shared" si="2"/>
        <v>0</v>
      </c>
      <c r="N40" s="203">
        <f t="shared" si="11"/>
        <v>0</v>
      </c>
      <c r="O40" s="204">
        <f t="shared" si="3"/>
        <v>0</v>
      </c>
      <c r="P40" s="203">
        <f t="shared" si="4"/>
        <v>0</v>
      </c>
      <c r="Q40" s="204">
        <f t="shared" si="5"/>
        <v>0</v>
      </c>
      <c r="R40" s="205">
        <f t="shared" si="12"/>
        <v>0</v>
      </c>
      <c r="S40" s="203">
        <f t="shared" si="6"/>
        <v>0</v>
      </c>
      <c r="T40" s="204">
        <f t="shared" si="7"/>
        <v>0</v>
      </c>
      <c r="U40" s="203">
        <f t="shared" si="8"/>
        <v>0</v>
      </c>
      <c r="V40" s="206">
        <f t="shared" si="9"/>
        <v>0</v>
      </c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</row>
    <row r="41" spans="1:81" s="195" customFormat="1">
      <c r="A41" s="196">
        <v>31</v>
      </c>
      <c r="B41" s="192"/>
      <c r="C41" s="197"/>
      <c r="D41" s="198"/>
      <c r="E41" s="198"/>
      <c r="F41" s="192"/>
      <c r="G41" s="208"/>
      <c r="H41" s="207"/>
      <c r="I41" s="207"/>
      <c r="J41" s="201">
        <f t="shared" si="0"/>
        <v>0</v>
      </c>
      <c r="K41" s="201">
        <f t="shared" si="1"/>
        <v>0</v>
      </c>
      <c r="L41" s="202">
        <f t="shared" si="10"/>
        <v>0</v>
      </c>
      <c r="M41" s="201">
        <f t="shared" si="2"/>
        <v>0</v>
      </c>
      <c r="N41" s="203">
        <f t="shared" si="11"/>
        <v>0</v>
      </c>
      <c r="O41" s="204">
        <f t="shared" si="3"/>
        <v>0</v>
      </c>
      <c r="P41" s="203">
        <f t="shared" si="4"/>
        <v>0</v>
      </c>
      <c r="Q41" s="204">
        <f t="shared" si="5"/>
        <v>0</v>
      </c>
      <c r="R41" s="205">
        <f t="shared" si="12"/>
        <v>0</v>
      </c>
      <c r="S41" s="203">
        <f t="shared" si="6"/>
        <v>0</v>
      </c>
      <c r="T41" s="204">
        <f t="shared" si="7"/>
        <v>0</v>
      </c>
      <c r="U41" s="203">
        <f t="shared" si="8"/>
        <v>0</v>
      </c>
      <c r="V41" s="206">
        <f t="shared" si="9"/>
        <v>0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</row>
    <row r="42" spans="1:81" s="195" customFormat="1">
      <c r="A42" s="196">
        <v>32</v>
      </c>
      <c r="B42" s="192"/>
      <c r="C42" s="197"/>
      <c r="D42" s="198"/>
      <c r="E42" s="198"/>
      <c r="F42" s="192"/>
      <c r="G42" s="208"/>
      <c r="H42" s="207"/>
      <c r="I42" s="207"/>
      <c r="J42" s="201">
        <f t="shared" si="0"/>
        <v>0</v>
      </c>
      <c r="K42" s="201">
        <f t="shared" si="1"/>
        <v>0</v>
      </c>
      <c r="L42" s="202">
        <f t="shared" si="10"/>
        <v>0</v>
      </c>
      <c r="M42" s="201">
        <f t="shared" si="2"/>
        <v>0</v>
      </c>
      <c r="N42" s="203">
        <f t="shared" si="11"/>
        <v>0</v>
      </c>
      <c r="O42" s="204">
        <f t="shared" si="3"/>
        <v>0</v>
      </c>
      <c r="P42" s="203">
        <f t="shared" si="4"/>
        <v>0</v>
      </c>
      <c r="Q42" s="204">
        <f t="shared" si="5"/>
        <v>0</v>
      </c>
      <c r="R42" s="205">
        <f t="shared" si="12"/>
        <v>0</v>
      </c>
      <c r="S42" s="203">
        <f t="shared" si="6"/>
        <v>0</v>
      </c>
      <c r="T42" s="204">
        <f t="shared" si="7"/>
        <v>0</v>
      </c>
      <c r="U42" s="203">
        <f t="shared" si="8"/>
        <v>0</v>
      </c>
      <c r="V42" s="206">
        <f t="shared" si="9"/>
        <v>0</v>
      </c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</row>
    <row r="43" spans="1:81" s="195" customFormat="1">
      <c r="A43" s="196">
        <v>33</v>
      </c>
      <c r="B43" s="192"/>
      <c r="C43" s="197"/>
      <c r="D43" s="198"/>
      <c r="E43" s="198"/>
      <c r="F43" s="192"/>
      <c r="G43" s="208"/>
      <c r="H43" s="207"/>
      <c r="I43" s="207"/>
      <c r="J43" s="201">
        <f t="shared" si="0"/>
        <v>0</v>
      </c>
      <c r="K43" s="201">
        <f t="shared" si="1"/>
        <v>0</v>
      </c>
      <c r="L43" s="202">
        <f t="shared" si="10"/>
        <v>0</v>
      </c>
      <c r="M43" s="201">
        <f t="shared" si="2"/>
        <v>0</v>
      </c>
      <c r="N43" s="203">
        <f t="shared" si="11"/>
        <v>0</v>
      </c>
      <c r="O43" s="204">
        <f t="shared" si="3"/>
        <v>0</v>
      </c>
      <c r="P43" s="203">
        <f t="shared" si="4"/>
        <v>0</v>
      </c>
      <c r="Q43" s="204">
        <f t="shared" si="5"/>
        <v>0</v>
      </c>
      <c r="R43" s="205">
        <f t="shared" si="12"/>
        <v>0</v>
      </c>
      <c r="S43" s="203">
        <f t="shared" si="6"/>
        <v>0</v>
      </c>
      <c r="T43" s="204">
        <f t="shared" si="7"/>
        <v>0</v>
      </c>
      <c r="U43" s="203">
        <f t="shared" si="8"/>
        <v>0</v>
      </c>
      <c r="V43" s="206">
        <f t="shared" si="9"/>
        <v>0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</row>
    <row r="44" spans="1:81" s="195" customFormat="1">
      <c r="A44" s="196">
        <v>34</v>
      </c>
      <c r="B44" s="192"/>
      <c r="C44" s="197"/>
      <c r="D44" s="198"/>
      <c r="E44" s="198"/>
      <c r="F44" s="192"/>
      <c r="G44" s="208"/>
      <c r="H44" s="207"/>
      <c r="I44" s="207"/>
      <c r="J44" s="201">
        <f t="shared" si="0"/>
        <v>0</v>
      </c>
      <c r="K44" s="201">
        <f t="shared" si="1"/>
        <v>0</v>
      </c>
      <c r="L44" s="202">
        <f t="shared" si="10"/>
        <v>0</v>
      </c>
      <c r="M44" s="201">
        <f t="shared" ref="M44:M46" si="13">IF(J44=0,0,J44-L$7+0.3*F44/1000+0.3)</f>
        <v>0</v>
      </c>
      <c r="N44" s="203">
        <f t="shared" si="11"/>
        <v>0</v>
      </c>
      <c r="O44" s="204">
        <f t="shared" ref="O44:O46" si="14">(((L44/1000)^2*PI()/4*F44/1000)-PI()/4*(F44/1000)^2*L44/1000+L44/1000)*F$4</f>
        <v>0</v>
      </c>
      <c r="P44" s="203">
        <f t="shared" ref="P44:P46" si="15">IF(L44=0,0,I$6*I$3*I$4)</f>
        <v>0</v>
      </c>
      <c r="Q44" s="204">
        <f t="shared" ref="Q44:Q46" si="16">H44+N44+O44+P44</f>
        <v>0</v>
      </c>
      <c r="R44" s="205">
        <f t="shared" si="12"/>
        <v>0</v>
      </c>
      <c r="S44" s="203">
        <f t="shared" ref="S44:S46" si="17">F$3*(J44*(0.001*L44*1.3)^2*PI()/4)</f>
        <v>0</v>
      </c>
      <c r="T44" s="204">
        <f t="shared" ref="T44:T46" si="18">IF(L44=0,0,(Q44+R44+S44)/J44)</f>
        <v>0</v>
      </c>
      <c r="U44" s="203">
        <f t="shared" ref="U44:U46" si="19">Q44+R44+S44</f>
        <v>0</v>
      </c>
      <c r="V44" s="206">
        <f t="shared" ref="V44:V46" si="20">U44*F$6</f>
        <v>0</v>
      </c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</row>
    <row r="45" spans="1:81" s="195" customFormat="1">
      <c r="A45" s="196">
        <v>35</v>
      </c>
      <c r="B45" s="192"/>
      <c r="C45" s="197"/>
      <c r="D45" s="198"/>
      <c r="E45" s="198"/>
      <c r="F45" s="192"/>
      <c r="G45" s="208"/>
      <c r="H45" s="207"/>
      <c r="I45" s="207"/>
      <c r="J45" s="201">
        <f t="shared" si="0"/>
        <v>0</v>
      </c>
      <c r="K45" s="201">
        <f t="shared" si="1"/>
        <v>0</v>
      </c>
      <c r="L45" s="202">
        <f t="shared" si="10"/>
        <v>0</v>
      </c>
      <c r="M45" s="201">
        <f t="shared" si="13"/>
        <v>0</v>
      </c>
      <c r="N45" s="203">
        <f t="shared" si="11"/>
        <v>0</v>
      </c>
      <c r="O45" s="204">
        <f t="shared" si="14"/>
        <v>0</v>
      </c>
      <c r="P45" s="203">
        <f t="shared" si="15"/>
        <v>0</v>
      </c>
      <c r="Q45" s="204">
        <f t="shared" si="16"/>
        <v>0</v>
      </c>
      <c r="R45" s="205">
        <f t="shared" si="12"/>
        <v>0</v>
      </c>
      <c r="S45" s="203">
        <f t="shared" si="17"/>
        <v>0</v>
      </c>
      <c r="T45" s="204">
        <f t="shared" si="18"/>
        <v>0</v>
      </c>
      <c r="U45" s="203">
        <f t="shared" si="19"/>
        <v>0</v>
      </c>
      <c r="V45" s="206">
        <f t="shared" si="20"/>
        <v>0</v>
      </c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</row>
    <row r="46" spans="1:81" s="195" customFormat="1" ht="17.25" thickBot="1">
      <c r="A46" s="196">
        <v>36</v>
      </c>
      <c r="B46" s="209"/>
      <c r="C46" s="210"/>
      <c r="D46" s="211"/>
      <c r="E46" s="211"/>
      <c r="F46" s="209"/>
      <c r="G46" s="465"/>
      <c r="H46" s="213"/>
      <c r="I46" s="213"/>
      <c r="J46" s="214">
        <f t="shared" si="0"/>
        <v>0</v>
      </c>
      <c r="K46" s="214">
        <f t="shared" si="1"/>
        <v>0</v>
      </c>
      <c r="L46" s="202">
        <f t="shared" si="10"/>
        <v>0</v>
      </c>
      <c r="M46" s="201">
        <f t="shared" si="13"/>
        <v>0</v>
      </c>
      <c r="N46" s="203">
        <f t="shared" si="11"/>
        <v>0</v>
      </c>
      <c r="O46" s="204">
        <f t="shared" si="14"/>
        <v>0</v>
      </c>
      <c r="P46" s="203">
        <f t="shared" si="15"/>
        <v>0</v>
      </c>
      <c r="Q46" s="204">
        <f t="shared" si="16"/>
        <v>0</v>
      </c>
      <c r="R46" s="205">
        <f t="shared" si="12"/>
        <v>0</v>
      </c>
      <c r="S46" s="203">
        <f t="shared" si="17"/>
        <v>0</v>
      </c>
      <c r="T46" s="204">
        <f t="shared" si="18"/>
        <v>0</v>
      </c>
      <c r="U46" s="203">
        <f t="shared" si="19"/>
        <v>0</v>
      </c>
      <c r="V46" s="206">
        <f t="shared" si="20"/>
        <v>0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</row>
    <row r="47" spans="1:81" ht="17.25" thickBot="1">
      <c r="A47" s="216"/>
      <c r="G47" s="146"/>
      <c r="H47" s="217"/>
      <c r="I47" s="217"/>
      <c r="J47" s="218"/>
      <c r="K47" s="201"/>
      <c r="L47" s="202"/>
      <c r="M47" s="219"/>
      <c r="N47" s="203"/>
      <c r="O47" s="204"/>
      <c r="P47" s="203"/>
      <c r="Q47" s="204"/>
      <c r="R47" s="205"/>
      <c r="S47" s="203"/>
      <c r="T47" s="204"/>
      <c r="U47" s="201"/>
      <c r="V47" s="201"/>
    </row>
    <row r="48" spans="1:81" s="227" customFormat="1" ht="17.25" thickBot="1">
      <c r="A48" s="220" t="s">
        <v>39</v>
      </c>
      <c r="B48" s="144"/>
      <c r="C48" s="144"/>
      <c r="D48" s="144"/>
      <c r="E48" s="144"/>
      <c r="F48" s="144"/>
      <c r="G48" s="153" t="s">
        <v>1</v>
      </c>
      <c r="H48" s="221">
        <f>SUM(H9:H46)</f>
        <v>0</v>
      </c>
      <c r="I48" s="221">
        <f>SUM(I9:I46)</f>
        <v>0</v>
      </c>
      <c r="J48" s="222"/>
      <c r="K48" s="223"/>
      <c r="L48" s="223"/>
      <c r="M48" s="223"/>
      <c r="N48" s="221">
        <f t="shared" ref="N48:S48" si="21">SUM(N11:N46)</f>
        <v>0</v>
      </c>
      <c r="O48" s="224">
        <f t="shared" si="21"/>
        <v>0</v>
      </c>
      <c r="P48" s="221">
        <f t="shared" si="21"/>
        <v>0</v>
      </c>
      <c r="Q48" s="224">
        <f t="shared" si="21"/>
        <v>0</v>
      </c>
      <c r="R48" s="225">
        <f t="shared" si="21"/>
        <v>0</v>
      </c>
      <c r="S48" s="221">
        <f t="shared" si="21"/>
        <v>0</v>
      </c>
      <c r="T48" s="224"/>
      <c r="U48" s="221">
        <f>SUM(U11:U46)</f>
        <v>0</v>
      </c>
      <c r="V48" s="226">
        <f>SUM(V11:V46)</f>
        <v>0</v>
      </c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4"/>
      <c r="BJ48" s="144"/>
      <c r="BK48" s="144"/>
      <c r="BL48" s="144"/>
      <c r="BM48" s="144"/>
      <c r="BN48" s="144"/>
      <c r="BO48" s="144"/>
      <c r="BP48" s="144"/>
      <c r="BQ48" s="144"/>
      <c r="BR48" s="144"/>
      <c r="BS48" s="144"/>
      <c r="BT48" s="144"/>
      <c r="BU48" s="144"/>
      <c r="BV48" s="144"/>
      <c r="BW48" s="144"/>
      <c r="BX48" s="144"/>
      <c r="BY48" s="144"/>
      <c r="BZ48" s="144"/>
      <c r="CA48" s="144"/>
      <c r="CB48" s="144"/>
      <c r="CC48" s="144"/>
    </row>
    <row r="49" spans="1:81">
      <c r="A49" s="184"/>
      <c r="H49" s="192"/>
      <c r="I49" s="192"/>
      <c r="J49" s="192"/>
      <c r="K49" s="192"/>
      <c r="L49" s="192"/>
      <c r="M49" s="192"/>
      <c r="N49" s="192"/>
    </row>
    <row r="50" spans="1:81">
      <c r="A50" s="184"/>
      <c r="H50" s="192"/>
      <c r="I50" s="192"/>
      <c r="J50" s="192"/>
      <c r="K50" s="192"/>
      <c r="L50" s="192"/>
      <c r="M50" s="192"/>
      <c r="N50" s="192"/>
    </row>
    <row r="51" spans="1:81" ht="17.25" thickBot="1">
      <c r="A51" s="184"/>
      <c r="B51" s="144" t="s">
        <v>40</v>
      </c>
      <c r="H51" s="192"/>
      <c r="I51" s="192"/>
      <c r="J51" s="192"/>
      <c r="K51" s="192"/>
      <c r="L51" s="192"/>
      <c r="M51" s="192"/>
      <c r="N51" s="192"/>
    </row>
    <row r="52" spans="1:81" s="234" customFormat="1" ht="17.25" thickBot="1">
      <c r="A52" s="228"/>
      <c r="B52" s="229" t="s">
        <v>41</v>
      </c>
      <c r="C52" s="185" t="s">
        <v>42</v>
      </c>
      <c r="D52" s="230" t="s">
        <v>43</v>
      </c>
      <c r="E52" s="230" t="s">
        <v>44</v>
      </c>
      <c r="F52" s="230" t="s">
        <v>45</v>
      </c>
      <c r="G52" s="230" t="s">
        <v>46</v>
      </c>
      <c r="H52" s="185" t="s">
        <v>47</v>
      </c>
      <c r="I52" s="185" t="s">
        <v>48</v>
      </c>
      <c r="J52" s="186" t="s">
        <v>49</v>
      </c>
      <c r="K52" s="186" t="s">
        <v>50</v>
      </c>
      <c r="L52" s="187" t="s">
        <v>51</v>
      </c>
      <c r="M52" s="186" t="s">
        <v>52</v>
      </c>
      <c r="N52" s="186" t="s">
        <v>53</v>
      </c>
      <c r="O52" s="186" t="s">
        <v>54</v>
      </c>
      <c r="P52" s="231" t="s">
        <v>37</v>
      </c>
      <c r="Q52" s="186" t="s">
        <v>55</v>
      </c>
      <c r="R52" s="141"/>
      <c r="S52" s="232" t="s">
        <v>56</v>
      </c>
      <c r="T52" s="232" t="s">
        <v>57</v>
      </c>
      <c r="U52" s="232" t="s">
        <v>58</v>
      </c>
      <c r="V52" s="233" t="s">
        <v>59</v>
      </c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1"/>
    </row>
    <row r="53" spans="1:81" ht="17.25" thickBot="1">
      <c r="A53" s="235">
        <v>1</v>
      </c>
      <c r="B53" s="236" t="s">
        <v>60</v>
      </c>
      <c r="C53" s="237"/>
      <c r="D53" s="238">
        <v>4</v>
      </c>
      <c r="E53" s="239">
        <v>2.2000000000000002</v>
      </c>
      <c r="F53" s="240">
        <v>0</v>
      </c>
      <c r="G53" s="240">
        <v>0</v>
      </c>
      <c r="H53" s="240">
        <v>0</v>
      </c>
      <c r="I53" s="217">
        <f>(IF(D53=4,F$115,F$116)*L6*(E53-L7)+F53*I3*I$4+(L$7-0.15)*I$5)*C53</f>
        <v>0</v>
      </c>
      <c r="J53" s="217">
        <f>C53*0.5*F$4</f>
        <v>0</v>
      </c>
      <c r="K53" s="241">
        <f>C53*I$7*I$3*I$4</f>
        <v>0</v>
      </c>
      <c r="L53" s="217">
        <f>G53*C53+I53+J53+K53</f>
        <v>0</v>
      </c>
      <c r="M53" s="217">
        <f>C53*(C$59+H53)</f>
        <v>0</v>
      </c>
      <c r="N53" s="217">
        <f>C53*E53*1*F$3</f>
        <v>0</v>
      </c>
      <c r="O53" s="217">
        <f>IF(C53=0,0,(L53+M53+N53)/C53)</f>
        <v>0</v>
      </c>
      <c r="P53" s="201">
        <f>L53+M53+N53</f>
        <v>0</v>
      </c>
      <c r="Q53" s="201">
        <f>O53*F$6</f>
        <v>0</v>
      </c>
      <c r="S53" s="242"/>
      <c r="T53" s="243"/>
      <c r="U53" s="242"/>
      <c r="V53" s="244"/>
    </row>
    <row r="54" spans="1:81" s="195" customFormat="1">
      <c r="A54" s="235">
        <v>2</v>
      </c>
      <c r="B54" s="245" t="s">
        <v>62</v>
      </c>
      <c r="C54" s="246"/>
      <c r="D54" s="247">
        <v>4</v>
      </c>
      <c r="E54" s="199">
        <v>2.2000000000000002</v>
      </c>
      <c r="F54" s="203">
        <v>0</v>
      </c>
      <c r="G54" s="248">
        <v>0</v>
      </c>
      <c r="H54" s="248">
        <v>0</v>
      </c>
      <c r="I54" s="203">
        <f>(F119*L6*(E54-L7)+F54*I3*I4+(L7-0.15)*I5*2)*C54</f>
        <v>0</v>
      </c>
      <c r="J54" s="203">
        <f>C54*1*F$4</f>
        <v>0</v>
      </c>
      <c r="K54" s="241">
        <f>C54*I$7*2*I$3*I$4</f>
        <v>0</v>
      </c>
      <c r="L54" s="203">
        <f>G54*C54+I54+J54+K54</f>
        <v>0</v>
      </c>
      <c r="M54" s="203">
        <f>C54*(C$60+H54)</f>
        <v>0</v>
      </c>
      <c r="N54" s="203">
        <f>C54*E54*1.8*F$3</f>
        <v>0</v>
      </c>
      <c r="O54" s="203">
        <f>IF(C54=0,0,(L54+M54+N54)/C54)</f>
        <v>0</v>
      </c>
      <c r="P54" s="201">
        <f>L54+M54+N54</f>
        <v>0</v>
      </c>
      <c r="Q54" s="201">
        <f>O54*F$6</f>
        <v>0</v>
      </c>
      <c r="R54" s="142"/>
      <c r="S54" s="249" t="s">
        <v>61</v>
      </c>
      <c r="T54" s="250">
        <f>Q48+L57</f>
        <v>0</v>
      </c>
      <c r="U54" s="251">
        <f>(F6-1)*T54</f>
        <v>0</v>
      </c>
      <c r="V54" s="252">
        <f>T54+U54</f>
        <v>0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</row>
    <row r="55" spans="1:81" s="195" customFormat="1">
      <c r="A55" s="235">
        <v>3</v>
      </c>
      <c r="B55" s="245" t="s">
        <v>64</v>
      </c>
      <c r="C55" s="246"/>
      <c r="D55" s="247">
        <v>4</v>
      </c>
      <c r="E55" s="199">
        <v>2.2000000000000002</v>
      </c>
      <c r="F55" s="203">
        <v>0</v>
      </c>
      <c r="G55" s="248">
        <v>0</v>
      </c>
      <c r="H55" s="248">
        <v>0</v>
      </c>
      <c r="I55" s="203">
        <f>(F117*L$6*(E55-L$7)+F55*I$3*I$4+(L7-0.15)*I$5)*C55</f>
        <v>0</v>
      </c>
      <c r="J55" s="203">
        <f>C55*0.5*F$4</f>
        <v>0</v>
      </c>
      <c r="K55" s="241">
        <f>C55*(F59*L6)</f>
        <v>0</v>
      </c>
      <c r="L55" s="203">
        <f>G55*C55+I55+J55+K55</f>
        <v>0</v>
      </c>
      <c r="M55" s="203">
        <f>C55*(C$61+H55)</f>
        <v>0</v>
      </c>
      <c r="N55" s="203">
        <f>C55*E55*1*F$3</f>
        <v>0</v>
      </c>
      <c r="O55" s="203">
        <f>IF(C55=0,0,(L55+M55+N55)/C55)</f>
        <v>0</v>
      </c>
      <c r="P55" s="201">
        <f>L55+M55+N55</f>
        <v>0</v>
      </c>
      <c r="Q55" s="201">
        <f>O55*F$6</f>
        <v>0</v>
      </c>
      <c r="R55" s="142"/>
      <c r="S55" s="253" t="s">
        <v>63</v>
      </c>
      <c r="T55" s="254">
        <f>R48+M57</f>
        <v>0</v>
      </c>
      <c r="U55" s="255">
        <f>(F6-1)*T55</f>
        <v>0</v>
      </c>
      <c r="V55" s="252">
        <f>T55+U55</f>
        <v>0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</row>
    <row r="56" spans="1:81" s="195" customFormat="1" ht="17.25" thickBot="1">
      <c r="A56" s="256">
        <v>4</v>
      </c>
      <c r="B56" s="257" t="s">
        <v>365</v>
      </c>
      <c r="C56" s="258"/>
      <c r="D56" s="259">
        <v>4</v>
      </c>
      <c r="E56" s="260">
        <v>2.2000000000000002</v>
      </c>
      <c r="F56" s="261">
        <v>0</v>
      </c>
      <c r="G56" s="248">
        <v>0</v>
      </c>
      <c r="H56" s="248">
        <v>0</v>
      </c>
      <c r="I56" s="203">
        <f>(F118*L$6*(E56-L$7)+F56*I$3*I$4+(L7-0.15)*I$5)*C56</f>
        <v>0</v>
      </c>
      <c r="J56" s="203">
        <f>C56*1*F$4</f>
        <v>0</v>
      </c>
      <c r="K56" s="241">
        <f>C56*(F60*L6)</f>
        <v>0</v>
      </c>
      <c r="L56" s="203">
        <f>G56*C56+I56+J56+K56</f>
        <v>0</v>
      </c>
      <c r="M56" s="203">
        <f>C56*(C$62+H56)</f>
        <v>0</v>
      </c>
      <c r="N56" s="203">
        <f>C56*E56*1.8*F$3</f>
        <v>0</v>
      </c>
      <c r="O56" s="203">
        <f>IF(C56=0,0,(L56+M56+N56)/C56)</f>
        <v>0</v>
      </c>
      <c r="P56" s="201">
        <f>L56+M56+N56</f>
        <v>0</v>
      </c>
      <c r="Q56" s="201">
        <f>O56*F$6</f>
        <v>0</v>
      </c>
      <c r="R56" s="142"/>
      <c r="S56" s="253" t="s">
        <v>65</v>
      </c>
      <c r="T56" s="254">
        <f>S48+N57</f>
        <v>0</v>
      </c>
      <c r="U56" s="255">
        <f>(F6-1)*T56</f>
        <v>0</v>
      </c>
      <c r="V56" s="252">
        <f>T56+U56</f>
        <v>0</v>
      </c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</row>
    <row r="57" spans="1:81" s="272" customFormat="1" ht="17.25" thickBot="1">
      <c r="A57" s="262" t="s">
        <v>66</v>
      </c>
      <c r="B57" s="263"/>
      <c r="C57" s="264">
        <f>SUM(C53:C56)</f>
        <v>0</v>
      </c>
      <c r="D57" s="263"/>
      <c r="E57" s="263"/>
      <c r="F57" s="265" t="s">
        <v>1</v>
      </c>
      <c r="G57" s="266">
        <f t="shared" ref="G57:N57" si="22">SUM(G53:G56)</f>
        <v>0</v>
      </c>
      <c r="H57" s="266">
        <f t="shared" si="22"/>
        <v>0</v>
      </c>
      <c r="I57" s="266">
        <f t="shared" si="22"/>
        <v>0</v>
      </c>
      <c r="J57" s="266">
        <f t="shared" si="22"/>
        <v>0</v>
      </c>
      <c r="K57" s="266">
        <f t="shared" si="22"/>
        <v>0</v>
      </c>
      <c r="L57" s="266">
        <f t="shared" si="22"/>
        <v>0</v>
      </c>
      <c r="M57" s="266">
        <f t="shared" si="22"/>
        <v>0</v>
      </c>
      <c r="N57" s="266">
        <f t="shared" si="22"/>
        <v>0</v>
      </c>
      <c r="O57" s="266"/>
      <c r="P57" s="267">
        <f>SUM(P53:P56)</f>
        <v>0</v>
      </c>
      <c r="Q57" s="268">
        <f>SUM(Q53:Q56)</f>
        <v>0</v>
      </c>
      <c r="R57" s="168"/>
      <c r="S57" s="269" t="s">
        <v>67</v>
      </c>
      <c r="T57" s="270">
        <f>SUM(T54:T56)</f>
        <v>0</v>
      </c>
      <c r="U57" s="271">
        <f>(F6-1)*T57</f>
        <v>0</v>
      </c>
      <c r="V57" s="270">
        <f>T57+U57</f>
        <v>0</v>
      </c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  <c r="AZ57" s="168"/>
      <c r="BA57" s="168"/>
      <c r="BB57" s="168"/>
      <c r="BC57" s="168"/>
      <c r="BD57" s="168"/>
      <c r="BE57" s="168"/>
      <c r="BF57" s="168"/>
      <c r="BG57" s="168"/>
      <c r="BH57" s="168"/>
      <c r="BI57" s="168"/>
      <c r="BJ57" s="168"/>
      <c r="BK57" s="168"/>
      <c r="BL57" s="168"/>
      <c r="BM57" s="168"/>
      <c r="BN57" s="168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</row>
    <row r="58" spans="1:81" ht="17.25" thickBot="1">
      <c r="A58" s="184"/>
    </row>
    <row r="59" spans="1:81">
      <c r="B59" s="273" t="s">
        <v>68</v>
      </c>
      <c r="C59" s="274">
        <v>200</v>
      </c>
      <c r="E59" s="147" t="s">
        <v>366</v>
      </c>
      <c r="F59" s="275">
        <v>465</v>
      </c>
      <c r="G59" s="276" t="s">
        <v>1</v>
      </c>
      <c r="Q59" s="277"/>
    </row>
    <row r="60" spans="1:81" ht="17.25" thickBot="1">
      <c r="B60" s="154" t="s">
        <v>69</v>
      </c>
      <c r="C60" s="278">
        <v>250</v>
      </c>
      <c r="E60" s="178" t="s">
        <v>367</v>
      </c>
      <c r="F60" s="279">
        <v>715</v>
      </c>
      <c r="G60" s="146" t="s">
        <v>1</v>
      </c>
      <c r="Q60" s="280"/>
    </row>
    <row r="61" spans="1:81">
      <c r="B61" s="154" t="s">
        <v>70</v>
      </c>
      <c r="C61" s="278">
        <v>220</v>
      </c>
      <c r="G61" s="146" t="s">
        <v>1</v>
      </c>
      <c r="Q61" s="280"/>
    </row>
    <row r="62" spans="1:81" ht="17.25" thickBot="1">
      <c r="A62" s="281"/>
      <c r="B62" s="175" t="s">
        <v>368</v>
      </c>
      <c r="C62" s="282">
        <v>280</v>
      </c>
      <c r="D62" s="281"/>
      <c r="E62" s="281"/>
      <c r="F62" s="281"/>
      <c r="G62" s="283" t="s">
        <v>1</v>
      </c>
      <c r="H62" s="281"/>
      <c r="I62" s="281"/>
      <c r="J62" s="281"/>
      <c r="K62" s="281"/>
      <c r="L62" s="281"/>
      <c r="M62" s="281"/>
      <c r="N62" s="281"/>
      <c r="O62" s="281"/>
      <c r="P62" s="281"/>
      <c r="Q62" s="284"/>
      <c r="R62" s="281"/>
      <c r="S62" s="281"/>
      <c r="T62" s="281"/>
      <c r="U62" s="281"/>
      <c r="V62" s="281"/>
    </row>
    <row r="63" spans="1:81">
      <c r="B63" s="285"/>
      <c r="C63" s="285"/>
      <c r="D63" s="285"/>
      <c r="E63" s="286"/>
      <c r="F63" s="285"/>
      <c r="I63" s="285"/>
      <c r="J63" s="287"/>
      <c r="K63" s="287"/>
      <c r="Q63" s="277"/>
    </row>
    <row r="64" spans="1:81" ht="17.25" thickBot="1">
      <c r="A64" s="216" t="s">
        <v>71</v>
      </c>
    </row>
    <row r="65" spans="1:12">
      <c r="A65" s="288" t="s">
        <v>72</v>
      </c>
      <c r="B65" s="289">
        <v>50</v>
      </c>
      <c r="C65" s="289">
        <v>601</v>
      </c>
      <c r="D65" s="289">
        <v>826</v>
      </c>
      <c r="E65" s="289">
        <v>1051</v>
      </c>
      <c r="F65" s="289">
        <v>1501</v>
      </c>
      <c r="G65" s="290" t="s">
        <v>73</v>
      </c>
      <c r="H65" s="289">
        <v>50</v>
      </c>
      <c r="I65" s="289">
        <v>451</v>
      </c>
      <c r="J65" s="289">
        <v>601</v>
      </c>
      <c r="K65" s="289">
        <v>826</v>
      </c>
      <c r="L65" s="291">
        <v>1051</v>
      </c>
    </row>
    <row r="66" spans="1:12" ht="17.25" thickBot="1">
      <c r="A66" s="292" t="s">
        <v>74</v>
      </c>
      <c r="B66" s="293">
        <v>1200</v>
      </c>
      <c r="C66" s="293">
        <v>1500</v>
      </c>
      <c r="D66" s="293">
        <v>1800</v>
      </c>
      <c r="E66" s="293">
        <v>2400</v>
      </c>
      <c r="F66" s="293" t="e">
        <f>NA()</f>
        <v>#N/A</v>
      </c>
      <c r="G66" s="294" t="s">
        <v>75</v>
      </c>
      <c r="H66" s="293">
        <v>1200</v>
      </c>
      <c r="I66" s="293">
        <v>1500</v>
      </c>
      <c r="J66" s="293">
        <v>1800</v>
      </c>
      <c r="K66" s="293">
        <v>2400</v>
      </c>
      <c r="L66" s="295" t="e">
        <f>NA()</f>
        <v>#N/A</v>
      </c>
    </row>
    <row r="67" spans="1:12">
      <c r="A67" s="216"/>
      <c r="G67" s="216"/>
    </row>
    <row r="68" spans="1:12" ht="17.25" thickBot="1">
      <c r="A68" s="216"/>
      <c r="G68" s="216"/>
    </row>
    <row r="69" spans="1:12">
      <c r="A69" s="142" t="s">
        <v>76</v>
      </c>
      <c r="C69" s="296" t="s">
        <v>381</v>
      </c>
      <c r="D69" s="297"/>
      <c r="E69" s="297"/>
      <c r="F69" s="298"/>
      <c r="G69" s="299" t="s">
        <v>77</v>
      </c>
    </row>
    <row r="70" spans="1:12">
      <c r="C70" s="300">
        <v>1200</v>
      </c>
      <c r="D70" s="301" t="e">
        <v>#N/A</v>
      </c>
      <c r="E70" s="302">
        <v>1800</v>
      </c>
      <c r="F70" s="303" t="e">
        <v>#N/A</v>
      </c>
      <c r="G70" s="299" t="s">
        <v>78</v>
      </c>
    </row>
    <row r="71" spans="1:12">
      <c r="C71" s="300">
        <v>1201</v>
      </c>
      <c r="D71" s="302">
        <v>2254.681</v>
      </c>
      <c r="E71" s="302">
        <v>1801.67</v>
      </c>
      <c r="F71" s="304">
        <v>6780.1253412967044</v>
      </c>
      <c r="G71" s="299" t="s">
        <v>79</v>
      </c>
    </row>
    <row r="72" spans="1:12">
      <c r="C72" s="300">
        <v>1201.33</v>
      </c>
      <c r="D72" s="302">
        <v>2603.3108470000002</v>
      </c>
      <c r="E72" s="302">
        <v>1802</v>
      </c>
      <c r="F72" s="304">
        <v>7531.5511602967044</v>
      </c>
    </row>
    <row r="73" spans="1:12">
      <c r="C73" s="300">
        <v>1201.67</v>
      </c>
      <c r="D73" s="302">
        <v>2952.9406940000003</v>
      </c>
      <c r="E73" s="302">
        <v>1802.33</v>
      </c>
      <c r="F73" s="304">
        <v>8282.9769792967054</v>
      </c>
    </row>
    <row r="74" spans="1:12">
      <c r="C74" s="300">
        <v>1202</v>
      </c>
      <c r="D74" s="302">
        <v>3301.5705410000005</v>
      </c>
      <c r="E74" s="302">
        <v>1802.67</v>
      </c>
      <c r="F74" s="304">
        <v>9035.5016993956069</v>
      </c>
    </row>
    <row r="75" spans="1:12">
      <c r="C75" s="300">
        <v>1202.33</v>
      </c>
      <c r="D75" s="302">
        <v>3205.1118880000004</v>
      </c>
      <c r="E75" s="302">
        <v>1803</v>
      </c>
      <c r="F75" s="304">
        <v>9786.927518395607</v>
      </c>
    </row>
    <row r="76" spans="1:12">
      <c r="C76" s="300">
        <v>1202.67</v>
      </c>
      <c r="D76" s="302">
        <v>3554.7417350000005</v>
      </c>
      <c r="E76" s="302">
        <v>1803.33</v>
      </c>
      <c r="F76" s="304">
        <v>10538.353337395607</v>
      </c>
    </row>
    <row r="77" spans="1:12">
      <c r="C77" s="300">
        <v>1203</v>
      </c>
      <c r="D77" s="302">
        <v>3903.3715820000007</v>
      </c>
      <c r="E77" s="302">
        <v>1803.67</v>
      </c>
      <c r="F77" s="304">
        <v>11290.878057494509</v>
      </c>
    </row>
    <row r="78" spans="1:12">
      <c r="C78" s="300">
        <v>1203.33</v>
      </c>
      <c r="D78" s="302">
        <v>4252.0014290000008</v>
      </c>
      <c r="E78" s="302">
        <v>1804</v>
      </c>
      <c r="F78" s="304">
        <v>10679.563623000002</v>
      </c>
    </row>
    <row r="79" spans="1:12">
      <c r="C79" s="300">
        <v>1203.67</v>
      </c>
      <c r="D79" s="302">
        <v>4600.6312760000019</v>
      </c>
      <c r="E79" s="302">
        <v>1804.33</v>
      </c>
      <c r="F79" s="304">
        <v>11028.193470000002</v>
      </c>
    </row>
    <row r="80" spans="1:12">
      <c r="C80" s="300">
        <v>1204</v>
      </c>
      <c r="D80" s="302">
        <v>4950.261123000002</v>
      </c>
      <c r="E80" s="302">
        <v>1804.67</v>
      </c>
      <c r="F80" s="304">
        <v>11376.823317000002</v>
      </c>
    </row>
    <row r="81" spans="3:6">
      <c r="C81" s="300">
        <v>1204.33</v>
      </c>
      <c r="D81" s="302">
        <v>5298.8909700000022</v>
      </c>
      <c r="E81" s="302">
        <v>1805</v>
      </c>
      <c r="F81" s="304">
        <v>11725.453164000002</v>
      </c>
    </row>
    <row r="82" spans="3:6">
      <c r="C82" s="300">
        <v>1204.67</v>
      </c>
      <c r="D82" s="302">
        <v>5647.5208170000024</v>
      </c>
      <c r="E82" s="302">
        <v>1805.33</v>
      </c>
      <c r="F82" s="304">
        <v>12075.083011000002</v>
      </c>
    </row>
    <row r="83" spans="3:6">
      <c r="C83" s="300">
        <v>1205</v>
      </c>
      <c r="D83" s="302">
        <v>5996.1506640000025</v>
      </c>
      <c r="E83" s="302">
        <v>1805.67</v>
      </c>
      <c r="F83" s="304">
        <v>12423.712858000003</v>
      </c>
    </row>
    <row r="84" spans="3:6">
      <c r="C84" s="300">
        <v>1205.33</v>
      </c>
      <c r="D84" s="302">
        <v>6345.7805110000027</v>
      </c>
      <c r="E84" s="302">
        <v>1806</v>
      </c>
      <c r="F84" s="304">
        <v>14732.142705000002</v>
      </c>
    </row>
    <row r="85" spans="3:6">
      <c r="C85" s="300">
        <v>1205.67</v>
      </c>
      <c r="D85" s="302">
        <v>6694.4103580000028</v>
      </c>
      <c r="E85" s="302">
        <v>1806.33</v>
      </c>
      <c r="F85" s="304">
        <v>15080.772552000002</v>
      </c>
    </row>
    <row r="86" spans="3:6">
      <c r="C86" s="300">
        <v>1206</v>
      </c>
      <c r="D86" s="302">
        <v>9002.8402050000022</v>
      </c>
      <c r="E86" s="302">
        <v>1806.67</v>
      </c>
      <c r="F86" s="304">
        <v>15430.402399000002</v>
      </c>
    </row>
    <row r="87" spans="3:6">
      <c r="C87" s="300">
        <v>1206.33</v>
      </c>
      <c r="D87" s="302">
        <v>9352.4700520000024</v>
      </c>
      <c r="E87" s="302">
        <v>1807</v>
      </c>
      <c r="F87" s="304">
        <v>15779.032246000002</v>
      </c>
    </row>
    <row r="88" spans="3:6">
      <c r="C88" s="300">
        <v>1206.67</v>
      </c>
      <c r="D88" s="302">
        <v>9701.0998990000026</v>
      </c>
      <c r="E88" s="302">
        <v>1807.33</v>
      </c>
      <c r="F88" s="304">
        <v>16127.662093000003</v>
      </c>
    </row>
    <row r="89" spans="3:6">
      <c r="C89" s="300">
        <v>1207</v>
      </c>
      <c r="D89" s="302">
        <v>10049.729746000003</v>
      </c>
      <c r="E89" s="302">
        <v>1807.67</v>
      </c>
      <c r="F89" s="304">
        <v>16477.291940000003</v>
      </c>
    </row>
    <row r="90" spans="3:6">
      <c r="C90" s="300">
        <v>1207.33</v>
      </c>
      <c r="D90" s="302">
        <v>10398.359593000003</v>
      </c>
      <c r="E90" s="302">
        <v>1808</v>
      </c>
      <c r="F90" s="304">
        <v>16825.921787000003</v>
      </c>
    </row>
    <row r="91" spans="3:6">
      <c r="C91" s="300">
        <v>1207.67</v>
      </c>
      <c r="D91" s="302">
        <v>10747.989440000003</v>
      </c>
      <c r="E91" s="302">
        <v>1808.33</v>
      </c>
      <c r="F91" s="304">
        <v>17174.551634000003</v>
      </c>
    </row>
    <row r="92" spans="3:6">
      <c r="C92" s="300">
        <v>1208</v>
      </c>
      <c r="D92" s="302">
        <v>11096.619287000003</v>
      </c>
      <c r="E92" s="302">
        <v>1808.67</v>
      </c>
      <c r="F92" s="304">
        <v>17523.181481000003</v>
      </c>
    </row>
    <row r="93" spans="3:6">
      <c r="C93" s="300">
        <v>1208.33</v>
      </c>
      <c r="D93" s="302">
        <v>11445.249134000003</v>
      </c>
      <c r="E93" s="302">
        <v>2400</v>
      </c>
      <c r="F93" s="305" t="e">
        <v>#N/A</v>
      </c>
    </row>
    <row r="94" spans="3:6">
      <c r="C94" s="300">
        <v>1208.67</v>
      </c>
      <c r="D94" s="302">
        <v>11793.878981000003</v>
      </c>
      <c r="E94" s="302">
        <v>2402</v>
      </c>
      <c r="F94" s="304">
        <v>14297.891812000002</v>
      </c>
    </row>
    <row r="95" spans="3:6">
      <c r="C95" s="300">
        <v>1500</v>
      </c>
      <c r="D95" s="306" t="e">
        <v>#N/A</v>
      </c>
      <c r="E95" s="302">
        <v>2402.33</v>
      </c>
      <c r="F95" s="304">
        <v>15637.478416000002</v>
      </c>
    </row>
    <row r="96" spans="3:6">
      <c r="C96" s="300">
        <v>1501.33</v>
      </c>
      <c r="D96" s="302">
        <v>4407.6950489999999</v>
      </c>
      <c r="E96" s="302">
        <v>2402.67</v>
      </c>
      <c r="F96" s="304">
        <v>16978.065020000002</v>
      </c>
    </row>
    <row r="97" spans="3:6">
      <c r="C97" s="300">
        <v>1501.67</v>
      </c>
      <c r="D97" s="302">
        <v>4936.123098</v>
      </c>
      <c r="E97" s="302">
        <v>2403</v>
      </c>
      <c r="F97" s="304">
        <v>18317.651624000006</v>
      </c>
    </row>
    <row r="98" spans="3:6">
      <c r="C98" s="300">
        <v>1502</v>
      </c>
      <c r="D98" s="302">
        <v>5465.5511470000001</v>
      </c>
      <c r="E98" s="302">
        <v>2403.33</v>
      </c>
      <c r="F98" s="304">
        <v>19657.238228000002</v>
      </c>
    </row>
    <row r="99" spans="3:6">
      <c r="C99" s="300">
        <v>1502.33</v>
      </c>
      <c r="D99" s="302">
        <v>5993.9791960000011</v>
      </c>
      <c r="E99" s="302">
        <v>2403.67</v>
      </c>
      <c r="F99" s="304">
        <v>20997.824832000006</v>
      </c>
    </row>
    <row r="100" spans="3:6">
      <c r="C100" s="300">
        <v>1502.67</v>
      </c>
      <c r="D100" s="302">
        <v>6522.4072450000012</v>
      </c>
      <c r="E100" s="302">
        <v>2404</v>
      </c>
      <c r="F100" s="304">
        <v>19674.547622999999</v>
      </c>
    </row>
    <row r="101" spans="3:6">
      <c r="C101" s="300">
        <v>1503</v>
      </c>
      <c r="D101" s="302">
        <v>7050.8352940000013</v>
      </c>
      <c r="E101" s="302">
        <v>2404.33</v>
      </c>
      <c r="F101" s="304">
        <v>20023.177469999999</v>
      </c>
    </row>
    <row r="102" spans="3:6">
      <c r="C102" s="300">
        <v>1503.33</v>
      </c>
      <c r="D102" s="302">
        <v>7580.2633430000014</v>
      </c>
      <c r="E102" s="302">
        <v>2404.67</v>
      </c>
      <c r="F102" s="304">
        <v>20371.807316999999</v>
      </c>
    </row>
    <row r="103" spans="3:6">
      <c r="C103" s="300">
        <v>1503.67</v>
      </c>
      <c r="D103" s="302">
        <v>8108.6913920000015</v>
      </c>
      <c r="E103" s="302">
        <v>2405</v>
      </c>
      <c r="F103" s="304">
        <v>20720.437163999999</v>
      </c>
    </row>
    <row r="104" spans="3:6">
      <c r="C104" s="300">
        <v>1504</v>
      </c>
      <c r="D104" s="302">
        <v>7955.9736230000017</v>
      </c>
      <c r="E104" s="302">
        <v>2405.33</v>
      </c>
      <c r="F104" s="304">
        <v>21069.067010999999</v>
      </c>
    </row>
    <row r="105" spans="3:6">
      <c r="C105" s="300">
        <v>1504.33</v>
      </c>
      <c r="D105" s="302">
        <v>8304.6034700000018</v>
      </c>
      <c r="E105" s="302">
        <v>2405.67</v>
      </c>
      <c r="F105" s="304">
        <v>21418.696857999999</v>
      </c>
    </row>
    <row r="106" spans="3:6">
      <c r="C106" s="300">
        <v>1504.67</v>
      </c>
      <c r="D106" s="302">
        <v>8653.233317000002</v>
      </c>
      <c r="E106" s="302">
        <v>2406</v>
      </c>
      <c r="F106" s="304">
        <v>23727.126704999999</v>
      </c>
    </row>
    <row r="107" spans="3:6">
      <c r="C107" s="300">
        <v>1505</v>
      </c>
      <c r="D107" s="302">
        <v>9002.8631640000021</v>
      </c>
      <c r="E107" s="302">
        <v>2406.33</v>
      </c>
      <c r="F107" s="304">
        <v>24075.756551999999</v>
      </c>
    </row>
    <row r="108" spans="3:6">
      <c r="C108" s="300">
        <v>1505.33</v>
      </c>
      <c r="D108" s="302">
        <v>9351.4930110000023</v>
      </c>
      <c r="E108" s="302">
        <v>2406.67</v>
      </c>
      <c r="F108" s="304">
        <v>24424.386398999999</v>
      </c>
    </row>
    <row r="109" spans="3:6">
      <c r="C109" s="300">
        <v>1505.67</v>
      </c>
      <c r="D109" s="302">
        <v>9700.1228580000025</v>
      </c>
      <c r="E109" s="302">
        <v>2407</v>
      </c>
      <c r="F109" s="304">
        <v>24774.016245999999</v>
      </c>
    </row>
    <row r="110" spans="3:6">
      <c r="C110" s="300">
        <v>1506</v>
      </c>
      <c r="D110" s="302">
        <v>12008.552705000002</v>
      </c>
      <c r="E110" s="302">
        <v>2407.33</v>
      </c>
      <c r="F110" s="304">
        <v>25122.646092999999</v>
      </c>
    </row>
    <row r="111" spans="3:6">
      <c r="C111" s="300">
        <v>1506.33</v>
      </c>
      <c r="D111" s="302">
        <v>12358.182552000002</v>
      </c>
      <c r="E111" s="302">
        <v>2407.67</v>
      </c>
      <c r="F111" s="304">
        <v>25471.27594</v>
      </c>
    </row>
    <row r="112" spans="3:6">
      <c r="C112" s="300">
        <v>1506.67</v>
      </c>
      <c r="D112" s="302">
        <v>12706.812399000002</v>
      </c>
      <c r="E112" s="302">
        <v>2408</v>
      </c>
      <c r="F112" s="304">
        <v>25820.905787</v>
      </c>
    </row>
    <row r="113" spans="3:6">
      <c r="C113" s="300">
        <v>1507</v>
      </c>
      <c r="D113" s="302">
        <v>13055.442246000002</v>
      </c>
      <c r="E113" s="302">
        <v>2408.33</v>
      </c>
      <c r="F113" s="304">
        <v>26169.535634</v>
      </c>
    </row>
    <row r="114" spans="3:6">
      <c r="C114" s="300">
        <v>1507.33</v>
      </c>
      <c r="D114" s="302">
        <v>13405.072093000002</v>
      </c>
      <c r="E114" s="302">
        <v>2408.67</v>
      </c>
      <c r="F114" s="304">
        <v>26518.165481</v>
      </c>
    </row>
    <row r="115" spans="3:6">
      <c r="C115" s="300">
        <v>1507.67</v>
      </c>
      <c r="D115" s="302">
        <v>13753.701940000003</v>
      </c>
      <c r="E115" s="307" t="s">
        <v>80</v>
      </c>
      <c r="F115" s="308">
        <v>685</v>
      </c>
    </row>
    <row r="116" spans="3:6">
      <c r="C116" s="300">
        <v>1508</v>
      </c>
      <c r="D116" s="302">
        <v>14102.331787000003</v>
      </c>
      <c r="E116" s="309" t="s">
        <v>81</v>
      </c>
      <c r="F116" s="310">
        <v>925.9</v>
      </c>
    </row>
    <row r="117" spans="3:6">
      <c r="C117" s="300">
        <v>1508.33</v>
      </c>
      <c r="D117" s="302">
        <v>14450.961634000003</v>
      </c>
      <c r="E117" s="309" t="s">
        <v>82</v>
      </c>
      <c r="F117" s="310">
        <v>1023.3</v>
      </c>
    </row>
    <row r="118" spans="3:6">
      <c r="C118" s="300">
        <v>1508.67</v>
      </c>
      <c r="D118" s="302">
        <v>14800.591481000003</v>
      </c>
      <c r="E118" s="309" t="s">
        <v>83</v>
      </c>
      <c r="F118" s="310">
        <v>1588.5</v>
      </c>
    </row>
    <row r="119" spans="3:6" ht="17.25" thickBot="1">
      <c r="C119" s="311"/>
      <c r="D119" s="312"/>
      <c r="E119" s="313" t="s">
        <v>84</v>
      </c>
      <c r="F119" s="314">
        <v>1329.3</v>
      </c>
    </row>
  </sheetData>
  <mergeCells count="1">
    <mergeCell ref="A1:V1"/>
  </mergeCells>
  <printOptions horizontalCentered="1" verticalCentered="1" gridLines="1"/>
  <pageMargins left="0.5" right="0.25" top="0.25" bottom="0.25" header="0.25" footer="0.25"/>
  <pageSetup paperSize="3" scale="70" orientation="landscape" horizontalDpi="4294967295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CC119"/>
  <sheetViews>
    <sheetView view="pageBreakPreview" zoomScale="85" zoomScaleNormal="100" zoomScaleSheetLayoutView="85" workbookViewId="0">
      <selection activeCell="M6" sqref="M6"/>
    </sheetView>
  </sheetViews>
  <sheetFormatPr defaultColWidth="12.42578125" defaultRowHeight="16.5"/>
  <cols>
    <col min="1" max="1" width="7.7109375" style="142" customWidth="1"/>
    <col min="2" max="2" width="18" style="142" customWidth="1"/>
    <col min="3" max="3" width="12.28515625" style="142" customWidth="1"/>
    <col min="4" max="4" width="11.42578125" style="142" customWidth="1"/>
    <col min="5" max="5" width="12.42578125" style="142" customWidth="1"/>
    <col min="6" max="6" width="12.85546875" style="142" customWidth="1"/>
    <col min="7" max="7" width="12.42578125" style="142" customWidth="1"/>
    <col min="8" max="8" width="11.85546875" style="142" customWidth="1"/>
    <col min="9" max="9" width="13.85546875" style="142" customWidth="1"/>
    <col min="10" max="10" width="12.28515625" style="142" customWidth="1"/>
    <col min="11" max="11" width="12.7109375" style="142" customWidth="1"/>
    <col min="12" max="12" width="12.5703125" style="142" customWidth="1"/>
    <col min="13" max="13" width="12" style="142" customWidth="1"/>
    <col min="14" max="14" width="13.140625" style="142" customWidth="1"/>
    <col min="15" max="15" width="12.5703125" style="142" customWidth="1"/>
    <col min="16" max="16" width="12.85546875" style="142" customWidth="1"/>
    <col min="17" max="17" width="13.28515625" style="142" customWidth="1"/>
    <col min="18" max="19" width="14.7109375" style="142" customWidth="1"/>
    <col min="20" max="20" width="15.85546875" style="142" customWidth="1"/>
    <col min="21" max="21" width="16.7109375" style="142" customWidth="1"/>
    <col min="22" max="22" width="16.85546875" style="142" customWidth="1"/>
    <col min="23" max="81" width="12.42578125" style="142"/>
    <col min="82" max="16384" width="12.42578125" style="145"/>
  </cols>
  <sheetData>
    <row r="1" spans="1:81" s="143" customFormat="1" ht="24">
      <c r="A1" s="553" t="s">
        <v>382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  <c r="S1" s="553"/>
      <c r="T1" s="553"/>
      <c r="U1" s="553"/>
      <c r="V1" s="553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2"/>
      <c r="BT1" s="142"/>
      <c r="BU1" s="142"/>
      <c r="BV1" s="142"/>
      <c r="BW1" s="142"/>
      <c r="BX1" s="142"/>
      <c r="BY1" s="142"/>
      <c r="BZ1" s="142"/>
      <c r="CA1" s="142"/>
      <c r="CB1" s="142"/>
      <c r="CC1" s="142"/>
    </row>
    <row r="2" spans="1:81" ht="17.25" thickBot="1">
      <c r="B2" s="463"/>
    </row>
    <row r="3" spans="1:81" ht="17.25" thickBot="1">
      <c r="A3" s="144" t="s">
        <v>383</v>
      </c>
      <c r="D3" s="147" t="s">
        <v>0</v>
      </c>
      <c r="E3" s="148"/>
      <c r="F3" s="149">
        <v>10</v>
      </c>
      <c r="G3" s="146" t="s">
        <v>1</v>
      </c>
      <c r="H3" s="147" t="s">
        <v>2</v>
      </c>
      <c r="I3" s="150">
        <v>1</v>
      </c>
      <c r="K3" s="151"/>
      <c r="L3" s="152"/>
    </row>
    <row r="4" spans="1:81" ht="17.25" thickBot="1">
      <c r="A4" s="153"/>
      <c r="D4" s="154" t="s">
        <v>3</v>
      </c>
      <c r="E4" s="153"/>
      <c r="F4" s="155">
        <v>250</v>
      </c>
      <c r="G4" s="146" t="s">
        <v>1</v>
      </c>
      <c r="H4" s="156" t="s">
        <v>4</v>
      </c>
      <c r="I4" s="157">
        <v>1</v>
      </c>
      <c r="K4" s="158" t="s">
        <v>5</v>
      </c>
      <c r="L4" s="159">
        <v>110</v>
      </c>
      <c r="O4" s="160" t="str">
        <f>IF(F7=1,"METRIC","IMPERIAL")</f>
        <v>METRIC</v>
      </c>
      <c r="P4" s="161" t="str">
        <f>O4</f>
        <v>METRIC</v>
      </c>
      <c r="Q4" s="162" t="str">
        <f>O4</f>
        <v>METRIC</v>
      </c>
    </row>
    <row r="5" spans="1:81">
      <c r="A5" s="153" t="s">
        <v>6</v>
      </c>
      <c r="B5" s="163"/>
      <c r="D5" s="154" t="s">
        <v>7</v>
      </c>
      <c r="E5" s="153"/>
      <c r="F5" s="164">
        <v>40</v>
      </c>
      <c r="G5" s="146" t="s">
        <v>1</v>
      </c>
      <c r="H5" s="156" t="s">
        <v>8</v>
      </c>
      <c r="I5" s="159">
        <v>718</v>
      </c>
      <c r="K5" s="165"/>
      <c r="L5" s="166"/>
      <c r="T5" s="167"/>
      <c r="U5" s="167"/>
    </row>
    <row r="6" spans="1:81">
      <c r="A6" s="168"/>
      <c r="B6" s="169"/>
      <c r="C6" s="170"/>
      <c r="D6" s="154" t="s">
        <v>9</v>
      </c>
      <c r="E6" s="153"/>
      <c r="F6" s="157">
        <v>1.1000000000000001</v>
      </c>
      <c r="G6" s="146" t="s">
        <v>1</v>
      </c>
      <c r="H6" s="156" t="s">
        <v>10</v>
      </c>
      <c r="I6" s="159">
        <v>375</v>
      </c>
      <c r="K6" s="165" t="s">
        <v>11</v>
      </c>
      <c r="L6" s="171">
        <v>1</v>
      </c>
      <c r="U6" s="172" t="s">
        <v>12</v>
      </c>
      <c r="V6" s="173">
        <v>44859</v>
      </c>
    </row>
    <row r="7" spans="1:81" ht="17.25" thickBot="1">
      <c r="A7" s="153"/>
      <c r="C7" s="174" t="str">
        <f>O4</f>
        <v>METRIC</v>
      </c>
      <c r="D7" s="175" t="s">
        <v>13</v>
      </c>
      <c r="E7" s="176"/>
      <c r="F7" s="177">
        <v>1</v>
      </c>
      <c r="H7" s="178" t="s">
        <v>14</v>
      </c>
      <c r="I7" s="179">
        <v>500</v>
      </c>
      <c r="K7" s="180" t="s">
        <v>15</v>
      </c>
      <c r="L7" s="181">
        <v>0.3</v>
      </c>
      <c r="O7" s="168"/>
      <c r="P7" s="182"/>
      <c r="Q7" s="183"/>
      <c r="U7" s="172" t="s">
        <v>16</v>
      </c>
      <c r="V7" s="173">
        <f ca="1">TODAY()</f>
        <v>46143</v>
      </c>
    </row>
    <row r="8" spans="1:81" ht="17.25" thickBot="1">
      <c r="A8" s="184"/>
    </row>
    <row r="9" spans="1:81" s="191" customFormat="1" ht="17.25" thickBot="1">
      <c r="A9" s="185" t="s">
        <v>17</v>
      </c>
      <c r="B9" s="185" t="s">
        <v>18</v>
      </c>
      <c r="C9" s="185" t="s">
        <v>19</v>
      </c>
      <c r="D9" s="185" t="s">
        <v>20</v>
      </c>
      <c r="E9" s="185" t="s">
        <v>21</v>
      </c>
      <c r="F9" s="185" t="s">
        <v>22</v>
      </c>
      <c r="G9" s="185" t="s">
        <v>23</v>
      </c>
      <c r="H9" s="185" t="s">
        <v>24</v>
      </c>
      <c r="I9" s="185" t="s">
        <v>25</v>
      </c>
      <c r="J9" s="186" t="s">
        <v>26</v>
      </c>
      <c r="K9" s="186" t="s">
        <v>27</v>
      </c>
      <c r="L9" s="187" t="s">
        <v>28</v>
      </c>
      <c r="M9" s="186" t="s">
        <v>29</v>
      </c>
      <c r="N9" s="186" t="s">
        <v>30</v>
      </c>
      <c r="O9" s="188" t="s">
        <v>31</v>
      </c>
      <c r="P9" s="186" t="s">
        <v>32</v>
      </c>
      <c r="Q9" s="188" t="s">
        <v>33</v>
      </c>
      <c r="R9" s="189" t="s">
        <v>34</v>
      </c>
      <c r="S9" s="186" t="s">
        <v>35</v>
      </c>
      <c r="T9" s="188" t="s">
        <v>36</v>
      </c>
      <c r="U9" s="190" t="s">
        <v>37</v>
      </c>
      <c r="V9" s="190" t="s">
        <v>38</v>
      </c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1"/>
    </row>
    <row r="10" spans="1:81" s="195" customFormat="1">
      <c r="A10" s="196">
        <v>0</v>
      </c>
      <c r="B10" s="192"/>
      <c r="C10" s="192"/>
      <c r="D10" s="192"/>
      <c r="E10" s="192"/>
      <c r="F10" s="192"/>
      <c r="G10" s="192"/>
      <c r="H10" s="192"/>
      <c r="I10" s="192"/>
      <c r="J10" s="193"/>
      <c r="K10" s="193"/>
      <c r="L10" s="193"/>
      <c r="M10" s="193"/>
      <c r="N10" s="194"/>
      <c r="O10" s="194"/>
      <c r="P10" s="194"/>
      <c r="Q10" s="194"/>
      <c r="R10" s="194"/>
      <c r="S10" s="194"/>
      <c r="T10" s="194"/>
      <c r="U10" s="194"/>
      <c r="V10" s="194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</row>
    <row r="11" spans="1:81" s="195" customFormat="1">
      <c r="A11" s="196">
        <v>1</v>
      </c>
      <c r="B11" s="470"/>
      <c r="C11" s="197"/>
      <c r="D11" s="198"/>
      <c r="E11" s="198"/>
      <c r="F11" s="192"/>
      <c r="G11" s="199"/>
      <c r="H11" s="200"/>
      <c r="I11" s="200"/>
      <c r="J11" s="201">
        <f t="shared" ref="J11:J46" si="0">(C11-D11)*IF(F$7=1,1,0.3049)</f>
        <v>0</v>
      </c>
      <c r="K11" s="201">
        <f t="shared" ref="K11:K46" si="1">IF(E11=0,0,(D11-E11)*IF(F$7=1,1,0.3049))</f>
        <v>0</v>
      </c>
      <c r="L11" s="202">
        <f t="shared" ref="L11:L46" si="2">IF(F11=0,0,IF((G11=1),HLOOKUP(F11,B$65:F$66,2),HLOOKUP(F11,H$65:L$66,2)))</f>
        <v>0</v>
      </c>
      <c r="M11" s="201">
        <f t="shared" ref="M11:M46" si="3">IF(J11=0,0,J11-L$7+0.3*F11/1000+0.3)</f>
        <v>0</v>
      </c>
      <c r="N11" s="203">
        <f t="shared" ref="N11:N46" si="4">(IF(L11=0,0,IF(L11&lt;1501,VLOOKUP(L11+M11,C$70:D$118,2),VLOOKUP(L11+M11,E$70:F$114,2))+(L$7-0.15)*I$5)*I$3*I$4*(100-F$5)/100)</f>
        <v>0</v>
      </c>
      <c r="O11" s="204">
        <f t="shared" ref="O11:O46" si="5">(((L11/1000)^2*PI()/4*F11/1000)-PI()/4*(F11/1000)^2*L11/1000+L11/1000)*F$4</f>
        <v>0</v>
      </c>
      <c r="P11" s="203">
        <f t="shared" ref="P11:P46" si="6">IF(L11=0,0,I$6*I$3*I$4)</f>
        <v>0</v>
      </c>
      <c r="Q11" s="204">
        <f t="shared" ref="Q11:Q46" si="7">H11+N11+O11+P11</f>
        <v>0</v>
      </c>
      <c r="R11" s="205">
        <f t="shared" ref="R11:R46" si="8">(L11=1200)*(15*L$4+L$4*M11)+(L11=1500)*(20*L$4+1.3*L$4*M11)+(L11=1800)*(30*L$4+1.5*L$4*M11)+(L11=2400)*(40*L$4+2*L$4*M11)+(L11=3000)*(50*L$4+2.5*L$4*M11)+(L11=3600)*(60*L$4+3*L$4*M11)+I11</f>
        <v>0</v>
      </c>
      <c r="S11" s="203">
        <f t="shared" ref="S11:S46" si="9">F$3*(J11*(0.001*L11*1.3)^2*PI()/4)</f>
        <v>0</v>
      </c>
      <c r="T11" s="204">
        <f t="shared" ref="T11:T46" si="10">IF(L11=0,0,(Q11+R11+S11)/J11)</f>
        <v>0</v>
      </c>
      <c r="U11" s="203">
        <f t="shared" ref="U11:U46" si="11">Q11+R11+S11</f>
        <v>0</v>
      </c>
      <c r="V11" s="206">
        <f t="shared" ref="V11:V46" si="12">U11*F$6</f>
        <v>0</v>
      </c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</row>
    <row r="12" spans="1:81" s="195" customFormat="1">
      <c r="A12" s="196">
        <v>2</v>
      </c>
      <c r="B12" s="192"/>
      <c r="C12" s="197"/>
      <c r="D12" s="198"/>
      <c r="E12" s="198"/>
      <c r="F12" s="192"/>
      <c r="G12" s="199"/>
      <c r="H12" s="207"/>
      <c r="I12" s="207"/>
      <c r="J12" s="201">
        <f t="shared" si="0"/>
        <v>0</v>
      </c>
      <c r="K12" s="201">
        <f t="shared" si="1"/>
        <v>0</v>
      </c>
      <c r="L12" s="202">
        <f t="shared" si="2"/>
        <v>0</v>
      </c>
      <c r="M12" s="201">
        <f t="shared" si="3"/>
        <v>0</v>
      </c>
      <c r="N12" s="203">
        <f t="shared" si="4"/>
        <v>0</v>
      </c>
      <c r="O12" s="204">
        <f t="shared" si="5"/>
        <v>0</v>
      </c>
      <c r="P12" s="203">
        <f t="shared" si="6"/>
        <v>0</v>
      </c>
      <c r="Q12" s="204">
        <f t="shared" si="7"/>
        <v>0</v>
      </c>
      <c r="R12" s="205">
        <f t="shared" si="8"/>
        <v>0</v>
      </c>
      <c r="S12" s="203">
        <f t="shared" si="9"/>
        <v>0</v>
      </c>
      <c r="T12" s="204">
        <f t="shared" si="10"/>
        <v>0</v>
      </c>
      <c r="U12" s="203">
        <f t="shared" si="11"/>
        <v>0</v>
      </c>
      <c r="V12" s="206">
        <f t="shared" si="12"/>
        <v>0</v>
      </c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</row>
    <row r="13" spans="1:81" s="195" customFormat="1">
      <c r="A13" s="196">
        <v>3</v>
      </c>
      <c r="B13" s="192"/>
      <c r="C13" s="197"/>
      <c r="D13" s="198"/>
      <c r="E13" s="198"/>
      <c r="F13" s="192"/>
      <c r="G13" s="199"/>
      <c r="H13" s="207"/>
      <c r="I13" s="207"/>
      <c r="J13" s="201">
        <f t="shared" si="0"/>
        <v>0</v>
      </c>
      <c r="K13" s="201">
        <f t="shared" si="1"/>
        <v>0</v>
      </c>
      <c r="L13" s="202">
        <f t="shared" si="2"/>
        <v>0</v>
      </c>
      <c r="M13" s="201">
        <f t="shared" si="3"/>
        <v>0</v>
      </c>
      <c r="N13" s="203">
        <f t="shared" si="4"/>
        <v>0</v>
      </c>
      <c r="O13" s="204">
        <f t="shared" si="5"/>
        <v>0</v>
      </c>
      <c r="P13" s="203">
        <f t="shared" si="6"/>
        <v>0</v>
      </c>
      <c r="Q13" s="204">
        <f t="shared" si="7"/>
        <v>0</v>
      </c>
      <c r="R13" s="205">
        <f t="shared" si="8"/>
        <v>0</v>
      </c>
      <c r="S13" s="203">
        <f t="shared" si="9"/>
        <v>0</v>
      </c>
      <c r="T13" s="204">
        <f t="shared" si="10"/>
        <v>0</v>
      </c>
      <c r="U13" s="203">
        <f t="shared" si="11"/>
        <v>0</v>
      </c>
      <c r="V13" s="206">
        <f t="shared" si="12"/>
        <v>0</v>
      </c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</row>
    <row r="14" spans="1:81" s="195" customFormat="1">
      <c r="A14" s="196">
        <v>4</v>
      </c>
      <c r="B14" s="192"/>
      <c r="C14" s="197"/>
      <c r="D14" s="198"/>
      <c r="E14" s="198"/>
      <c r="F14" s="192"/>
      <c r="G14" s="208"/>
      <c r="H14" s="207"/>
      <c r="I14" s="207"/>
      <c r="J14" s="201">
        <f t="shared" si="0"/>
        <v>0</v>
      </c>
      <c r="K14" s="201">
        <f t="shared" si="1"/>
        <v>0</v>
      </c>
      <c r="L14" s="202">
        <f t="shared" si="2"/>
        <v>0</v>
      </c>
      <c r="M14" s="201">
        <f t="shared" si="3"/>
        <v>0</v>
      </c>
      <c r="N14" s="203">
        <f t="shared" si="4"/>
        <v>0</v>
      </c>
      <c r="O14" s="204">
        <f t="shared" si="5"/>
        <v>0</v>
      </c>
      <c r="P14" s="203">
        <f t="shared" si="6"/>
        <v>0</v>
      </c>
      <c r="Q14" s="204">
        <f t="shared" si="7"/>
        <v>0</v>
      </c>
      <c r="R14" s="205">
        <f t="shared" si="8"/>
        <v>0</v>
      </c>
      <c r="S14" s="203">
        <f t="shared" si="9"/>
        <v>0</v>
      </c>
      <c r="T14" s="204">
        <f t="shared" si="10"/>
        <v>0</v>
      </c>
      <c r="U14" s="203">
        <f t="shared" si="11"/>
        <v>0</v>
      </c>
      <c r="V14" s="206">
        <f t="shared" si="12"/>
        <v>0</v>
      </c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</row>
    <row r="15" spans="1:81" s="195" customFormat="1">
      <c r="A15" s="196">
        <v>5</v>
      </c>
      <c r="B15" s="192"/>
      <c r="C15" s="197"/>
      <c r="D15" s="198"/>
      <c r="E15" s="198"/>
      <c r="F15" s="192"/>
      <c r="G15" s="208"/>
      <c r="H15" s="207"/>
      <c r="I15" s="207"/>
      <c r="J15" s="201">
        <f t="shared" si="0"/>
        <v>0</v>
      </c>
      <c r="K15" s="201">
        <f t="shared" si="1"/>
        <v>0</v>
      </c>
      <c r="L15" s="202">
        <f t="shared" si="2"/>
        <v>0</v>
      </c>
      <c r="M15" s="201">
        <f t="shared" si="3"/>
        <v>0</v>
      </c>
      <c r="N15" s="203">
        <f t="shared" si="4"/>
        <v>0</v>
      </c>
      <c r="O15" s="204">
        <f t="shared" si="5"/>
        <v>0</v>
      </c>
      <c r="P15" s="203">
        <f t="shared" si="6"/>
        <v>0</v>
      </c>
      <c r="Q15" s="204">
        <f t="shared" si="7"/>
        <v>0</v>
      </c>
      <c r="R15" s="205">
        <f t="shared" si="8"/>
        <v>0</v>
      </c>
      <c r="S15" s="203">
        <f t="shared" si="9"/>
        <v>0</v>
      </c>
      <c r="T15" s="204">
        <f t="shared" si="10"/>
        <v>0</v>
      </c>
      <c r="U15" s="203">
        <f t="shared" si="11"/>
        <v>0</v>
      </c>
      <c r="V15" s="206">
        <f t="shared" si="12"/>
        <v>0</v>
      </c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</row>
    <row r="16" spans="1:81" s="195" customFormat="1">
      <c r="A16" s="196">
        <v>6</v>
      </c>
      <c r="B16" s="192"/>
      <c r="C16" s="197"/>
      <c r="D16" s="198"/>
      <c r="E16" s="198"/>
      <c r="F16" s="192"/>
      <c r="G16" s="208"/>
      <c r="H16" s="207"/>
      <c r="I16" s="207"/>
      <c r="J16" s="201">
        <f t="shared" si="0"/>
        <v>0</v>
      </c>
      <c r="K16" s="201">
        <f t="shared" si="1"/>
        <v>0</v>
      </c>
      <c r="L16" s="202">
        <f t="shared" si="2"/>
        <v>0</v>
      </c>
      <c r="M16" s="201">
        <f t="shared" si="3"/>
        <v>0</v>
      </c>
      <c r="N16" s="203">
        <f t="shared" si="4"/>
        <v>0</v>
      </c>
      <c r="O16" s="204">
        <f t="shared" si="5"/>
        <v>0</v>
      </c>
      <c r="P16" s="203">
        <f t="shared" si="6"/>
        <v>0</v>
      </c>
      <c r="Q16" s="204">
        <f t="shared" si="7"/>
        <v>0</v>
      </c>
      <c r="R16" s="205">
        <f t="shared" si="8"/>
        <v>0</v>
      </c>
      <c r="S16" s="203">
        <f t="shared" si="9"/>
        <v>0</v>
      </c>
      <c r="T16" s="204">
        <f t="shared" si="10"/>
        <v>0</v>
      </c>
      <c r="U16" s="203">
        <f t="shared" si="11"/>
        <v>0</v>
      </c>
      <c r="V16" s="206">
        <f t="shared" si="12"/>
        <v>0</v>
      </c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</row>
    <row r="17" spans="1:81" s="195" customFormat="1">
      <c r="A17" s="196">
        <v>7</v>
      </c>
      <c r="B17" s="192"/>
      <c r="C17" s="197"/>
      <c r="D17" s="198"/>
      <c r="E17" s="198"/>
      <c r="F17" s="192"/>
      <c r="G17" s="208"/>
      <c r="H17" s="207"/>
      <c r="I17" s="207"/>
      <c r="J17" s="201">
        <f t="shared" si="0"/>
        <v>0</v>
      </c>
      <c r="K17" s="201">
        <f t="shared" si="1"/>
        <v>0</v>
      </c>
      <c r="L17" s="202">
        <f t="shared" si="2"/>
        <v>0</v>
      </c>
      <c r="M17" s="201">
        <f t="shared" si="3"/>
        <v>0</v>
      </c>
      <c r="N17" s="203">
        <f t="shared" si="4"/>
        <v>0</v>
      </c>
      <c r="O17" s="204">
        <f t="shared" si="5"/>
        <v>0</v>
      </c>
      <c r="P17" s="203">
        <f t="shared" si="6"/>
        <v>0</v>
      </c>
      <c r="Q17" s="204">
        <f t="shared" si="7"/>
        <v>0</v>
      </c>
      <c r="R17" s="205">
        <f t="shared" si="8"/>
        <v>0</v>
      </c>
      <c r="S17" s="203">
        <f t="shared" si="9"/>
        <v>0</v>
      </c>
      <c r="T17" s="204">
        <f t="shared" si="10"/>
        <v>0</v>
      </c>
      <c r="U17" s="203">
        <f t="shared" si="11"/>
        <v>0</v>
      </c>
      <c r="V17" s="206">
        <f t="shared" si="12"/>
        <v>0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</row>
    <row r="18" spans="1:81" s="195" customFormat="1">
      <c r="A18" s="196">
        <v>8</v>
      </c>
      <c r="B18" s="192"/>
      <c r="C18" s="197"/>
      <c r="D18" s="198"/>
      <c r="E18" s="198"/>
      <c r="F18" s="192"/>
      <c r="G18" s="208"/>
      <c r="H18" s="207"/>
      <c r="I18" s="207"/>
      <c r="J18" s="201">
        <f t="shared" si="0"/>
        <v>0</v>
      </c>
      <c r="K18" s="201">
        <f t="shared" si="1"/>
        <v>0</v>
      </c>
      <c r="L18" s="202">
        <f t="shared" si="2"/>
        <v>0</v>
      </c>
      <c r="M18" s="201">
        <f t="shared" si="3"/>
        <v>0</v>
      </c>
      <c r="N18" s="203">
        <f t="shared" si="4"/>
        <v>0</v>
      </c>
      <c r="O18" s="204">
        <f t="shared" si="5"/>
        <v>0</v>
      </c>
      <c r="P18" s="203">
        <f t="shared" si="6"/>
        <v>0</v>
      </c>
      <c r="Q18" s="204">
        <f t="shared" si="7"/>
        <v>0</v>
      </c>
      <c r="R18" s="205">
        <f t="shared" si="8"/>
        <v>0</v>
      </c>
      <c r="S18" s="203">
        <f t="shared" si="9"/>
        <v>0</v>
      </c>
      <c r="T18" s="204">
        <f t="shared" si="10"/>
        <v>0</v>
      </c>
      <c r="U18" s="203">
        <f t="shared" si="11"/>
        <v>0</v>
      </c>
      <c r="V18" s="206">
        <f t="shared" si="12"/>
        <v>0</v>
      </c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</row>
    <row r="19" spans="1:81" s="195" customFormat="1">
      <c r="A19" s="196">
        <v>9</v>
      </c>
      <c r="B19" s="192"/>
      <c r="C19" s="197"/>
      <c r="D19" s="198"/>
      <c r="E19" s="198"/>
      <c r="F19" s="192"/>
      <c r="G19" s="208"/>
      <c r="H19" s="207"/>
      <c r="I19" s="207"/>
      <c r="J19" s="201">
        <f t="shared" si="0"/>
        <v>0</v>
      </c>
      <c r="K19" s="201">
        <f t="shared" si="1"/>
        <v>0</v>
      </c>
      <c r="L19" s="202">
        <f t="shared" si="2"/>
        <v>0</v>
      </c>
      <c r="M19" s="201">
        <f t="shared" si="3"/>
        <v>0</v>
      </c>
      <c r="N19" s="203">
        <f t="shared" si="4"/>
        <v>0</v>
      </c>
      <c r="O19" s="204">
        <f t="shared" si="5"/>
        <v>0</v>
      </c>
      <c r="P19" s="203">
        <f t="shared" si="6"/>
        <v>0</v>
      </c>
      <c r="Q19" s="204">
        <f t="shared" si="7"/>
        <v>0</v>
      </c>
      <c r="R19" s="205">
        <f t="shared" si="8"/>
        <v>0</v>
      </c>
      <c r="S19" s="203">
        <f t="shared" si="9"/>
        <v>0</v>
      </c>
      <c r="T19" s="204">
        <f t="shared" si="10"/>
        <v>0</v>
      </c>
      <c r="U19" s="203">
        <f t="shared" si="11"/>
        <v>0</v>
      </c>
      <c r="V19" s="206">
        <f t="shared" si="12"/>
        <v>0</v>
      </c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</row>
    <row r="20" spans="1:81" s="195" customFormat="1">
      <c r="A20" s="196">
        <v>10</v>
      </c>
      <c r="B20" s="192"/>
      <c r="C20" s="197"/>
      <c r="D20" s="198"/>
      <c r="E20" s="198"/>
      <c r="F20" s="192"/>
      <c r="G20" s="208"/>
      <c r="H20" s="207"/>
      <c r="I20" s="207"/>
      <c r="J20" s="201">
        <f t="shared" si="0"/>
        <v>0</v>
      </c>
      <c r="K20" s="201">
        <f t="shared" si="1"/>
        <v>0</v>
      </c>
      <c r="L20" s="202">
        <f t="shared" si="2"/>
        <v>0</v>
      </c>
      <c r="M20" s="201">
        <f t="shared" si="3"/>
        <v>0</v>
      </c>
      <c r="N20" s="203">
        <f t="shared" si="4"/>
        <v>0</v>
      </c>
      <c r="O20" s="204">
        <f t="shared" si="5"/>
        <v>0</v>
      </c>
      <c r="P20" s="203">
        <f t="shared" si="6"/>
        <v>0</v>
      </c>
      <c r="Q20" s="204">
        <f t="shared" si="7"/>
        <v>0</v>
      </c>
      <c r="R20" s="205">
        <f t="shared" si="8"/>
        <v>0</v>
      </c>
      <c r="S20" s="203">
        <f t="shared" si="9"/>
        <v>0</v>
      </c>
      <c r="T20" s="204">
        <f t="shared" si="10"/>
        <v>0</v>
      </c>
      <c r="U20" s="203">
        <f t="shared" si="11"/>
        <v>0</v>
      </c>
      <c r="V20" s="206">
        <f t="shared" si="12"/>
        <v>0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</row>
    <row r="21" spans="1:81" s="195" customFormat="1">
      <c r="A21" s="196">
        <v>11</v>
      </c>
      <c r="B21" s="192"/>
      <c r="C21" s="197"/>
      <c r="D21" s="198"/>
      <c r="E21" s="198"/>
      <c r="F21" s="192"/>
      <c r="G21" s="208"/>
      <c r="H21" s="207"/>
      <c r="I21" s="207"/>
      <c r="J21" s="201">
        <f t="shared" si="0"/>
        <v>0</v>
      </c>
      <c r="K21" s="201">
        <f t="shared" si="1"/>
        <v>0</v>
      </c>
      <c r="L21" s="202">
        <f t="shared" si="2"/>
        <v>0</v>
      </c>
      <c r="M21" s="201">
        <f t="shared" si="3"/>
        <v>0</v>
      </c>
      <c r="N21" s="203">
        <f t="shared" si="4"/>
        <v>0</v>
      </c>
      <c r="O21" s="204">
        <f t="shared" si="5"/>
        <v>0</v>
      </c>
      <c r="P21" s="203">
        <f t="shared" si="6"/>
        <v>0</v>
      </c>
      <c r="Q21" s="204">
        <f t="shared" si="7"/>
        <v>0</v>
      </c>
      <c r="R21" s="205">
        <f t="shared" si="8"/>
        <v>0</v>
      </c>
      <c r="S21" s="203">
        <f t="shared" si="9"/>
        <v>0</v>
      </c>
      <c r="T21" s="204">
        <f t="shared" si="10"/>
        <v>0</v>
      </c>
      <c r="U21" s="203">
        <f t="shared" si="11"/>
        <v>0</v>
      </c>
      <c r="V21" s="206">
        <f t="shared" si="12"/>
        <v>0</v>
      </c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</row>
    <row r="22" spans="1:81" s="195" customFormat="1">
      <c r="A22" s="196">
        <v>12</v>
      </c>
      <c r="B22" s="192"/>
      <c r="C22" s="197"/>
      <c r="D22" s="198"/>
      <c r="E22" s="198"/>
      <c r="F22" s="192"/>
      <c r="G22" s="208"/>
      <c r="H22" s="207"/>
      <c r="I22" s="207"/>
      <c r="J22" s="201">
        <f t="shared" si="0"/>
        <v>0</v>
      </c>
      <c r="K22" s="201">
        <f t="shared" si="1"/>
        <v>0</v>
      </c>
      <c r="L22" s="202">
        <f t="shared" si="2"/>
        <v>0</v>
      </c>
      <c r="M22" s="201">
        <f t="shared" si="3"/>
        <v>0</v>
      </c>
      <c r="N22" s="203">
        <f t="shared" si="4"/>
        <v>0</v>
      </c>
      <c r="O22" s="204">
        <f t="shared" si="5"/>
        <v>0</v>
      </c>
      <c r="P22" s="203">
        <f t="shared" si="6"/>
        <v>0</v>
      </c>
      <c r="Q22" s="204">
        <f t="shared" si="7"/>
        <v>0</v>
      </c>
      <c r="R22" s="205">
        <f t="shared" si="8"/>
        <v>0</v>
      </c>
      <c r="S22" s="203">
        <f t="shared" si="9"/>
        <v>0</v>
      </c>
      <c r="T22" s="204">
        <f t="shared" si="10"/>
        <v>0</v>
      </c>
      <c r="U22" s="203">
        <f t="shared" si="11"/>
        <v>0</v>
      </c>
      <c r="V22" s="206">
        <f t="shared" si="12"/>
        <v>0</v>
      </c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</row>
    <row r="23" spans="1:81" s="195" customFormat="1">
      <c r="A23" s="196">
        <v>13</v>
      </c>
      <c r="B23" s="192"/>
      <c r="C23" s="197"/>
      <c r="D23" s="198"/>
      <c r="E23" s="198"/>
      <c r="F23" s="192"/>
      <c r="G23" s="208"/>
      <c r="H23" s="207"/>
      <c r="I23" s="207"/>
      <c r="J23" s="201">
        <f t="shared" si="0"/>
        <v>0</v>
      </c>
      <c r="K23" s="201">
        <f t="shared" si="1"/>
        <v>0</v>
      </c>
      <c r="L23" s="202">
        <f t="shared" si="2"/>
        <v>0</v>
      </c>
      <c r="M23" s="201">
        <f t="shared" si="3"/>
        <v>0</v>
      </c>
      <c r="N23" s="203">
        <f t="shared" si="4"/>
        <v>0</v>
      </c>
      <c r="O23" s="204">
        <f t="shared" si="5"/>
        <v>0</v>
      </c>
      <c r="P23" s="203">
        <f t="shared" si="6"/>
        <v>0</v>
      </c>
      <c r="Q23" s="204">
        <f t="shared" si="7"/>
        <v>0</v>
      </c>
      <c r="R23" s="205">
        <f t="shared" si="8"/>
        <v>0</v>
      </c>
      <c r="S23" s="203">
        <f t="shared" si="9"/>
        <v>0</v>
      </c>
      <c r="T23" s="204">
        <f t="shared" si="10"/>
        <v>0</v>
      </c>
      <c r="U23" s="203">
        <f t="shared" si="11"/>
        <v>0</v>
      </c>
      <c r="V23" s="206">
        <f t="shared" si="12"/>
        <v>0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</row>
    <row r="24" spans="1:81" s="195" customFormat="1">
      <c r="A24" s="196">
        <v>14</v>
      </c>
      <c r="B24" s="192"/>
      <c r="C24" s="197"/>
      <c r="D24" s="198"/>
      <c r="E24" s="198"/>
      <c r="F24" s="192"/>
      <c r="G24" s="208"/>
      <c r="H24" s="207"/>
      <c r="I24" s="207"/>
      <c r="J24" s="201">
        <f t="shared" si="0"/>
        <v>0</v>
      </c>
      <c r="K24" s="201">
        <f t="shared" si="1"/>
        <v>0</v>
      </c>
      <c r="L24" s="202">
        <f t="shared" si="2"/>
        <v>0</v>
      </c>
      <c r="M24" s="201">
        <f t="shared" si="3"/>
        <v>0</v>
      </c>
      <c r="N24" s="203">
        <f t="shared" si="4"/>
        <v>0</v>
      </c>
      <c r="O24" s="204">
        <f t="shared" si="5"/>
        <v>0</v>
      </c>
      <c r="P24" s="203">
        <f t="shared" si="6"/>
        <v>0</v>
      </c>
      <c r="Q24" s="204">
        <f t="shared" si="7"/>
        <v>0</v>
      </c>
      <c r="R24" s="205">
        <f t="shared" si="8"/>
        <v>0</v>
      </c>
      <c r="S24" s="203">
        <f t="shared" si="9"/>
        <v>0</v>
      </c>
      <c r="T24" s="204">
        <f t="shared" si="10"/>
        <v>0</v>
      </c>
      <c r="U24" s="203">
        <f t="shared" si="11"/>
        <v>0</v>
      </c>
      <c r="V24" s="206">
        <f t="shared" si="12"/>
        <v>0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</row>
    <row r="25" spans="1:81" s="195" customFormat="1">
      <c r="A25" s="196">
        <v>15</v>
      </c>
      <c r="B25" s="192"/>
      <c r="C25" s="197"/>
      <c r="D25" s="198"/>
      <c r="E25" s="198"/>
      <c r="F25" s="192"/>
      <c r="G25" s="208"/>
      <c r="H25" s="207"/>
      <c r="I25" s="207"/>
      <c r="J25" s="201">
        <f t="shared" si="0"/>
        <v>0</v>
      </c>
      <c r="K25" s="201">
        <f t="shared" si="1"/>
        <v>0</v>
      </c>
      <c r="L25" s="202">
        <f t="shared" si="2"/>
        <v>0</v>
      </c>
      <c r="M25" s="201">
        <f t="shared" si="3"/>
        <v>0</v>
      </c>
      <c r="N25" s="203">
        <f t="shared" si="4"/>
        <v>0</v>
      </c>
      <c r="O25" s="204">
        <f t="shared" si="5"/>
        <v>0</v>
      </c>
      <c r="P25" s="203">
        <f t="shared" si="6"/>
        <v>0</v>
      </c>
      <c r="Q25" s="204">
        <f t="shared" si="7"/>
        <v>0</v>
      </c>
      <c r="R25" s="205">
        <f t="shared" si="8"/>
        <v>0</v>
      </c>
      <c r="S25" s="203">
        <f t="shared" si="9"/>
        <v>0</v>
      </c>
      <c r="T25" s="204">
        <f t="shared" si="10"/>
        <v>0</v>
      </c>
      <c r="U25" s="203">
        <f t="shared" si="11"/>
        <v>0</v>
      </c>
      <c r="V25" s="206">
        <f t="shared" si="12"/>
        <v>0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</row>
    <row r="26" spans="1:81" s="195" customFormat="1">
      <c r="A26" s="196">
        <v>16</v>
      </c>
      <c r="B26" s="192"/>
      <c r="C26" s="197"/>
      <c r="D26" s="198"/>
      <c r="E26" s="198"/>
      <c r="F26" s="192"/>
      <c r="G26" s="208"/>
      <c r="H26" s="207"/>
      <c r="I26" s="207"/>
      <c r="J26" s="201">
        <f t="shared" si="0"/>
        <v>0</v>
      </c>
      <c r="K26" s="201">
        <f t="shared" si="1"/>
        <v>0</v>
      </c>
      <c r="L26" s="202">
        <f t="shared" si="2"/>
        <v>0</v>
      </c>
      <c r="M26" s="201">
        <f t="shared" si="3"/>
        <v>0</v>
      </c>
      <c r="N26" s="203">
        <f t="shared" si="4"/>
        <v>0</v>
      </c>
      <c r="O26" s="204">
        <f t="shared" si="5"/>
        <v>0</v>
      </c>
      <c r="P26" s="203">
        <f t="shared" si="6"/>
        <v>0</v>
      </c>
      <c r="Q26" s="204">
        <f t="shared" si="7"/>
        <v>0</v>
      </c>
      <c r="R26" s="205">
        <f t="shared" si="8"/>
        <v>0</v>
      </c>
      <c r="S26" s="203">
        <f t="shared" si="9"/>
        <v>0</v>
      </c>
      <c r="T26" s="204">
        <f t="shared" si="10"/>
        <v>0</v>
      </c>
      <c r="U26" s="203">
        <f t="shared" si="11"/>
        <v>0</v>
      </c>
      <c r="V26" s="206">
        <f t="shared" si="12"/>
        <v>0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</row>
    <row r="27" spans="1:81" s="195" customFormat="1">
      <c r="A27" s="196">
        <v>17</v>
      </c>
      <c r="B27" s="192"/>
      <c r="C27" s="197"/>
      <c r="D27" s="198"/>
      <c r="E27" s="198"/>
      <c r="F27" s="192"/>
      <c r="G27" s="208"/>
      <c r="H27" s="207"/>
      <c r="I27" s="207"/>
      <c r="J27" s="201">
        <f t="shared" si="0"/>
        <v>0</v>
      </c>
      <c r="K27" s="201">
        <f t="shared" si="1"/>
        <v>0</v>
      </c>
      <c r="L27" s="202">
        <f t="shared" si="2"/>
        <v>0</v>
      </c>
      <c r="M27" s="201">
        <f t="shared" si="3"/>
        <v>0</v>
      </c>
      <c r="N27" s="203">
        <f t="shared" si="4"/>
        <v>0</v>
      </c>
      <c r="O27" s="204">
        <f t="shared" si="5"/>
        <v>0</v>
      </c>
      <c r="P27" s="203">
        <f t="shared" si="6"/>
        <v>0</v>
      </c>
      <c r="Q27" s="204">
        <f t="shared" si="7"/>
        <v>0</v>
      </c>
      <c r="R27" s="205">
        <f t="shared" si="8"/>
        <v>0</v>
      </c>
      <c r="S27" s="203">
        <f t="shared" si="9"/>
        <v>0</v>
      </c>
      <c r="T27" s="204">
        <f t="shared" si="10"/>
        <v>0</v>
      </c>
      <c r="U27" s="203">
        <f t="shared" si="11"/>
        <v>0</v>
      </c>
      <c r="V27" s="206">
        <f t="shared" si="12"/>
        <v>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</row>
    <row r="28" spans="1:81" s="195" customFormat="1">
      <c r="A28" s="196">
        <v>18</v>
      </c>
      <c r="B28" s="192"/>
      <c r="C28" s="197"/>
      <c r="D28" s="198"/>
      <c r="E28" s="198"/>
      <c r="F28" s="192"/>
      <c r="G28" s="208"/>
      <c r="H28" s="207"/>
      <c r="I28" s="207"/>
      <c r="J28" s="201">
        <f t="shared" si="0"/>
        <v>0</v>
      </c>
      <c r="K28" s="201">
        <f t="shared" si="1"/>
        <v>0</v>
      </c>
      <c r="L28" s="202">
        <f t="shared" si="2"/>
        <v>0</v>
      </c>
      <c r="M28" s="201">
        <f t="shared" si="3"/>
        <v>0</v>
      </c>
      <c r="N28" s="203">
        <f t="shared" si="4"/>
        <v>0</v>
      </c>
      <c r="O28" s="204">
        <f t="shared" si="5"/>
        <v>0</v>
      </c>
      <c r="P28" s="203">
        <f t="shared" si="6"/>
        <v>0</v>
      </c>
      <c r="Q28" s="204">
        <f t="shared" si="7"/>
        <v>0</v>
      </c>
      <c r="R28" s="205">
        <f t="shared" si="8"/>
        <v>0</v>
      </c>
      <c r="S28" s="203">
        <f t="shared" si="9"/>
        <v>0</v>
      </c>
      <c r="T28" s="204">
        <f t="shared" si="10"/>
        <v>0</v>
      </c>
      <c r="U28" s="203">
        <f t="shared" si="11"/>
        <v>0</v>
      </c>
      <c r="V28" s="206">
        <f t="shared" si="12"/>
        <v>0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</row>
    <row r="29" spans="1:81" s="195" customFormat="1">
      <c r="A29" s="196">
        <v>19</v>
      </c>
      <c r="B29" s="192"/>
      <c r="C29" s="197"/>
      <c r="D29" s="198"/>
      <c r="E29" s="198"/>
      <c r="F29" s="192"/>
      <c r="G29" s="208"/>
      <c r="H29" s="207"/>
      <c r="I29" s="207"/>
      <c r="J29" s="201">
        <f t="shared" si="0"/>
        <v>0</v>
      </c>
      <c r="K29" s="201">
        <f t="shared" si="1"/>
        <v>0</v>
      </c>
      <c r="L29" s="202">
        <f t="shared" si="2"/>
        <v>0</v>
      </c>
      <c r="M29" s="201">
        <f t="shared" si="3"/>
        <v>0</v>
      </c>
      <c r="N29" s="203">
        <f t="shared" si="4"/>
        <v>0</v>
      </c>
      <c r="O29" s="204">
        <f t="shared" si="5"/>
        <v>0</v>
      </c>
      <c r="P29" s="203">
        <f t="shared" si="6"/>
        <v>0</v>
      </c>
      <c r="Q29" s="204">
        <f t="shared" si="7"/>
        <v>0</v>
      </c>
      <c r="R29" s="205">
        <f t="shared" si="8"/>
        <v>0</v>
      </c>
      <c r="S29" s="203">
        <f t="shared" si="9"/>
        <v>0</v>
      </c>
      <c r="T29" s="204">
        <f t="shared" si="10"/>
        <v>0</v>
      </c>
      <c r="U29" s="203">
        <f t="shared" si="11"/>
        <v>0</v>
      </c>
      <c r="V29" s="206">
        <f t="shared" si="12"/>
        <v>0</v>
      </c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</row>
    <row r="30" spans="1:81" s="195" customFormat="1">
      <c r="A30" s="196">
        <v>20</v>
      </c>
      <c r="B30" s="192"/>
      <c r="C30" s="197"/>
      <c r="D30" s="198"/>
      <c r="E30" s="198"/>
      <c r="F30" s="192"/>
      <c r="G30" s="208"/>
      <c r="H30" s="207"/>
      <c r="I30" s="207"/>
      <c r="J30" s="201">
        <f t="shared" si="0"/>
        <v>0</v>
      </c>
      <c r="K30" s="201">
        <f t="shared" si="1"/>
        <v>0</v>
      </c>
      <c r="L30" s="202">
        <f t="shared" si="2"/>
        <v>0</v>
      </c>
      <c r="M30" s="201">
        <f t="shared" si="3"/>
        <v>0</v>
      </c>
      <c r="N30" s="203">
        <f t="shared" si="4"/>
        <v>0</v>
      </c>
      <c r="O30" s="204">
        <f t="shared" si="5"/>
        <v>0</v>
      </c>
      <c r="P30" s="203">
        <f t="shared" si="6"/>
        <v>0</v>
      </c>
      <c r="Q30" s="204">
        <f t="shared" si="7"/>
        <v>0</v>
      </c>
      <c r="R30" s="205">
        <f t="shared" si="8"/>
        <v>0</v>
      </c>
      <c r="S30" s="203">
        <f t="shared" si="9"/>
        <v>0</v>
      </c>
      <c r="T30" s="204">
        <f t="shared" si="10"/>
        <v>0</v>
      </c>
      <c r="U30" s="203">
        <f t="shared" si="11"/>
        <v>0</v>
      </c>
      <c r="V30" s="206">
        <f t="shared" si="12"/>
        <v>0</v>
      </c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</row>
    <row r="31" spans="1:81" s="195" customFormat="1">
      <c r="A31" s="196">
        <v>21</v>
      </c>
      <c r="B31" s="192"/>
      <c r="C31" s="197"/>
      <c r="D31" s="198"/>
      <c r="E31" s="198"/>
      <c r="F31" s="192"/>
      <c r="G31" s="208"/>
      <c r="H31" s="207"/>
      <c r="I31" s="207"/>
      <c r="J31" s="201">
        <f t="shared" si="0"/>
        <v>0</v>
      </c>
      <c r="K31" s="201">
        <f t="shared" si="1"/>
        <v>0</v>
      </c>
      <c r="L31" s="202">
        <f t="shared" si="2"/>
        <v>0</v>
      </c>
      <c r="M31" s="201">
        <f t="shared" si="3"/>
        <v>0</v>
      </c>
      <c r="N31" s="203">
        <f t="shared" si="4"/>
        <v>0</v>
      </c>
      <c r="O31" s="204">
        <f t="shared" si="5"/>
        <v>0</v>
      </c>
      <c r="P31" s="203">
        <f t="shared" si="6"/>
        <v>0</v>
      </c>
      <c r="Q31" s="204">
        <f t="shared" si="7"/>
        <v>0</v>
      </c>
      <c r="R31" s="205">
        <f t="shared" si="8"/>
        <v>0</v>
      </c>
      <c r="S31" s="203">
        <f t="shared" si="9"/>
        <v>0</v>
      </c>
      <c r="T31" s="204">
        <f t="shared" si="10"/>
        <v>0</v>
      </c>
      <c r="U31" s="203">
        <f t="shared" si="11"/>
        <v>0</v>
      </c>
      <c r="V31" s="206">
        <f t="shared" si="12"/>
        <v>0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</row>
    <row r="32" spans="1:81" s="195" customFormat="1">
      <c r="A32" s="196">
        <v>22</v>
      </c>
      <c r="B32" s="192"/>
      <c r="C32" s="197"/>
      <c r="D32" s="198"/>
      <c r="E32" s="198"/>
      <c r="F32" s="192"/>
      <c r="G32" s="208"/>
      <c r="H32" s="207"/>
      <c r="I32" s="207"/>
      <c r="J32" s="201">
        <f t="shared" si="0"/>
        <v>0</v>
      </c>
      <c r="K32" s="201">
        <f t="shared" si="1"/>
        <v>0</v>
      </c>
      <c r="L32" s="202">
        <f t="shared" si="2"/>
        <v>0</v>
      </c>
      <c r="M32" s="201">
        <f t="shared" si="3"/>
        <v>0</v>
      </c>
      <c r="N32" s="203">
        <f t="shared" si="4"/>
        <v>0</v>
      </c>
      <c r="O32" s="204">
        <f t="shared" si="5"/>
        <v>0</v>
      </c>
      <c r="P32" s="203">
        <f t="shared" si="6"/>
        <v>0</v>
      </c>
      <c r="Q32" s="204">
        <f t="shared" si="7"/>
        <v>0</v>
      </c>
      <c r="R32" s="205">
        <f t="shared" si="8"/>
        <v>0</v>
      </c>
      <c r="S32" s="203">
        <f t="shared" si="9"/>
        <v>0</v>
      </c>
      <c r="T32" s="204">
        <f t="shared" si="10"/>
        <v>0</v>
      </c>
      <c r="U32" s="203">
        <f t="shared" si="11"/>
        <v>0</v>
      </c>
      <c r="V32" s="206">
        <f t="shared" si="12"/>
        <v>0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</row>
    <row r="33" spans="1:81" s="195" customFormat="1">
      <c r="A33" s="196">
        <v>23</v>
      </c>
      <c r="B33" s="192"/>
      <c r="C33" s="197"/>
      <c r="D33" s="198"/>
      <c r="E33" s="198"/>
      <c r="F33" s="192"/>
      <c r="G33" s="208"/>
      <c r="H33" s="207"/>
      <c r="I33" s="207"/>
      <c r="J33" s="201">
        <f t="shared" si="0"/>
        <v>0</v>
      </c>
      <c r="K33" s="201">
        <f t="shared" si="1"/>
        <v>0</v>
      </c>
      <c r="L33" s="202">
        <f t="shared" si="2"/>
        <v>0</v>
      </c>
      <c r="M33" s="201">
        <f>IF(J33=0,0,J33-L$7+0.3*F33/1000+0.3)</f>
        <v>0</v>
      </c>
      <c r="N33" s="203">
        <f t="shared" si="4"/>
        <v>0</v>
      </c>
      <c r="O33" s="204">
        <f t="shared" si="5"/>
        <v>0</v>
      </c>
      <c r="P33" s="203">
        <f t="shared" si="6"/>
        <v>0</v>
      </c>
      <c r="Q33" s="204">
        <f t="shared" si="7"/>
        <v>0</v>
      </c>
      <c r="R33" s="205">
        <f t="shared" si="8"/>
        <v>0</v>
      </c>
      <c r="S33" s="203">
        <f t="shared" si="9"/>
        <v>0</v>
      </c>
      <c r="T33" s="204">
        <f t="shared" si="10"/>
        <v>0</v>
      </c>
      <c r="U33" s="203">
        <f t="shared" si="11"/>
        <v>0</v>
      </c>
      <c r="V33" s="206">
        <f t="shared" si="12"/>
        <v>0</v>
      </c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</row>
    <row r="34" spans="1:81" s="195" customFormat="1">
      <c r="A34" s="196">
        <v>24</v>
      </c>
      <c r="B34" s="192"/>
      <c r="C34" s="197"/>
      <c r="D34" s="198"/>
      <c r="E34" s="198"/>
      <c r="F34" s="192"/>
      <c r="G34" s="208"/>
      <c r="H34" s="207"/>
      <c r="I34" s="207"/>
      <c r="J34" s="201">
        <f t="shared" si="0"/>
        <v>0</v>
      </c>
      <c r="K34" s="201">
        <f t="shared" si="1"/>
        <v>0</v>
      </c>
      <c r="L34" s="202">
        <f t="shared" si="2"/>
        <v>0</v>
      </c>
      <c r="M34" s="201">
        <f t="shared" si="3"/>
        <v>0</v>
      </c>
      <c r="N34" s="203">
        <f t="shared" si="4"/>
        <v>0</v>
      </c>
      <c r="O34" s="204">
        <f t="shared" si="5"/>
        <v>0</v>
      </c>
      <c r="P34" s="203">
        <f t="shared" si="6"/>
        <v>0</v>
      </c>
      <c r="Q34" s="204">
        <f t="shared" si="7"/>
        <v>0</v>
      </c>
      <c r="R34" s="205">
        <f t="shared" si="8"/>
        <v>0</v>
      </c>
      <c r="S34" s="203">
        <f t="shared" si="9"/>
        <v>0</v>
      </c>
      <c r="T34" s="204">
        <f t="shared" si="10"/>
        <v>0</v>
      </c>
      <c r="U34" s="203">
        <f t="shared" si="11"/>
        <v>0</v>
      </c>
      <c r="V34" s="206">
        <f t="shared" si="12"/>
        <v>0</v>
      </c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</row>
    <row r="35" spans="1:81" s="195" customFormat="1">
      <c r="A35" s="196">
        <v>25</v>
      </c>
      <c r="B35" s="192"/>
      <c r="C35" s="197"/>
      <c r="D35" s="198"/>
      <c r="E35" s="198"/>
      <c r="F35" s="192"/>
      <c r="G35" s="208"/>
      <c r="H35" s="207"/>
      <c r="I35" s="207"/>
      <c r="J35" s="201">
        <f t="shared" si="0"/>
        <v>0</v>
      </c>
      <c r="K35" s="201">
        <f t="shared" si="1"/>
        <v>0</v>
      </c>
      <c r="L35" s="202">
        <f t="shared" si="2"/>
        <v>0</v>
      </c>
      <c r="M35" s="201">
        <f t="shared" si="3"/>
        <v>0</v>
      </c>
      <c r="N35" s="203">
        <f t="shared" si="4"/>
        <v>0</v>
      </c>
      <c r="O35" s="204">
        <f t="shared" si="5"/>
        <v>0</v>
      </c>
      <c r="P35" s="203">
        <f t="shared" si="6"/>
        <v>0</v>
      </c>
      <c r="Q35" s="204">
        <f t="shared" si="7"/>
        <v>0</v>
      </c>
      <c r="R35" s="205">
        <f t="shared" si="8"/>
        <v>0</v>
      </c>
      <c r="S35" s="203">
        <f t="shared" si="9"/>
        <v>0</v>
      </c>
      <c r="T35" s="204">
        <f t="shared" si="10"/>
        <v>0</v>
      </c>
      <c r="U35" s="203">
        <f t="shared" si="11"/>
        <v>0</v>
      </c>
      <c r="V35" s="206">
        <f t="shared" si="12"/>
        <v>0</v>
      </c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</row>
    <row r="36" spans="1:81" s="195" customFormat="1">
      <c r="A36" s="196">
        <v>26</v>
      </c>
      <c r="B36" s="192"/>
      <c r="C36" s="197"/>
      <c r="D36" s="198"/>
      <c r="E36" s="198"/>
      <c r="F36" s="192"/>
      <c r="G36" s="208"/>
      <c r="H36" s="207"/>
      <c r="I36" s="207"/>
      <c r="J36" s="201">
        <f t="shared" si="0"/>
        <v>0</v>
      </c>
      <c r="K36" s="201">
        <f t="shared" si="1"/>
        <v>0</v>
      </c>
      <c r="L36" s="202">
        <f t="shared" si="2"/>
        <v>0</v>
      </c>
      <c r="M36" s="201">
        <f t="shared" si="3"/>
        <v>0</v>
      </c>
      <c r="N36" s="203">
        <f t="shared" si="4"/>
        <v>0</v>
      </c>
      <c r="O36" s="204">
        <f t="shared" si="5"/>
        <v>0</v>
      </c>
      <c r="P36" s="203">
        <f t="shared" si="6"/>
        <v>0</v>
      </c>
      <c r="Q36" s="204">
        <f>H36+N36+O36+P36</f>
        <v>0</v>
      </c>
      <c r="R36" s="205">
        <f t="shared" si="8"/>
        <v>0</v>
      </c>
      <c r="S36" s="203">
        <f t="shared" si="9"/>
        <v>0</v>
      </c>
      <c r="T36" s="204">
        <f t="shared" si="10"/>
        <v>0</v>
      </c>
      <c r="U36" s="203">
        <f t="shared" si="11"/>
        <v>0</v>
      </c>
      <c r="V36" s="206">
        <f t="shared" si="12"/>
        <v>0</v>
      </c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</row>
    <row r="37" spans="1:81" s="195" customFormat="1">
      <c r="A37" s="196">
        <v>27</v>
      </c>
      <c r="B37" s="192"/>
      <c r="C37" s="197"/>
      <c r="D37" s="198"/>
      <c r="E37" s="198"/>
      <c r="F37" s="192"/>
      <c r="G37" s="208"/>
      <c r="H37" s="207"/>
      <c r="I37" s="207"/>
      <c r="J37" s="201">
        <f t="shared" si="0"/>
        <v>0</v>
      </c>
      <c r="K37" s="201">
        <f t="shared" si="1"/>
        <v>0</v>
      </c>
      <c r="L37" s="202">
        <f t="shared" si="2"/>
        <v>0</v>
      </c>
      <c r="M37" s="201">
        <f t="shared" si="3"/>
        <v>0</v>
      </c>
      <c r="N37" s="203">
        <f t="shared" si="4"/>
        <v>0</v>
      </c>
      <c r="O37" s="204">
        <f t="shared" si="5"/>
        <v>0</v>
      </c>
      <c r="P37" s="203">
        <f t="shared" si="6"/>
        <v>0</v>
      </c>
      <c r="Q37" s="204">
        <f t="shared" si="7"/>
        <v>0</v>
      </c>
      <c r="R37" s="205">
        <f t="shared" si="8"/>
        <v>0</v>
      </c>
      <c r="S37" s="203">
        <f t="shared" si="9"/>
        <v>0</v>
      </c>
      <c r="T37" s="204">
        <f t="shared" si="10"/>
        <v>0</v>
      </c>
      <c r="U37" s="203">
        <f t="shared" si="11"/>
        <v>0</v>
      </c>
      <c r="V37" s="206">
        <f t="shared" si="12"/>
        <v>0</v>
      </c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</row>
    <row r="38" spans="1:81" s="195" customFormat="1">
      <c r="A38" s="196">
        <v>28</v>
      </c>
      <c r="B38" s="192"/>
      <c r="C38" s="197"/>
      <c r="D38" s="198"/>
      <c r="E38" s="198"/>
      <c r="F38" s="192"/>
      <c r="G38" s="208"/>
      <c r="H38" s="207"/>
      <c r="I38" s="207"/>
      <c r="J38" s="201">
        <f t="shared" si="0"/>
        <v>0</v>
      </c>
      <c r="K38" s="201">
        <f t="shared" si="1"/>
        <v>0</v>
      </c>
      <c r="L38" s="202">
        <f t="shared" si="2"/>
        <v>0</v>
      </c>
      <c r="M38" s="201">
        <f t="shared" si="3"/>
        <v>0</v>
      </c>
      <c r="N38" s="203">
        <f t="shared" si="4"/>
        <v>0</v>
      </c>
      <c r="O38" s="204">
        <f t="shared" si="5"/>
        <v>0</v>
      </c>
      <c r="P38" s="203">
        <f t="shared" si="6"/>
        <v>0</v>
      </c>
      <c r="Q38" s="204">
        <f t="shared" si="7"/>
        <v>0</v>
      </c>
      <c r="R38" s="205">
        <f t="shared" si="8"/>
        <v>0</v>
      </c>
      <c r="S38" s="203">
        <f t="shared" si="9"/>
        <v>0</v>
      </c>
      <c r="T38" s="204">
        <f t="shared" si="10"/>
        <v>0</v>
      </c>
      <c r="U38" s="203">
        <f t="shared" si="11"/>
        <v>0</v>
      </c>
      <c r="V38" s="206">
        <f t="shared" si="12"/>
        <v>0</v>
      </c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</row>
    <row r="39" spans="1:81" s="195" customFormat="1">
      <c r="A39" s="196">
        <v>29</v>
      </c>
      <c r="B39" s="192"/>
      <c r="C39" s="197"/>
      <c r="D39" s="198"/>
      <c r="E39" s="198"/>
      <c r="F39" s="192"/>
      <c r="G39" s="208"/>
      <c r="H39" s="207"/>
      <c r="I39" s="207"/>
      <c r="J39" s="201">
        <f t="shared" si="0"/>
        <v>0</v>
      </c>
      <c r="K39" s="201">
        <f t="shared" si="1"/>
        <v>0</v>
      </c>
      <c r="L39" s="202">
        <f t="shared" si="2"/>
        <v>0</v>
      </c>
      <c r="M39" s="201">
        <f t="shared" si="3"/>
        <v>0</v>
      </c>
      <c r="N39" s="203">
        <f t="shared" si="4"/>
        <v>0</v>
      </c>
      <c r="O39" s="204">
        <f t="shared" si="5"/>
        <v>0</v>
      </c>
      <c r="P39" s="203">
        <f t="shared" si="6"/>
        <v>0</v>
      </c>
      <c r="Q39" s="204">
        <f t="shared" si="7"/>
        <v>0</v>
      </c>
      <c r="R39" s="205">
        <f t="shared" si="8"/>
        <v>0</v>
      </c>
      <c r="S39" s="203">
        <f t="shared" si="9"/>
        <v>0</v>
      </c>
      <c r="T39" s="204">
        <f t="shared" si="10"/>
        <v>0</v>
      </c>
      <c r="U39" s="203">
        <f t="shared" si="11"/>
        <v>0</v>
      </c>
      <c r="V39" s="206">
        <f t="shared" si="12"/>
        <v>0</v>
      </c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</row>
    <row r="40" spans="1:81" s="195" customFormat="1">
      <c r="A40" s="196">
        <v>30</v>
      </c>
      <c r="B40" s="192"/>
      <c r="C40" s="197"/>
      <c r="D40" s="198"/>
      <c r="E40" s="198"/>
      <c r="F40" s="192"/>
      <c r="G40" s="208"/>
      <c r="H40" s="207"/>
      <c r="I40" s="207"/>
      <c r="J40" s="201">
        <f t="shared" si="0"/>
        <v>0</v>
      </c>
      <c r="K40" s="201">
        <f t="shared" si="1"/>
        <v>0</v>
      </c>
      <c r="L40" s="202">
        <f t="shared" si="2"/>
        <v>0</v>
      </c>
      <c r="M40" s="201">
        <f t="shared" si="3"/>
        <v>0</v>
      </c>
      <c r="N40" s="203">
        <f t="shared" si="4"/>
        <v>0</v>
      </c>
      <c r="O40" s="204">
        <f t="shared" si="5"/>
        <v>0</v>
      </c>
      <c r="P40" s="203">
        <f t="shared" si="6"/>
        <v>0</v>
      </c>
      <c r="Q40" s="204">
        <f t="shared" si="7"/>
        <v>0</v>
      </c>
      <c r="R40" s="205">
        <f t="shared" si="8"/>
        <v>0</v>
      </c>
      <c r="S40" s="203">
        <f t="shared" si="9"/>
        <v>0</v>
      </c>
      <c r="T40" s="204">
        <f t="shared" si="10"/>
        <v>0</v>
      </c>
      <c r="U40" s="203">
        <f t="shared" si="11"/>
        <v>0</v>
      </c>
      <c r="V40" s="206">
        <f t="shared" si="12"/>
        <v>0</v>
      </c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</row>
    <row r="41" spans="1:81" s="195" customFormat="1">
      <c r="A41" s="196">
        <v>31</v>
      </c>
      <c r="B41" s="192"/>
      <c r="C41" s="197"/>
      <c r="D41" s="198"/>
      <c r="E41" s="198"/>
      <c r="F41" s="192"/>
      <c r="G41" s="208"/>
      <c r="H41" s="207"/>
      <c r="I41" s="207"/>
      <c r="J41" s="201">
        <f t="shared" si="0"/>
        <v>0</v>
      </c>
      <c r="K41" s="201">
        <f t="shared" si="1"/>
        <v>0</v>
      </c>
      <c r="L41" s="202">
        <f t="shared" si="2"/>
        <v>0</v>
      </c>
      <c r="M41" s="201">
        <f t="shared" si="3"/>
        <v>0</v>
      </c>
      <c r="N41" s="203">
        <f t="shared" si="4"/>
        <v>0</v>
      </c>
      <c r="O41" s="204">
        <f t="shared" si="5"/>
        <v>0</v>
      </c>
      <c r="P41" s="203">
        <f t="shared" si="6"/>
        <v>0</v>
      </c>
      <c r="Q41" s="204">
        <f t="shared" si="7"/>
        <v>0</v>
      </c>
      <c r="R41" s="205">
        <f t="shared" si="8"/>
        <v>0</v>
      </c>
      <c r="S41" s="203">
        <f t="shared" si="9"/>
        <v>0</v>
      </c>
      <c r="T41" s="204">
        <f t="shared" si="10"/>
        <v>0</v>
      </c>
      <c r="U41" s="203">
        <f t="shared" si="11"/>
        <v>0</v>
      </c>
      <c r="V41" s="206">
        <f t="shared" si="12"/>
        <v>0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</row>
    <row r="42" spans="1:81" s="195" customFormat="1">
      <c r="A42" s="196">
        <v>32</v>
      </c>
      <c r="B42" s="192"/>
      <c r="C42" s="197"/>
      <c r="D42" s="198"/>
      <c r="E42" s="198"/>
      <c r="F42" s="192"/>
      <c r="G42" s="208"/>
      <c r="H42" s="207"/>
      <c r="I42" s="207"/>
      <c r="J42" s="201">
        <f t="shared" si="0"/>
        <v>0</v>
      </c>
      <c r="K42" s="201">
        <f t="shared" si="1"/>
        <v>0</v>
      </c>
      <c r="L42" s="202">
        <f t="shared" si="2"/>
        <v>0</v>
      </c>
      <c r="M42" s="201">
        <f t="shared" si="3"/>
        <v>0</v>
      </c>
      <c r="N42" s="203">
        <f t="shared" si="4"/>
        <v>0</v>
      </c>
      <c r="O42" s="204">
        <f t="shared" si="5"/>
        <v>0</v>
      </c>
      <c r="P42" s="203">
        <f t="shared" si="6"/>
        <v>0</v>
      </c>
      <c r="Q42" s="204">
        <f t="shared" si="7"/>
        <v>0</v>
      </c>
      <c r="R42" s="205">
        <f t="shared" si="8"/>
        <v>0</v>
      </c>
      <c r="S42" s="203">
        <f t="shared" si="9"/>
        <v>0</v>
      </c>
      <c r="T42" s="204">
        <f t="shared" si="10"/>
        <v>0</v>
      </c>
      <c r="U42" s="203">
        <f t="shared" si="11"/>
        <v>0</v>
      </c>
      <c r="V42" s="206">
        <f t="shared" si="12"/>
        <v>0</v>
      </c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</row>
    <row r="43" spans="1:81" s="195" customFormat="1">
      <c r="A43" s="196">
        <v>33</v>
      </c>
      <c r="B43" s="192"/>
      <c r="C43" s="197"/>
      <c r="D43" s="198"/>
      <c r="E43" s="198"/>
      <c r="F43" s="192"/>
      <c r="G43" s="208"/>
      <c r="H43" s="207"/>
      <c r="I43" s="207"/>
      <c r="J43" s="201">
        <f t="shared" si="0"/>
        <v>0</v>
      </c>
      <c r="K43" s="201">
        <f t="shared" si="1"/>
        <v>0</v>
      </c>
      <c r="L43" s="202">
        <f t="shared" si="2"/>
        <v>0</v>
      </c>
      <c r="M43" s="201">
        <f t="shared" si="3"/>
        <v>0</v>
      </c>
      <c r="N43" s="203">
        <f t="shared" si="4"/>
        <v>0</v>
      </c>
      <c r="O43" s="204">
        <f t="shared" si="5"/>
        <v>0</v>
      </c>
      <c r="P43" s="203">
        <f t="shared" si="6"/>
        <v>0</v>
      </c>
      <c r="Q43" s="204">
        <f t="shared" si="7"/>
        <v>0</v>
      </c>
      <c r="R43" s="205">
        <f t="shared" si="8"/>
        <v>0</v>
      </c>
      <c r="S43" s="203">
        <f t="shared" si="9"/>
        <v>0</v>
      </c>
      <c r="T43" s="204">
        <f t="shared" si="10"/>
        <v>0</v>
      </c>
      <c r="U43" s="203">
        <f t="shared" si="11"/>
        <v>0</v>
      </c>
      <c r="V43" s="206">
        <f t="shared" si="12"/>
        <v>0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</row>
    <row r="44" spans="1:81" s="195" customFormat="1">
      <c r="A44" s="196">
        <v>34</v>
      </c>
      <c r="B44" s="192"/>
      <c r="C44" s="197"/>
      <c r="D44" s="198"/>
      <c r="E44" s="198"/>
      <c r="F44" s="192"/>
      <c r="G44" s="208"/>
      <c r="H44" s="207"/>
      <c r="I44" s="207"/>
      <c r="J44" s="201">
        <f t="shared" si="0"/>
        <v>0</v>
      </c>
      <c r="K44" s="201">
        <f t="shared" si="1"/>
        <v>0</v>
      </c>
      <c r="L44" s="202">
        <f t="shared" si="2"/>
        <v>0</v>
      </c>
      <c r="M44" s="201">
        <f t="shared" si="3"/>
        <v>0</v>
      </c>
      <c r="N44" s="203">
        <f t="shared" si="4"/>
        <v>0</v>
      </c>
      <c r="O44" s="204">
        <f t="shared" si="5"/>
        <v>0</v>
      </c>
      <c r="P44" s="203">
        <f t="shared" si="6"/>
        <v>0</v>
      </c>
      <c r="Q44" s="204">
        <f t="shared" si="7"/>
        <v>0</v>
      </c>
      <c r="R44" s="205">
        <f t="shared" si="8"/>
        <v>0</v>
      </c>
      <c r="S44" s="203">
        <f t="shared" si="9"/>
        <v>0</v>
      </c>
      <c r="T44" s="204">
        <f t="shared" si="10"/>
        <v>0</v>
      </c>
      <c r="U44" s="203">
        <f t="shared" si="11"/>
        <v>0</v>
      </c>
      <c r="V44" s="206">
        <f t="shared" si="12"/>
        <v>0</v>
      </c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</row>
    <row r="45" spans="1:81" s="195" customFormat="1">
      <c r="A45" s="196">
        <v>35</v>
      </c>
      <c r="B45" s="192"/>
      <c r="C45" s="197"/>
      <c r="D45" s="198"/>
      <c r="E45" s="198"/>
      <c r="F45" s="192"/>
      <c r="G45" s="208" t="s">
        <v>1</v>
      </c>
      <c r="H45" s="207"/>
      <c r="I45" s="207"/>
      <c r="J45" s="201">
        <f t="shared" si="0"/>
        <v>0</v>
      </c>
      <c r="K45" s="201">
        <f t="shared" si="1"/>
        <v>0</v>
      </c>
      <c r="L45" s="202">
        <f t="shared" si="2"/>
        <v>0</v>
      </c>
      <c r="M45" s="201">
        <f>IF(J45=0,0,J45-L$7+0.3*F45/1000+0.3)</f>
        <v>0</v>
      </c>
      <c r="N45" s="203">
        <f t="shared" si="4"/>
        <v>0</v>
      </c>
      <c r="O45" s="204">
        <f t="shared" si="5"/>
        <v>0</v>
      </c>
      <c r="P45" s="203">
        <f t="shared" si="6"/>
        <v>0</v>
      </c>
      <c r="Q45" s="204">
        <f t="shared" si="7"/>
        <v>0</v>
      </c>
      <c r="R45" s="205">
        <f t="shared" si="8"/>
        <v>0</v>
      </c>
      <c r="S45" s="203">
        <f t="shared" si="9"/>
        <v>0</v>
      </c>
      <c r="T45" s="204">
        <f t="shared" si="10"/>
        <v>0</v>
      </c>
      <c r="U45" s="203">
        <f t="shared" si="11"/>
        <v>0</v>
      </c>
      <c r="V45" s="206">
        <f t="shared" si="12"/>
        <v>0</v>
      </c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</row>
    <row r="46" spans="1:81" s="195" customFormat="1" ht="17.25" thickBot="1">
      <c r="A46" s="196">
        <v>36</v>
      </c>
      <c r="B46" s="209"/>
      <c r="C46" s="210"/>
      <c r="D46" s="211"/>
      <c r="E46" s="211"/>
      <c r="F46" s="209"/>
      <c r="G46" s="212" t="s">
        <v>1</v>
      </c>
      <c r="H46" s="213"/>
      <c r="I46" s="213"/>
      <c r="J46" s="214">
        <f t="shared" si="0"/>
        <v>0</v>
      </c>
      <c r="K46" s="214">
        <f t="shared" si="1"/>
        <v>0</v>
      </c>
      <c r="L46" s="215">
        <f t="shared" si="2"/>
        <v>0</v>
      </c>
      <c r="M46" s="214">
        <f t="shared" si="3"/>
        <v>0</v>
      </c>
      <c r="N46" s="203">
        <f t="shared" si="4"/>
        <v>0</v>
      </c>
      <c r="O46" s="204">
        <f t="shared" si="5"/>
        <v>0</v>
      </c>
      <c r="P46" s="203">
        <f t="shared" si="6"/>
        <v>0</v>
      </c>
      <c r="Q46" s="204">
        <f t="shared" si="7"/>
        <v>0</v>
      </c>
      <c r="R46" s="205">
        <f t="shared" si="8"/>
        <v>0</v>
      </c>
      <c r="S46" s="203">
        <f t="shared" si="9"/>
        <v>0</v>
      </c>
      <c r="T46" s="204">
        <f t="shared" si="10"/>
        <v>0</v>
      </c>
      <c r="U46" s="203">
        <f t="shared" si="11"/>
        <v>0</v>
      </c>
      <c r="V46" s="206">
        <f t="shared" si="12"/>
        <v>0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</row>
    <row r="47" spans="1:81" ht="17.25" thickBot="1">
      <c r="A47" s="216"/>
      <c r="G47" s="146"/>
      <c r="H47" s="217"/>
      <c r="I47" s="217"/>
      <c r="J47" s="218"/>
      <c r="K47" s="201"/>
      <c r="L47" s="202"/>
      <c r="M47" s="219"/>
      <c r="N47" s="203"/>
      <c r="O47" s="204"/>
      <c r="P47" s="203"/>
      <c r="Q47" s="204"/>
      <c r="R47" s="205"/>
      <c r="S47" s="203"/>
      <c r="T47" s="204"/>
      <c r="U47" s="201"/>
      <c r="V47" s="201"/>
    </row>
    <row r="48" spans="1:81" s="227" customFormat="1" ht="17.25" thickBot="1">
      <c r="A48" s="220" t="s">
        <v>39</v>
      </c>
      <c r="B48" s="144"/>
      <c r="C48" s="144"/>
      <c r="D48" s="144"/>
      <c r="E48" s="144"/>
      <c r="F48" s="144"/>
      <c r="G48" s="153" t="s">
        <v>1</v>
      </c>
      <c r="H48" s="221">
        <f>SUM(H9:H46)</f>
        <v>0</v>
      </c>
      <c r="I48" s="221">
        <f>SUM(I9:I46)</f>
        <v>0</v>
      </c>
      <c r="J48" s="222"/>
      <c r="K48" s="223"/>
      <c r="L48" s="223"/>
      <c r="M48" s="223"/>
      <c r="N48" s="221">
        <f t="shared" ref="N48:S48" si="13">SUM(N11:N46)</f>
        <v>0</v>
      </c>
      <c r="O48" s="224">
        <f t="shared" si="13"/>
        <v>0</v>
      </c>
      <c r="P48" s="221">
        <f t="shared" si="13"/>
        <v>0</v>
      </c>
      <c r="Q48" s="224">
        <f t="shared" si="13"/>
        <v>0</v>
      </c>
      <c r="R48" s="225">
        <f t="shared" si="13"/>
        <v>0</v>
      </c>
      <c r="S48" s="221">
        <f t="shared" si="13"/>
        <v>0</v>
      </c>
      <c r="T48" s="224"/>
      <c r="U48" s="221">
        <f>SUM(U11:U46)</f>
        <v>0</v>
      </c>
      <c r="V48" s="226">
        <f>SUM(V11:V46)</f>
        <v>0</v>
      </c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4"/>
      <c r="BJ48" s="144"/>
      <c r="BK48" s="144"/>
      <c r="BL48" s="144"/>
      <c r="BM48" s="144"/>
      <c r="BN48" s="144"/>
      <c r="BO48" s="144"/>
      <c r="BP48" s="144"/>
      <c r="BQ48" s="144"/>
      <c r="BR48" s="144"/>
      <c r="BS48" s="144"/>
      <c r="BT48" s="144"/>
      <c r="BU48" s="144"/>
      <c r="BV48" s="144"/>
      <c r="BW48" s="144"/>
      <c r="BX48" s="144"/>
      <c r="BY48" s="144"/>
      <c r="BZ48" s="144"/>
      <c r="CA48" s="144"/>
      <c r="CB48" s="144"/>
      <c r="CC48" s="144"/>
    </row>
    <row r="49" spans="1:81">
      <c r="A49" s="184"/>
      <c r="H49" s="192"/>
      <c r="I49" s="192"/>
      <c r="J49" s="192"/>
      <c r="K49" s="192"/>
      <c r="L49" s="192"/>
      <c r="M49" s="192"/>
      <c r="N49" s="192"/>
    </row>
    <row r="50" spans="1:81">
      <c r="A50" s="184"/>
      <c r="H50" s="192"/>
      <c r="I50" s="192"/>
      <c r="J50" s="192"/>
      <c r="K50" s="192"/>
      <c r="L50" s="192"/>
      <c r="M50" s="192"/>
      <c r="N50" s="192"/>
    </row>
    <row r="51" spans="1:81" ht="17.25" thickBot="1">
      <c r="A51" s="184"/>
      <c r="B51" s="144" t="s">
        <v>40</v>
      </c>
      <c r="H51" s="192"/>
      <c r="I51" s="192"/>
      <c r="J51" s="192"/>
      <c r="K51" s="192"/>
      <c r="L51" s="192"/>
      <c r="M51" s="192"/>
      <c r="N51" s="192"/>
    </row>
    <row r="52" spans="1:81" s="234" customFormat="1" ht="17.25" thickBot="1">
      <c r="A52" s="228"/>
      <c r="B52" s="229" t="s">
        <v>41</v>
      </c>
      <c r="C52" s="185" t="s">
        <v>42</v>
      </c>
      <c r="D52" s="230" t="s">
        <v>43</v>
      </c>
      <c r="E52" s="230" t="s">
        <v>44</v>
      </c>
      <c r="F52" s="230" t="s">
        <v>45</v>
      </c>
      <c r="G52" s="230" t="s">
        <v>46</v>
      </c>
      <c r="H52" s="185" t="s">
        <v>47</v>
      </c>
      <c r="I52" s="185" t="s">
        <v>48</v>
      </c>
      <c r="J52" s="186" t="s">
        <v>49</v>
      </c>
      <c r="K52" s="186" t="s">
        <v>50</v>
      </c>
      <c r="L52" s="187" t="s">
        <v>51</v>
      </c>
      <c r="M52" s="186" t="s">
        <v>52</v>
      </c>
      <c r="N52" s="186" t="s">
        <v>53</v>
      </c>
      <c r="O52" s="186" t="s">
        <v>54</v>
      </c>
      <c r="P52" s="231" t="s">
        <v>37</v>
      </c>
      <c r="Q52" s="186" t="s">
        <v>55</v>
      </c>
      <c r="R52" s="141"/>
      <c r="S52" s="232" t="s">
        <v>56</v>
      </c>
      <c r="T52" s="232" t="s">
        <v>57</v>
      </c>
      <c r="U52" s="232" t="s">
        <v>58</v>
      </c>
      <c r="V52" s="233" t="s">
        <v>59</v>
      </c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1"/>
    </row>
    <row r="53" spans="1:81" ht="17.25" thickBot="1">
      <c r="A53" s="235">
        <v>1</v>
      </c>
      <c r="B53" s="236" t="s">
        <v>60</v>
      </c>
      <c r="C53" s="237"/>
      <c r="D53" s="238">
        <v>4</v>
      </c>
      <c r="E53" s="239">
        <v>2.2000000000000002</v>
      </c>
      <c r="F53" s="240">
        <v>0</v>
      </c>
      <c r="G53" s="240">
        <v>0</v>
      </c>
      <c r="H53" s="240">
        <v>0</v>
      </c>
      <c r="I53" s="217">
        <f>(IF(D53=4,F$115,F$116)*L6*(E53-L7)+F53*I3*I$4+(L$7-0.15)*I$5)*C53</f>
        <v>0</v>
      </c>
      <c r="J53" s="217">
        <f>C53*0.5*F$4</f>
        <v>0</v>
      </c>
      <c r="K53" s="241">
        <f>C53*I$7*I$3*I$4</f>
        <v>0</v>
      </c>
      <c r="L53" s="217">
        <f>G53*C53+I53+J53+K53</f>
        <v>0</v>
      </c>
      <c r="M53" s="217">
        <f>C53*(C$59+H53)</f>
        <v>0</v>
      </c>
      <c r="N53" s="217">
        <f>C53*E53*1*F$3</f>
        <v>0</v>
      </c>
      <c r="O53" s="217">
        <f>IF(C53=0,0,(L53+M53+N53)/C53)</f>
        <v>0</v>
      </c>
      <c r="P53" s="201">
        <f>L53+M53+N53</f>
        <v>0</v>
      </c>
      <c r="Q53" s="201">
        <f>O53*F$6</f>
        <v>0</v>
      </c>
      <c r="S53" s="242"/>
      <c r="T53" s="243"/>
      <c r="U53" s="242"/>
      <c r="V53" s="244"/>
    </row>
    <row r="54" spans="1:81" s="195" customFormat="1">
      <c r="A54" s="235">
        <v>2</v>
      </c>
      <c r="B54" s="245" t="s">
        <v>62</v>
      </c>
      <c r="C54" s="246"/>
      <c r="D54" s="247">
        <v>4</v>
      </c>
      <c r="E54" s="199">
        <v>2.2000000000000002</v>
      </c>
      <c r="F54" s="203">
        <v>0</v>
      </c>
      <c r="G54" s="248">
        <v>0</v>
      </c>
      <c r="H54" s="248">
        <v>0</v>
      </c>
      <c r="I54" s="203">
        <f>(F119*L6*(E54-L7)+F54*I3*I4+(L7-0.15)*I5*2)*C54</f>
        <v>0</v>
      </c>
      <c r="J54" s="203">
        <f>C54*1*F$4</f>
        <v>0</v>
      </c>
      <c r="K54" s="241">
        <f>C54*I$7*2*I$3*I$4</f>
        <v>0</v>
      </c>
      <c r="L54" s="203">
        <f>G54*C54+I54+J54+K54</f>
        <v>0</v>
      </c>
      <c r="M54" s="203">
        <f>C54*(C$60+H54)</f>
        <v>0</v>
      </c>
      <c r="N54" s="203">
        <f>C54*E54*1.8*F$3</f>
        <v>0</v>
      </c>
      <c r="O54" s="203">
        <f>IF(C54=0,0,(L54+M54+N54)/C54)</f>
        <v>0</v>
      </c>
      <c r="P54" s="201">
        <f>L54+M54+N54</f>
        <v>0</v>
      </c>
      <c r="Q54" s="201">
        <f>O54*F$6</f>
        <v>0</v>
      </c>
      <c r="R54" s="142"/>
      <c r="S54" s="249" t="s">
        <v>61</v>
      </c>
      <c r="T54" s="250">
        <f>Q48+L57</f>
        <v>0</v>
      </c>
      <c r="U54" s="251">
        <f>(F6-1)*T54</f>
        <v>0</v>
      </c>
      <c r="V54" s="252">
        <f>T54+U54</f>
        <v>0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</row>
    <row r="55" spans="1:81" s="195" customFormat="1">
      <c r="A55" s="235">
        <v>3</v>
      </c>
      <c r="B55" s="245" t="s">
        <v>64</v>
      </c>
      <c r="C55" s="246"/>
      <c r="D55" s="247">
        <v>4</v>
      </c>
      <c r="E55" s="199">
        <v>2.2000000000000002</v>
      </c>
      <c r="F55" s="203">
        <v>0</v>
      </c>
      <c r="G55" s="248">
        <v>0</v>
      </c>
      <c r="H55" s="248">
        <v>0</v>
      </c>
      <c r="I55" s="203">
        <f>(F117*L$6*(E55-L$7)+F55*I$3*I$4+(L7-0.15)*I$5)*C55</f>
        <v>0</v>
      </c>
      <c r="J55" s="203">
        <f>C55*0.5*F$4</f>
        <v>0</v>
      </c>
      <c r="K55" s="241">
        <f>C55*(F59*L6)</f>
        <v>0</v>
      </c>
      <c r="L55" s="203">
        <f>G55*C55+I55+J55+K55</f>
        <v>0</v>
      </c>
      <c r="M55" s="203">
        <f>C55*(C$61+H55)</f>
        <v>0</v>
      </c>
      <c r="N55" s="203">
        <f>C55*E55*1*F$3</f>
        <v>0</v>
      </c>
      <c r="O55" s="203">
        <f>IF(C55=0,0,(L55+M55+N55)/C55)</f>
        <v>0</v>
      </c>
      <c r="P55" s="201">
        <f>L55+M55+N55</f>
        <v>0</v>
      </c>
      <c r="Q55" s="201">
        <f>O55*F$6</f>
        <v>0</v>
      </c>
      <c r="R55" s="142"/>
      <c r="S55" s="253" t="s">
        <v>63</v>
      </c>
      <c r="T55" s="254">
        <f>R48+M57</f>
        <v>0</v>
      </c>
      <c r="U55" s="255">
        <f>(F6-1)*T55</f>
        <v>0</v>
      </c>
      <c r="V55" s="252">
        <f>T55+U55</f>
        <v>0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</row>
    <row r="56" spans="1:81" s="195" customFormat="1" ht="17.25" thickBot="1">
      <c r="A56" s="256">
        <v>4</v>
      </c>
      <c r="B56" s="257" t="s">
        <v>365</v>
      </c>
      <c r="C56" s="258"/>
      <c r="D56" s="259">
        <v>4</v>
      </c>
      <c r="E56" s="260">
        <v>2.2000000000000002</v>
      </c>
      <c r="F56" s="261">
        <v>0</v>
      </c>
      <c r="G56" s="248">
        <v>0</v>
      </c>
      <c r="H56" s="248">
        <v>0</v>
      </c>
      <c r="I56" s="203">
        <f>(F118*L$6*(E56-L$7)+F56*I$3*I$4+(L7-0.15)*I$5)*C56</f>
        <v>0</v>
      </c>
      <c r="J56" s="203">
        <f>C56*1*F$4</f>
        <v>0</v>
      </c>
      <c r="K56" s="241">
        <f>C56*(F60*L6)</f>
        <v>0</v>
      </c>
      <c r="L56" s="203">
        <f>G56*C56+I56+J56+K56</f>
        <v>0</v>
      </c>
      <c r="M56" s="203">
        <f>C56*(C$62+H56)</f>
        <v>0</v>
      </c>
      <c r="N56" s="203">
        <f>C56*E56*1.8*F$3</f>
        <v>0</v>
      </c>
      <c r="O56" s="203">
        <f>IF(C56=0,0,(L56+M56+N56)/C56)</f>
        <v>0</v>
      </c>
      <c r="P56" s="201">
        <f>L56+M56+N56</f>
        <v>0</v>
      </c>
      <c r="Q56" s="201">
        <f>O56*F$6</f>
        <v>0</v>
      </c>
      <c r="R56" s="142"/>
      <c r="S56" s="253" t="s">
        <v>65</v>
      </c>
      <c r="T56" s="254">
        <f>S48+N57</f>
        <v>0</v>
      </c>
      <c r="U56" s="255">
        <f>(F6-1)*T56</f>
        <v>0</v>
      </c>
      <c r="V56" s="252">
        <f>T56+U56</f>
        <v>0</v>
      </c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</row>
    <row r="57" spans="1:81" s="272" customFormat="1" ht="17.25" thickBot="1">
      <c r="A57" s="262" t="s">
        <v>66</v>
      </c>
      <c r="B57" s="263"/>
      <c r="C57" s="264">
        <f>SUM(C53:C56)</f>
        <v>0</v>
      </c>
      <c r="D57" s="263"/>
      <c r="E57" s="263"/>
      <c r="F57" s="265" t="s">
        <v>1</v>
      </c>
      <c r="G57" s="266">
        <f t="shared" ref="G57:N57" si="14">SUM(G53:G56)</f>
        <v>0</v>
      </c>
      <c r="H57" s="266">
        <f t="shared" si="14"/>
        <v>0</v>
      </c>
      <c r="I57" s="266">
        <f t="shared" si="14"/>
        <v>0</v>
      </c>
      <c r="J57" s="266">
        <f t="shared" si="14"/>
        <v>0</v>
      </c>
      <c r="K57" s="266">
        <f t="shared" si="14"/>
        <v>0</v>
      </c>
      <c r="L57" s="266">
        <f t="shared" si="14"/>
        <v>0</v>
      </c>
      <c r="M57" s="266">
        <f t="shared" si="14"/>
        <v>0</v>
      </c>
      <c r="N57" s="266">
        <f t="shared" si="14"/>
        <v>0</v>
      </c>
      <c r="O57" s="266"/>
      <c r="P57" s="267">
        <f>SUM(P53:P56)</f>
        <v>0</v>
      </c>
      <c r="Q57" s="268">
        <f>SUM(Q53:Q56)</f>
        <v>0</v>
      </c>
      <c r="R57" s="168"/>
      <c r="S57" s="269" t="s">
        <v>67</v>
      </c>
      <c r="T57" s="270">
        <f>SUM(T54:T56)</f>
        <v>0</v>
      </c>
      <c r="U57" s="271">
        <f>(F6-1)*T57</f>
        <v>0</v>
      </c>
      <c r="V57" s="270">
        <f>T57+U57</f>
        <v>0</v>
      </c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  <c r="AZ57" s="168"/>
      <c r="BA57" s="168"/>
      <c r="BB57" s="168"/>
      <c r="BC57" s="168"/>
      <c r="BD57" s="168"/>
      <c r="BE57" s="168"/>
      <c r="BF57" s="168"/>
      <c r="BG57" s="168"/>
      <c r="BH57" s="168"/>
      <c r="BI57" s="168"/>
      <c r="BJ57" s="168"/>
      <c r="BK57" s="168"/>
      <c r="BL57" s="168"/>
      <c r="BM57" s="168"/>
      <c r="BN57" s="168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</row>
    <row r="58" spans="1:81" ht="17.25" thickBot="1">
      <c r="A58" s="184"/>
    </row>
    <row r="59" spans="1:81">
      <c r="B59" s="273" t="s">
        <v>68</v>
      </c>
      <c r="C59" s="274">
        <v>200</v>
      </c>
      <c r="E59" s="147" t="s">
        <v>366</v>
      </c>
      <c r="F59" s="275">
        <v>465</v>
      </c>
      <c r="G59" s="276" t="s">
        <v>1</v>
      </c>
      <c r="Q59" s="277"/>
    </row>
    <row r="60" spans="1:81" ht="17.25" thickBot="1">
      <c r="B60" s="154" t="s">
        <v>69</v>
      </c>
      <c r="C60" s="278">
        <v>250</v>
      </c>
      <c r="E60" s="178" t="s">
        <v>367</v>
      </c>
      <c r="F60" s="279">
        <v>715</v>
      </c>
      <c r="G60" s="146" t="s">
        <v>1</v>
      </c>
      <c r="Q60" s="280"/>
    </row>
    <row r="61" spans="1:81">
      <c r="B61" s="154" t="s">
        <v>70</v>
      </c>
      <c r="C61" s="278">
        <v>220</v>
      </c>
      <c r="G61" s="146" t="s">
        <v>1</v>
      </c>
      <c r="Q61" s="280"/>
    </row>
    <row r="62" spans="1:81" ht="17.25" thickBot="1">
      <c r="A62" s="281"/>
      <c r="B62" s="175" t="s">
        <v>368</v>
      </c>
      <c r="C62" s="282">
        <v>280</v>
      </c>
      <c r="D62" s="281"/>
      <c r="E62" s="281"/>
      <c r="F62" s="281"/>
      <c r="G62" s="283" t="s">
        <v>1</v>
      </c>
      <c r="H62" s="281"/>
      <c r="I62" s="281"/>
      <c r="J62" s="281"/>
      <c r="K62" s="281"/>
      <c r="L62" s="281"/>
      <c r="M62" s="281"/>
      <c r="N62" s="281"/>
      <c r="O62" s="281"/>
      <c r="P62" s="281"/>
      <c r="Q62" s="284"/>
      <c r="R62" s="281"/>
      <c r="S62" s="281"/>
      <c r="T62" s="281"/>
      <c r="U62" s="281"/>
      <c r="V62" s="281"/>
    </row>
    <row r="63" spans="1:81">
      <c r="B63" s="285"/>
      <c r="C63" s="285"/>
      <c r="D63" s="285"/>
      <c r="E63" s="286"/>
      <c r="F63" s="285"/>
      <c r="I63" s="285"/>
      <c r="J63" s="287"/>
      <c r="K63" s="287"/>
      <c r="Q63" s="277"/>
    </row>
    <row r="64" spans="1:81" ht="17.25" thickBot="1">
      <c r="A64" s="216" t="s">
        <v>71</v>
      </c>
    </row>
    <row r="65" spans="1:12">
      <c r="A65" s="288" t="s">
        <v>72</v>
      </c>
      <c r="B65" s="289">
        <v>50</v>
      </c>
      <c r="C65" s="289">
        <v>601</v>
      </c>
      <c r="D65" s="289">
        <v>826</v>
      </c>
      <c r="E65" s="289">
        <v>1051</v>
      </c>
      <c r="F65" s="289">
        <v>1501</v>
      </c>
      <c r="G65" s="290" t="s">
        <v>73</v>
      </c>
      <c r="H65" s="289">
        <v>50</v>
      </c>
      <c r="I65" s="289">
        <v>451</v>
      </c>
      <c r="J65" s="289">
        <v>601</v>
      </c>
      <c r="K65" s="289">
        <v>826</v>
      </c>
      <c r="L65" s="291">
        <v>1051</v>
      </c>
    </row>
    <row r="66" spans="1:12" ht="17.25" thickBot="1">
      <c r="A66" s="292" t="s">
        <v>74</v>
      </c>
      <c r="B66" s="293">
        <v>1200</v>
      </c>
      <c r="C66" s="293">
        <v>1500</v>
      </c>
      <c r="D66" s="293">
        <v>1800</v>
      </c>
      <c r="E66" s="293">
        <v>2400</v>
      </c>
      <c r="F66" s="293" t="e">
        <f>NA()</f>
        <v>#N/A</v>
      </c>
      <c r="G66" s="294" t="s">
        <v>75</v>
      </c>
      <c r="H66" s="293">
        <v>1200</v>
      </c>
      <c r="I66" s="293">
        <v>1500</v>
      </c>
      <c r="J66" s="293">
        <v>1800</v>
      </c>
      <c r="K66" s="293">
        <v>2400</v>
      </c>
      <c r="L66" s="295" t="e">
        <f>NA()</f>
        <v>#N/A</v>
      </c>
    </row>
    <row r="67" spans="1:12">
      <c r="A67" s="216"/>
      <c r="G67" s="216"/>
    </row>
    <row r="68" spans="1:12" ht="17.25" thickBot="1">
      <c r="A68" s="216"/>
      <c r="G68" s="216"/>
    </row>
    <row r="69" spans="1:12">
      <c r="A69" s="142" t="s">
        <v>76</v>
      </c>
      <c r="C69" s="296" t="s">
        <v>381</v>
      </c>
      <c r="D69" s="297"/>
      <c r="E69" s="297"/>
      <c r="F69" s="298"/>
      <c r="G69" s="299" t="s">
        <v>77</v>
      </c>
    </row>
    <row r="70" spans="1:12">
      <c r="C70" s="300">
        <v>1200</v>
      </c>
      <c r="D70" s="301" t="e">
        <v>#N/A</v>
      </c>
      <c r="E70" s="302">
        <v>1800</v>
      </c>
      <c r="F70" s="303" t="e">
        <v>#N/A</v>
      </c>
      <c r="G70" s="299" t="s">
        <v>78</v>
      </c>
    </row>
    <row r="71" spans="1:12">
      <c r="C71" s="300">
        <v>1201</v>
      </c>
      <c r="D71" s="302">
        <v>2254.681</v>
      </c>
      <c r="E71" s="302">
        <v>1801.67</v>
      </c>
      <c r="F71" s="304">
        <v>6780.1253412967044</v>
      </c>
      <c r="G71" s="299" t="s">
        <v>79</v>
      </c>
    </row>
    <row r="72" spans="1:12">
      <c r="C72" s="300">
        <v>1201.33</v>
      </c>
      <c r="D72" s="302">
        <v>2603.3108470000002</v>
      </c>
      <c r="E72" s="302">
        <v>1802</v>
      </c>
      <c r="F72" s="304">
        <v>7531.5511602967044</v>
      </c>
    </row>
    <row r="73" spans="1:12">
      <c r="C73" s="300">
        <v>1201.67</v>
      </c>
      <c r="D73" s="302">
        <v>2952.9406940000003</v>
      </c>
      <c r="E73" s="302">
        <v>1802.33</v>
      </c>
      <c r="F73" s="304">
        <v>8282.9769792967054</v>
      </c>
    </row>
    <row r="74" spans="1:12">
      <c r="C74" s="300">
        <v>1202</v>
      </c>
      <c r="D74" s="302">
        <v>3301.5705410000005</v>
      </c>
      <c r="E74" s="302">
        <v>1802.67</v>
      </c>
      <c r="F74" s="304">
        <v>9035.5016993956069</v>
      </c>
    </row>
    <row r="75" spans="1:12">
      <c r="C75" s="300">
        <v>1202.33</v>
      </c>
      <c r="D75" s="302">
        <v>3205.1118880000004</v>
      </c>
      <c r="E75" s="302">
        <v>1803</v>
      </c>
      <c r="F75" s="304">
        <v>9786.927518395607</v>
      </c>
    </row>
    <row r="76" spans="1:12">
      <c r="C76" s="300">
        <v>1202.67</v>
      </c>
      <c r="D76" s="302">
        <v>3554.7417350000005</v>
      </c>
      <c r="E76" s="302">
        <v>1803.33</v>
      </c>
      <c r="F76" s="304">
        <v>10538.353337395607</v>
      </c>
    </row>
    <row r="77" spans="1:12">
      <c r="C77" s="300">
        <v>1203</v>
      </c>
      <c r="D77" s="302">
        <v>3903.3715820000007</v>
      </c>
      <c r="E77" s="302">
        <v>1803.67</v>
      </c>
      <c r="F77" s="304">
        <v>11290.878057494509</v>
      </c>
    </row>
    <row r="78" spans="1:12">
      <c r="C78" s="300">
        <v>1203.33</v>
      </c>
      <c r="D78" s="302">
        <v>4252.0014290000008</v>
      </c>
      <c r="E78" s="302">
        <v>1804</v>
      </c>
      <c r="F78" s="304">
        <v>10679.563623000002</v>
      </c>
    </row>
    <row r="79" spans="1:12">
      <c r="C79" s="300">
        <v>1203.67</v>
      </c>
      <c r="D79" s="302">
        <v>4600.6312760000019</v>
      </c>
      <c r="E79" s="302">
        <v>1804.33</v>
      </c>
      <c r="F79" s="304">
        <v>11028.193470000002</v>
      </c>
    </row>
    <row r="80" spans="1:12">
      <c r="C80" s="300">
        <v>1204</v>
      </c>
      <c r="D80" s="302">
        <v>4950.261123000002</v>
      </c>
      <c r="E80" s="302">
        <v>1804.67</v>
      </c>
      <c r="F80" s="304">
        <v>11376.823317000002</v>
      </c>
    </row>
    <row r="81" spans="3:6">
      <c r="C81" s="300">
        <v>1204.33</v>
      </c>
      <c r="D81" s="302">
        <v>5298.8909700000022</v>
      </c>
      <c r="E81" s="302">
        <v>1805</v>
      </c>
      <c r="F81" s="304">
        <v>11725.453164000002</v>
      </c>
    </row>
    <row r="82" spans="3:6">
      <c r="C82" s="300">
        <v>1204.67</v>
      </c>
      <c r="D82" s="302">
        <v>5647.5208170000024</v>
      </c>
      <c r="E82" s="302">
        <v>1805.33</v>
      </c>
      <c r="F82" s="304">
        <v>12075.083011000002</v>
      </c>
    </row>
    <row r="83" spans="3:6">
      <c r="C83" s="300">
        <v>1205</v>
      </c>
      <c r="D83" s="302">
        <v>5996.1506640000025</v>
      </c>
      <c r="E83" s="302">
        <v>1805.67</v>
      </c>
      <c r="F83" s="304">
        <v>12423.712858000003</v>
      </c>
    </row>
    <row r="84" spans="3:6">
      <c r="C84" s="300">
        <v>1205.33</v>
      </c>
      <c r="D84" s="302">
        <v>6345.7805110000027</v>
      </c>
      <c r="E84" s="302">
        <v>1806</v>
      </c>
      <c r="F84" s="304">
        <v>14732.142705000002</v>
      </c>
    </row>
    <row r="85" spans="3:6">
      <c r="C85" s="300">
        <v>1205.67</v>
      </c>
      <c r="D85" s="302">
        <v>6694.4103580000028</v>
      </c>
      <c r="E85" s="302">
        <v>1806.33</v>
      </c>
      <c r="F85" s="304">
        <v>15080.772552000002</v>
      </c>
    </row>
    <row r="86" spans="3:6">
      <c r="C86" s="300">
        <v>1206</v>
      </c>
      <c r="D86" s="302">
        <v>9002.8402050000022</v>
      </c>
      <c r="E86" s="302">
        <v>1806.67</v>
      </c>
      <c r="F86" s="304">
        <v>15430.402399000002</v>
      </c>
    </row>
    <row r="87" spans="3:6">
      <c r="C87" s="300">
        <v>1206.33</v>
      </c>
      <c r="D87" s="302">
        <v>9352.4700520000024</v>
      </c>
      <c r="E87" s="302">
        <v>1807</v>
      </c>
      <c r="F87" s="304">
        <v>15779.032246000002</v>
      </c>
    </row>
    <row r="88" spans="3:6">
      <c r="C88" s="300">
        <v>1206.67</v>
      </c>
      <c r="D88" s="302">
        <v>9701.0998990000026</v>
      </c>
      <c r="E88" s="302">
        <v>1807.33</v>
      </c>
      <c r="F88" s="304">
        <v>16127.662093000003</v>
      </c>
    </row>
    <row r="89" spans="3:6">
      <c r="C89" s="300">
        <v>1207</v>
      </c>
      <c r="D89" s="302">
        <v>10049.729746000003</v>
      </c>
      <c r="E89" s="302">
        <v>1807.67</v>
      </c>
      <c r="F89" s="304">
        <v>16477.291940000003</v>
      </c>
    </row>
    <row r="90" spans="3:6">
      <c r="C90" s="300">
        <v>1207.33</v>
      </c>
      <c r="D90" s="302">
        <v>10398.359593000003</v>
      </c>
      <c r="E90" s="302">
        <v>1808</v>
      </c>
      <c r="F90" s="304">
        <v>16825.921787000003</v>
      </c>
    </row>
    <row r="91" spans="3:6">
      <c r="C91" s="300">
        <v>1207.67</v>
      </c>
      <c r="D91" s="302">
        <v>10747.989440000003</v>
      </c>
      <c r="E91" s="302">
        <v>1808.33</v>
      </c>
      <c r="F91" s="304">
        <v>17174.551634000003</v>
      </c>
    </row>
    <row r="92" spans="3:6">
      <c r="C92" s="300">
        <v>1208</v>
      </c>
      <c r="D92" s="302">
        <v>11096.619287000003</v>
      </c>
      <c r="E92" s="302">
        <v>1808.67</v>
      </c>
      <c r="F92" s="304">
        <v>17523.181481000003</v>
      </c>
    </row>
    <row r="93" spans="3:6">
      <c r="C93" s="300">
        <v>1208.33</v>
      </c>
      <c r="D93" s="302">
        <v>11445.249134000003</v>
      </c>
      <c r="E93" s="302">
        <v>2400</v>
      </c>
      <c r="F93" s="305" t="e">
        <v>#N/A</v>
      </c>
    </row>
    <row r="94" spans="3:6">
      <c r="C94" s="300">
        <v>1208.67</v>
      </c>
      <c r="D94" s="302">
        <v>11793.878981000003</v>
      </c>
      <c r="E94" s="302">
        <v>2402</v>
      </c>
      <c r="F94" s="304">
        <v>14297.891812000002</v>
      </c>
    </row>
    <row r="95" spans="3:6">
      <c r="C95" s="300">
        <v>1500</v>
      </c>
      <c r="D95" s="306" t="e">
        <v>#N/A</v>
      </c>
      <c r="E95" s="302">
        <v>2402.33</v>
      </c>
      <c r="F95" s="304">
        <v>15637.478416000002</v>
      </c>
    </row>
    <row r="96" spans="3:6">
      <c r="C96" s="300">
        <v>1501.33</v>
      </c>
      <c r="D96" s="302">
        <v>4407.6950489999999</v>
      </c>
      <c r="E96" s="302">
        <v>2402.67</v>
      </c>
      <c r="F96" s="304">
        <v>16978.065020000002</v>
      </c>
    </row>
    <row r="97" spans="3:6">
      <c r="C97" s="300">
        <v>1501.67</v>
      </c>
      <c r="D97" s="302">
        <v>4936.123098</v>
      </c>
      <c r="E97" s="302">
        <v>2403</v>
      </c>
      <c r="F97" s="304">
        <v>18317.651624000006</v>
      </c>
    </row>
    <row r="98" spans="3:6">
      <c r="C98" s="300">
        <v>1502</v>
      </c>
      <c r="D98" s="302">
        <v>5465.5511470000001</v>
      </c>
      <c r="E98" s="302">
        <v>2403.33</v>
      </c>
      <c r="F98" s="304">
        <v>19657.238228000002</v>
      </c>
    </row>
    <row r="99" spans="3:6">
      <c r="C99" s="300">
        <v>1502.33</v>
      </c>
      <c r="D99" s="302">
        <v>5993.9791960000011</v>
      </c>
      <c r="E99" s="302">
        <v>2403.67</v>
      </c>
      <c r="F99" s="304">
        <v>20997.824832000006</v>
      </c>
    </row>
    <row r="100" spans="3:6">
      <c r="C100" s="300">
        <v>1502.67</v>
      </c>
      <c r="D100" s="302">
        <v>6522.4072450000012</v>
      </c>
      <c r="E100" s="302">
        <v>2404</v>
      </c>
      <c r="F100" s="304">
        <v>19674.547622999999</v>
      </c>
    </row>
    <row r="101" spans="3:6">
      <c r="C101" s="300">
        <v>1503</v>
      </c>
      <c r="D101" s="302">
        <v>7050.8352940000013</v>
      </c>
      <c r="E101" s="302">
        <v>2404.33</v>
      </c>
      <c r="F101" s="304">
        <v>20023.177469999999</v>
      </c>
    </row>
    <row r="102" spans="3:6">
      <c r="C102" s="300">
        <v>1503.33</v>
      </c>
      <c r="D102" s="302">
        <v>7580.2633430000014</v>
      </c>
      <c r="E102" s="302">
        <v>2404.67</v>
      </c>
      <c r="F102" s="304">
        <v>20371.807316999999</v>
      </c>
    </row>
    <row r="103" spans="3:6">
      <c r="C103" s="300">
        <v>1503.67</v>
      </c>
      <c r="D103" s="302">
        <v>8108.6913920000015</v>
      </c>
      <c r="E103" s="302">
        <v>2405</v>
      </c>
      <c r="F103" s="304">
        <v>20720.437163999999</v>
      </c>
    </row>
    <row r="104" spans="3:6">
      <c r="C104" s="300">
        <v>1504</v>
      </c>
      <c r="D104" s="302">
        <v>7955.9736230000017</v>
      </c>
      <c r="E104" s="302">
        <v>2405.33</v>
      </c>
      <c r="F104" s="304">
        <v>21069.067010999999</v>
      </c>
    </row>
    <row r="105" spans="3:6">
      <c r="C105" s="300">
        <v>1504.33</v>
      </c>
      <c r="D105" s="302">
        <v>8304.6034700000018</v>
      </c>
      <c r="E105" s="302">
        <v>2405.67</v>
      </c>
      <c r="F105" s="304">
        <v>21418.696857999999</v>
      </c>
    </row>
    <row r="106" spans="3:6">
      <c r="C106" s="300">
        <v>1504.67</v>
      </c>
      <c r="D106" s="302">
        <v>8653.233317000002</v>
      </c>
      <c r="E106" s="302">
        <v>2406</v>
      </c>
      <c r="F106" s="304">
        <v>23727.126704999999</v>
      </c>
    </row>
    <row r="107" spans="3:6">
      <c r="C107" s="300">
        <v>1505</v>
      </c>
      <c r="D107" s="302">
        <v>9002.8631640000021</v>
      </c>
      <c r="E107" s="302">
        <v>2406.33</v>
      </c>
      <c r="F107" s="304">
        <v>24075.756551999999</v>
      </c>
    </row>
    <row r="108" spans="3:6">
      <c r="C108" s="300">
        <v>1505.33</v>
      </c>
      <c r="D108" s="302">
        <v>9351.4930110000023</v>
      </c>
      <c r="E108" s="302">
        <v>2406.67</v>
      </c>
      <c r="F108" s="304">
        <v>24424.386398999999</v>
      </c>
    </row>
    <row r="109" spans="3:6">
      <c r="C109" s="300">
        <v>1505.67</v>
      </c>
      <c r="D109" s="302">
        <v>9700.1228580000025</v>
      </c>
      <c r="E109" s="302">
        <v>2407</v>
      </c>
      <c r="F109" s="304">
        <v>24774.016245999999</v>
      </c>
    </row>
    <row r="110" spans="3:6">
      <c r="C110" s="300">
        <v>1506</v>
      </c>
      <c r="D110" s="302">
        <v>12008.552705000002</v>
      </c>
      <c r="E110" s="302">
        <v>2407.33</v>
      </c>
      <c r="F110" s="304">
        <v>25122.646092999999</v>
      </c>
    </row>
    <row r="111" spans="3:6">
      <c r="C111" s="300">
        <v>1506.33</v>
      </c>
      <c r="D111" s="302">
        <v>12358.182552000002</v>
      </c>
      <c r="E111" s="302">
        <v>2407.67</v>
      </c>
      <c r="F111" s="304">
        <v>25471.27594</v>
      </c>
    </row>
    <row r="112" spans="3:6">
      <c r="C112" s="300">
        <v>1506.67</v>
      </c>
      <c r="D112" s="302">
        <v>12706.812399000002</v>
      </c>
      <c r="E112" s="302">
        <v>2408</v>
      </c>
      <c r="F112" s="304">
        <v>25820.905787</v>
      </c>
    </row>
    <row r="113" spans="3:6">
      <c r="C113" s="300">
        <v>1507</v>
      </c>
      <c r="D113" s="302">
        <v>13055.442246000002</v>
      </c>
      <c r="E113" s="302">
        <v>2408.33</v>
      </c>
      <c r="F113" s="304">
        <v>26169.535634</v>
      </c>
    </row>
    <row r="114" spans="3:6">
      <c r="C114" s="300">
        <v>1507.33</v>
      </c>
      <c r="D114" s="302">
        <v>13405.072093000002</v>
      </c>
      <c r="E114" s="302">
        <v>2408.67</v>
      </c>
      <c r="F114" s="304">
        <v>26518.165481</v>
      </c>
    </row>
    <row r="115" spans="3:6">
      <c r="C115" s="300">
        <v>1507.67</v>
      </c>
      <c r="D115" s="302">
        <v>13753.701940000003</v>
      </c>
      <c r="E115" s="307" t="s">
        <v>80</v>
      </c>
      <c r="F115" s="308">
        <v>685</v>
      </c>
    </row>
    <row r="116" spans="3:6">
      <c r="C116" s="300">
        <v>1508</v>
      </c>
      <c r="D116" s="302">
        <v>14102.331787000003</v>
      </c>
      <c r="E116" s="309" t="s">
        <v>81</v>
      </c>
      <c r="F116" s="310">
        <v>925.9</v>
      </c>
    </row>
    <row r="117" spans="3:6">
      <c r="C117" s="300">
        <v>1508.33</v>
      </c>
      <c r="D117" s="302">
        <v>14450.961634000003</v>
      </c>
      <c r="E117" s="309" t="s">
        <v>82</v>
      </c>
      <c r="F117" s="310">
        <v>1023.3</v>
      </c>
    </row>
    <row r="118" spans="3:6">
      <c r="C118" s="300">
        <v>1508.67</v>
      </c>
      <c r="D118" s="302">
        <v>14800.591481000003</v>
      </c>
      <c r="E118" s="309" t="s">
        <v>83</v>
      </c>
      <c r="F118" s="310">
        <v>1588.5</v>
      </c>
    </row>
    <row r="119" spans="3:6" ht="17.25" thickBot="1">
      <c r="C119" s="311"/>
      <c r="D119" s="312"/>
      <c r="E119" s="313" t="s">
        <v>84</v>
      </c>
      <c r="F119" s="314">
        <v>1329.3</v>
      </c>
    </row>
  </sheetData>
  <mergeCells count="1">
    <mergeCell ref="A1:V1"/>
  </mergeCells>
  <printOptions horizontalCentered="1" verticalCentered="1" gridLines="1"/>
  <pageMargins left="0.5" right="0.25" top="0.25" bottom="0.25" header="0.25" footer="0.25"/>
  <pageSetup paperSize="3" scale="70" orientation="landscape" horizontalDpi="4294967295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CC119"/>
  <sheetViews>
    <sheetView view="pageBreakPreview" zoomScale="85" zoomScaleNormal="100" zoomScaleSheetLayoutView="85" workbookViewId="0">
      <selection activeCell="I7" sqref="I7"/>
    </sheetView>
  </sheetViews>
  <sheetFormatPr defaultColWidth="12.42578125" defaultRowHeight="16.5"/>
  <cols>
    <col min="1" max="1" width="7.7109375" style="142" customWidth="1"/>
    <col min="2" max="2" width="18" style="142" customWidth="1"/>
    <col min="3" max="3" width="12.28515625" style="142" customWidth="1"/>
    <col min="4" max="4" width="11.42578125" style="142" customWidth="1"/>
    <col min="5" max="5" width="12.42578125" style="142" customWidth="1"/>
    <col min="6" max="6" width="12.85546875" style="142" customWidth="1"/>
    <col min="7" max="7" width="12.42578125" style="142" customWidth="1"/>
    <col min="8" max="8" width="11.85546875" style="142" customWidth="1"/>
    <col min="9" max="9" width="13.85546875" style="142" customWidth="1"/>
    <col min="10" max="10" width="12.28515625" style="142" customWidth="1"/>
    <col min="11" max="11" width="12.7109375" style="142" customWidth="1"/>
    <col min="12" max="12" width="12.5703125" style="142" customWidth="1"/>
    <col min="13" max="13" width="12" style="142" customWidth="1"/>
    <col min="14" max="14" width="13.140625" style="142" customWidth="1"/>
    <col min="15" max="15" width="12.5703125" style="142" customWidth="1"/>
    <col min="16" max="16" width="12.85546875" style="142" customWidth="1"/>
    <col min="17" max="17" width="13.28515625" style="142" customWidth="1"/>
    <col min="18" max="19" width="14.7109375" style="142" customWidth="1"/>
    <col min="20" max="20" width="15.85546875" style="142" customWidth="1"/>
    <col min="21" max="21" width="16.7109375" style="142" customWidth="1"/>
    <col min="22" max="22" width="16.85546875" style="142" customWidth="1"/>
    <col min="23" max="81" width="12.42578125" style="142"/>
    <col min="82" max="16384" width="12.42578125" style="145"/>
  </cols>
  <sheetData>
    <row r="1" spans="1:81" s="143" customFormat="1" ht="24">
      <c r="A1" s="553" t="s">
        <v>382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  <c r="S1" s="553"/>
      <c r="T1" s="553"/>
      <c r="U1" s="553"/>
      <c r="V1" s="553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2"/>
      <c r="BT1" s="142"/>
      <c r="BU1" s="142"/>
      <c r="BV1" s="142"/>
      <c r="BW1" s="142"/>
      <c r="BX1" s="142"/>
      <c r="BY1" s="142"/>
      <c r="BZ1" s="142"/>
      <c r="CA1" s="142"/>
      <c r="CB1" s="142"/>
      <c r="CC1" s="142"/>
    </row>
    <row r="2" spans="1:81" ht="17.25" thickBot="1">
      <c r="B2" s="463"/>
    </row>
    <row r="3" spans="1:81" ht="17.25" thickBot="1">
      <c r="A3" s="144" t="s">
        <v>383</v>
      </c>
      <c r="D3" s="147" t="s">
        <v>0</v>
      </c>
      <c r="E3" s="148"/>
      <c r="F3" s="149">
        <v>10</v>
      </c>
      <c r="G3" s="146" t="s">
        <v>1</v>
      </c>
      <c r="H3" s="147" t="s">
        <v>2</v>
      </c>
      <c r="I3" s="150">
        <v>1</v>
      </c>
      <c r="K3" s="151"/>
      <c r="L3" s="152"/>
    </row>
    <row r="4" spans="1:81" ht="17.25" thickBot="1">
      <c r="A4" s="153"/>
      <c r="D4" s="154" t="s">
        <v>3</v>
      </c>
      <c r="E4" s="153"/>
      <c r="F4" s="155">
        <v>250</v>
      </c>
      <c r="G4" s="146" t="s">
        <v>1</v>
      </c>
      <c r="H4" s="156" t="s">
        <v>4</v>
      </c>
      <c r="I4" s="157">
        <v>1</v>
      </c>
      <c r="K4" s="158" t="s">
        <v>5</v>
      </c>
      <c r="L4" s="159">
        <v>110</v>
      </c>
      <c r="O4" s="160" t="str">
        <f>IF(F7=1,"METRIC","IMPERIAL")</f>
        <v>METRIC</v>
      </c>
      <c r="P4" s="161" t="str">
        <f>O4</f>
        <v>METRIC</v>
      </c>
      <c r="Q4" s="162" t="str">
        <f>O4</f>
        <v>METRIC</v>
      </c>
    </row>
    <row r="5" spans="1:81">
      <c r="A5" s="153" t="s">
        <v>6</v>
      </c>
      <c r="B5" s="163">
        <v>44859</v>
      </c>
      <c r="D5" s="154" t="s">
        <v>7</v>
      </c>
      <c r="E5" s="153"/>
      <c r="F5" s="164">
        <v>40</v>
      </c>
      <c r="G5" s="146" t="s">
        <v>1</v>
      </c>
      <c r="H5" s="156" t="s">
        <v>8</v>
      </c>
      <c r="I5" s="159">
        <v>718</v>
      </c>
      <c r="K5" s="165"/>
      <c r="L5" s="166"/>
      <c r="T5" s="167"/>
      <c r="U5" s="167"/>
    </row>
    <row r="6" spans="1:81">
      <c r="A6" s="168"/>
      <c r="B6" s="169"/>
      <c r="C6" s="170"/>
      <c r="D6" s="154" t="s">
        <v>9</v>
      </c>
      <c r="E6" s="153"/>
      <c r="F6" s="157">
        <v>1.1000000000000001</v>
      </c>
      <c r="G6" s="146" t="s">
        <v>1</v>
      </c>
      <c r="H6" s="156" t="s">
        <v>10</v>
      </c>
      <c r="I6" s="159">
        <v>375</v>
      </c>
      <c r="K6" s="165" t="s">
        <v>11</v>
      </c>
      <c r="L6" s="171">
        <v>1</v>
      </c>
      <c r="U6" s="172" t="s">
        <v>12</v>
      </c>
      <c r="V6" s="173">
        <v>44859</v>
      </c>
    </row>
    <row r="7" spans="1:81" ht="17.25" thickBot="1">
      <c r="A7" s="153"/>
      <c r="C7" s="174" t="str">
        <f>O4</f>
        <v>METRIC</v>
      </c>
      <c r="D7" s="175" t="s">
        <v>13</v>
      </c>
      <c r="E7" s="176"/>
      <c r="F7" s="177">
        <v>1</v>
      </c>
      <c r="H7" s="178" t="s">
        <v>14</v>
      </c>
      <c r="I7" s="179">
        <v>500</v>
      </c>
      <c r="K7" s="180" t="s">
        <v>15</v>
      </c>
      <c r="L7" s="181">
        <v>0.3</v>
      </c>
      <c r="O7" s="168"/>
      <c r="P7" s="182"/>
      <c r="Q7" s="183"/>
      <c r="U7" s="172" t="s">
        <v>16</v>
      </c>
      <c r="V7" s="173">
        <f ca="1">TODAY()</f>
        <v>46143</v>
      </c>
    </row>
    <row r="8" spans="1:81" ht="17.25" thickBot="1">
      <c r="A8" s="184"/>
    </row>
    <row r="9" spans="1:81" s="191" customFormat="1" ht="17.25" thickBot="1">
      <c r="A9" s="185" t="s">
        <v>17</v>
      </c>
      <c r="B9" s="185" t="s">
        <v>18</v>
      </c>
      <c r="C9" s="185" t="s">
        <v>19</v>
      </c>
      <c r="D9" s="185" t="s">
        <v>20</v>
      </c>
      <c r="E9" s="185" t="s">
        <v>21</v>
      </c>
      <c r="F9" s="185" t="s">
        <v>22</v>
      </c>
      <c r="G9" s="185" t="s">
        <v>23</v>
      </c>
      <c r="H9" s="185" t="s">
        <v>24</v>
      </c>
      <c r="I9" s="185" t="s">
        <v>25</v>
      </c>
      <c r="J9" s="186" t="s">
        <v>26</v>
      </c>
      <c r="K9" s="186" t="s">
        <v>27</v>
      </c>
      <c r="L9" s="187" t="s">
        <v>28</v>
      </c>
      <c r="M9" s="186" t="s">
        <v>29</v>
      </c>
      <c r="N9" s="186" t="s">
        <v>30</v>
      </c>
      <c r="O9" s="188" t="s">
        <v>31</v>
      </c>
      <c r="P9" s="186" t="s">
        <v>32</v>
      </c>
      <c r="Q9" s="188" t="s">
        <v>33</v>
      </c>
      <c r="R9" s="189" t="s">
        <v>34</v>
      </c>
      <c r="S9" s="186" t="s">
        <v>35</v>
      </c>
      <c r="T9" s="188" t="s">
        <v>36</v>
      </c>
      <c r="U9" s="190" t="s">
        <v>37</v>
      </c>
      <c r="V9" s="190" t="s">
        <v>38</v>
      </c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1"/>
    </row>
    <row r="10" spans="1:81" s="195" customFormat="1">
      <c r="A10" s="196">
        <v>0</v>
      </c>
      <c r="B10" s="192"/>
      <c r="C10" s="192"/>
      <c r="D10" s="192"/>
      <c r="E10" s="192"/>
      <c r="F10" s="192"/>
      <c r="G10" s="192"/>
      <c r="H10" s="192"/>
      <c r="I10" s="192"/>
      <c r="J10" s="193"/>
      <c r="K10" s="193"/>
      <c r="L10" s="193"/>
      <c r="M10" s="193"/>
      <c r="N10" s="194"/>
      <c r="O10" s="194"/>
      <c r="P10" s="194"/>
      <c r="Q10" s="194"/>
      <c r="R10" s="194"/>
      <c r="S10" s="194"/>
      <c r="T10" s="194"/>
      <c r="U10" s="194"/>
      <c r="V10" s="194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</row>
    <row r="11" spans="1:81" s="195" customFormat="1">
      <c r="A11" s="196">
        <v>1</v>
      </c>
      <c r="B11" s="470"/>
      <c r="C11" s="197"/>
      <c r="D11" s="198"/>
      <c r="E11" s="198"/>
      <c r="F11" s="192"/>
      <c r="G11" s="199"/>
      <c r="H11" s="200"/>
      <c r="I11" s="200"/>
      <c r="J11" s="201">
        <f t="shared" ref="J11:J46" si="0">(C11-D11)*IF(F$7=1,1,0.3049)</f>
        <v>0</v>
      </c>
      <c r="K11" s="201">
        <f t="shared" ref="K11:K46" si="1">IF(E11=0,0,(D11-E11)*IF(F$7=1,1,0.3049))</f>
        <v>0</v>
      </c>
      <c r="L11" s="202">
        <f t="shared" ref="L11:L46" si="2">IF(F11=0,0,IF((G11=1),HLOOKUP(F11,B$65:F$66,2),HLOOKUP(F11,H$65:L$66,2)))</f>
        <v>0</v>
      </c>
      <c r="M11" s="201">
        <f t="shared" ref="M11:M46" si="3">IF(J11=0,0,J11-L$7+0.3*F11/1000+0.3)</f>
        <v>0</v>
      </c>
      <c r="N11" s="203">
        <f t="shared" ref="N11:N46" si="4">(IF(L11=0,0,IF(L11&lt;1501,VLOOKUP(L11+M11,C$70:D$118,2),VLOOKUP(L11+M11,E$70:F$114,2))+(L$7-0.15)*I$5)*I$3*I$4*(100-F$5)/100)</f>
        <v>0</v>
      </c>
      <c r="O11" s="204">
        <f t="shared" ref="O11:O46" si="5">(((L11/1000)^2*PI()/4*F11/1000)-PI()/4*(F11/1000)^2*L11/1000+L11/1000)*F$4</f>
        <v>0</v>
      </c>
      <c r="P11" s="203">
        <f t="shared" ref="P11:P46" si="6">IF(L11=0,0,I$6*I$3*I$4)</f>
        <v>0</v>
      </c>
      <c r="Q11" s="204">
        <f t="shared" ref="Q11:Q46" si="7">H11+N11+O11+P11</f>
        <v>0</v>
      </c>
      <c r="R11" s="205">
        <f t="shared" ref="R11:R46" si="8">(L11=1200)*(15*L$4+L$4*M11)+(L11=1500)*(20*L$4+1.3*L$4*M11)+(L11=1800)*(30*L$4+1.5*L$4*M11)+(L11=2400)*(40*L$4+2*L$4*M11)+(L11=3000)*(50*L$4+2.5*L$4*M11)+(L11=3600)*(60*L$4+3*L$4*M11)+I11</f>
        <v>0</v>
      </c>
      <c r="S11" s="203">
        <f t="shared" ref="S11:S46" si="9">F$3*(J11*(0.001*L11*1.3)^2*PI()/4)</f>
        <v>0</v>
      </c>
      <c r="T11" s="204">
        <f t="shared" ref="T11:T46" si="10">IF(L11=0,0,(Q11+R11+S11)/J11)</f>
        <v>0</v>
      </c>
      <c r="U11" s="203">
        <f t="shared" ref="U11:U46" si="11">Q11+R11+S11</f>
        <v>0</v>
      </c>
      <c r="V11" s="206">
        <f t="shared" ref="V11:V46" si="12">U11*F$6</f>
        <v>0</v>
      </c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</row>
    <row r="12" spans="1:81" s="195" customFormat="1">
      <c r="A12" s="196">
        <v>2</v>
      </c>
      <c r="B12" s="192"/>
      <c r="C12" s="197"/>
      <c r="D12" s="198"/>
      <c r="E12" s="198"/>
      <c r="F12" s="192"/>
      <c r="G12" s="199"/>
      <c r="H12" s="207"/>
      <c r="I12" s="207"/>
      <c r="J12" s="201">
        <f t="shared" si="0"/>
        <v>0</v>
      </c>
      <c r="K12" s="201">
        <f t="shared" si="1"/>
        <v>0</v>
      </c>
      <c r="L12" s="202">
        <f t="shared" si="2"/>
        <v>0</v>
      </c>
      <c r="M12" s="201">
        <f t="shared" si="3"/>
        <v>0</v>
      </c>
      <c r="N12" s="203">
        <f t="shared" si="4"/>
        <v>0</v>
      </c>
      <c r="O12" s="204">
        <f t="shared" si="5"/>
        <v>0</v>
      </c>
      <c r="P12" s="203">
        <f t="shared" si="6"/>
        <v>0</v>
      </c>
      <c r="Q12" s="204">
        <f t="shared" si="7"/>
        <v>0</v>
      </c>
      <c r="R12" s="205">
        <f t="shared" si="8"/>
        <v>0</v>
      </c>
      <c r="S12" s="203">
        <f t="shared" si="9"/>
        <v>0</v>
      </c>
      <c r="T12" s="204">
        <f t="shared" si="10"/>
        <v>0</v>
      </c>
      <c r="U12" s="203">
        <f t="shared" si="11"/>
        <v>0</v>
      </c>
      <c r="V12" s="206">
        <f t="shared" si="12"/>
        <v>0</v>
      </c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</row>
    <row r="13" spans="1:81" s="195" customFormat="1">
      <c r="A13" s="196">
        <v>3</v>
      </c>
      <c r="B13" s="192"/>
      <c r="C13" s="197"/>
      <c r="D13" s="198"/>
      <c r="E13" s="198"/>
      <c r="F13" s="192"/>
      <c r="G13" s="199"/>
      <c r="H13" s="207"/>
      <c r="I13" s="207"/>
      <c r="J13" s="201">
        <f t="shared" si="0"/>
        <v>0</v>
      </c>
      <c r="K13" s="201">
        <f t="shared" si="1"/>
        <v>0</v>
      </c>
      <c r="L13" s="202">
        <f t="shared" si="2"/>
        <v>0</v>
      </c>
      <c r="M13" s="201">
        <f t="shared" si="3"/>
        <v>0</v>
      </c>
      <c r="N13" s="203">
        <f t="shared" si="4"/>
        <v>0</v>
      </c>
      <c r="O13" s="204">
        <f t="shared" si="5"/>
        <v>0</v>
      </c>
      <c r="P13" s="203">
        <f t="shared" si="6"/>
        <v>0</v>
      </c>
      <c r="Q13" s="204">
        <f t="shared" si="7"/>
        <v>0</v>
      </c>
      <c r="R13" s="205">
        <f t="shared" si="8"/>
        <v>0</v>
      </c>
      <c r="S13" s="203">
        <f t="shared" si="9"/>
        <v>0</v>
      </c>
      <c r="T13" s="204">
        <f t="shared" si="10"/>
        <v>0</v>
      </c>
      <c r="U13" s="203">
        <f t="shared" si="11"/>
        <v>0</v>
      </c>
      <c r="V13" s="206">
        <f t="shared" si="12"/>
        <v>0</v>
      </c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</row>
    <row r="14" spans="1:81" s="195" customFormat="1">
      <c r="A14" s="196">
        <v>4</v>
      </c>
      <c r="B14" s="192"/>
      <c r="C14" s="197"/>
      <c r="D14" s="198"/>
      <c r="E14" s="198"/>
      <c r="F14" s="192"/>
      <c r="G14" s="208"/>
      <c r="H14" s="207"/>
      <c r="I14" s="207"/>
      <c r="J14" s="201">
        <f t="shared" si="0"/>
        <v>0</v>
      </c>
      <c r="K14" s="201">
        <f t="shared" si="1"/>
        <v>0</v>
      </c>
      <c r="L14" s="202">
        <f t="shared" si="2"/>
        <v>0</v>
      </c>
      <c r="M14" s="201">
        <f t="shared" si="3"/>
        <v>0</v>
      </c>
      <c r="N14" s="203">
        <f t="shared" si="4"/>
        <v>0</v>
      </c>
      <c r="O14" s="204">
        <f t="shared" si="5"/>
        <v>0</v>
      </c>
      <c r="P14" s="203">
        <f t="shared" si="6"/>
        <v>0</v>
      </c>
      <c r="Q14" s="204">
        <f t="shared" si="7"/>
        <v>0</v>
      </c>
      <c r="R14" s="205">
        <f t="shared" si="8"/>
        <v>0</v>
      </c>
      <c r="S14" s="203">
        <f t="shared" si="9"/>
        <v>0</v>
      </c>
      <c r="T14" s="204">
        <f t="shared" si="10"/>
        <v>0</v>
      </c>
      <c r="U14" s="203">
        <f t="shared" si="11"/>
        <v>0</v>
      </c>
      <c r="V14" s="206">
        <f t="shared" si="12"/>
        <v>0</v>
      </c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</row>
    <row r="15" spans="1:81" s="195" customFormat="1">
      <c r="A15" s="196">
        <v>5</v>
      </c>
      <c r="B15" s="192"/>
      <c r="C15" s="197"/>
      <c r="D15" s="198"/>
      <c r="E15" s="198"/>
      <c r="F15" s="192"/>
      <c r="G15" s="208"/>
      <c r="H15" s="207"/>
      <c r="I15" s="207"/>
      <c r="J15" s="201">
        <f t="shared" si="0"/>
        <v>0</v>
      </c>
      <c r="K15" s="201">
        <f t="shared" si="1"/>
        <v>0</v>
      </c>
      <c r="L15" s="202">
        <f t="shared" si="2"/>
        <v>0</v>
      </c>
      <c r="M15" s="201">
        <f t="shared" si="3"/>
        <v>0</v>
      </c>
      <c r="N15" s="203">
        <f t="shared" si="4"/>
        <v>0</v>
      </c>
      <c r="O15" s="204">
        <f t="shared" si="5"/>
        <v>0</v>
      </c>
      <c r="P15" s="203">
        <f t="shared" si="6"/>
        <v>0</v>
      </c>
      <c r="Q15" s="204">
        <f t="shared" si="7"/>
        <v>0</v>
      </c>
      <c r="R15" s="205">
        <f t="shared" si="8"/>
        <v>0</v>
      </c>
      <c r="S15" s="203">
        <f t="shared" si="9"/>
        <v>0</v>
      </c>
      <c r="T15" s="204">
        <f t="shared" si="10"/>
        <v>0</v>
      </c>
      <c r="U15" s="203">
        <f t="shared" si="11"/>
        <v>0</v>
      </c>
      <c r="V15" s="206">
        <f t="shared" si="12"/>
        <v>0</v>
      </c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</row>
    <row r="16" spans="1:81" s="195" customFormat="1">
      <c r="A16" s="196">
        <v>6</v>
      </c>
      <c r="B16" s="192"/>
      <c r="C16" s="197"/>
      <c r="D16" s="198"/>
      <c r="E16" s="198"/>
      <c r="F16" s="192"/>
      <c r="G16" s="208"/>
      <c r="H16" s="207"/>
      <c r="I16" s="207"/>
      <c r="J16" s="201">
        <f t="shared" si="0"/>
        <v>0</v>
      </c>
      <c r="K16" s="201">
        <f t="shared" si="1"/>
        <v>0</v>
      </c>
      <c r="L16" s="202">
        <f t="shared" si="2"/>
        <v>0</v>
      </c>
      <c r="M16" s="201">
        <f t="shared" si="3"/>
        <v>0</v>
      </c>
      <c r="N16" s="203">
        <f t="shared" si="4"/>
        <v>0</v>
      </c>
      <c r="O16" s="204">
        <f t="shared" si="5"/>
        <v>0</v>
      </c>
      <c r="P16" s="203">
        <f t="shared" si="6"/>
        <v>0</v>
      </c>
      <c r="Q16" s="204">
        <f t="shared" si="7"/>
        <v>0</v>
      </c>
      <c r="R16" s="205">
        <f t="shared" si="8"/>
        <v>0</v>
      </c>
      <c r="S16" s="203">
        <f t="shared" si="9"/>
        <v>0</v>
      </c>
      <c r="T16" s="204">
        <f t="shared" si="10"/>
        <v>0</v>
      </c>
      <c r="U16" s="203">
        <f t="shared" si="11"/>
        <v>0</v>
      </c>
      <c r="V16" s="206">
        <f t="shared" si="12"/>
        <v>0</v>
      </c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</row>
    <row r="17" spans="1:81" s="195" customFormat="1">
      <c r="A17" s="196">
        <v>7</v>
      </c>
      <c r="B17" s="192"/>
      <c r="C17" s="197"/>
      <c r="D17" s="198"/>
      <c r="E17" s="198"/>
      <c r="F17" s="192"/>
      <c r="G17" s="208"/>
      <c r="H17" s="207"/>
      <c r="I17" s="207"/>
      <c r="J17" s="201">
        <f t="shared" si="0"/>
        <v>0</v>
      </c>
      <c r="K17" s="201">
        <f t="shared" si="1"/>
        <v>0</v>
      </c>
      <c r="L17" s="202">
        <f t="shared" si="2"/>
        <v>0</v>
      </c>
      <c r="M17" s="201">
        <f t="shared" si="3"/>
        <v>0</v>
      </c>
      <c r="N17" s="203">
        <f t="shared" si="4"/>
        <v>0</v>
      </c>
      <c r="O17" s="204">
        <f t="shared" si="5"/>
        <v>0</v>
      </c>
      <c r="P17" s="203">
        <f t="shared" si="6"/>
        <v>0</v>
      </c>
      <c r="Q17" s="204">
        <f t="shared" si="7"/>
        <v>0</v>
      </c>
      <c r="R17" s="205">
        <f t="shared" si="8"/>
        <v>0</v>
      </c>
      <c r="S17" s="203">
        <f t="shared" si="9"/>
        <v>0</v>
      </c>
      <c r="T17" s="204">
        <f t="shared" si="10"/>
        <v>0</v>
      </c>
      <c r="U17" s="203">
        <f t="shared" si="11"/>
        <v>0</v>
      </c>
      <c r="V17" s="206">
        <f t="shared" si="12"/>
        <v>0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</row>
    <row r="18" spans="1:81" s="195" customFormat="1">
      <c r="A18" s="196">
        <v>8</v>
      </c>
      <c r="B18" s="192"/>
      <c r="C18" s="197"/>
      <c r="D18" s="198"/>
      <c r="E18" s="198"/>
      <c r="F18" s="192"/>
      <c r="G18" s="208"/>
      <c r="H18" s="207"/>
      <c r="I18" s="207"/>
      <c r="J18" s="201">
        <f t="shared" si="0"/>
        <v>0</v>
      </c>
      <c r="K18" s="201">
        <f t="shared" si="1"/>
        <v>0</v>
      </c>
      <c r="L18" s="202">
        <f t="shared" si="2"/>
        <v>0</v>
      </c>
      <c r="M18" s="201">
        <f t="shared" si="3"/>
        <v>0</v>
      </c>
      <c r="N18" s="203">
        <f t="shared" si="4"/>
        <v>0</v>
      </c>
      <c r="O18" s="204">
        <f t="shared" si="5"/>
        <v>0</v>
      </c>
      <c r="P18" s="203">
        <f t="shared" si="6"/>
        <v>0</v>
      </c>
      <c r="Q18" s="204">
        <f t="shared" si="7"/>
        <v>0</v>
      </c>
      <c r="R18" s="205">
        <f t="shared" si="8"/>
        <v>0</v>
      </c>
      <c r="S18" s="203">
        <f t="shared" si="9"/>
        <v>0</v>
      </c>
      <c r="T18" s="204">
        <f t="shared" si="10"/>
        <v>0</v>
      </c>
      <c r="U18" s="203">
        <f t="shared" si="11"/>
        <v>0</v>
      </c>
      <c r="V18" s="206">
        <f t="shared" si="12"/>
        <v>0</v>
      </c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</row>
    <row r="19" spans="1:81" s="195" customFormat="1">
      <c r="A19" s="196">
        <v>9</v>
      </c>
      <c r="B19" s="192"/>
      <c r="C19" s="197"/>
      <c r="D19" s="198"/>
      <c r="E19" s="198"/>
      <c r="F19" s="192"/>
      <c r="G19" s="208"/>
      <c r="H19" s="207"/>
      <c r="I19" s="207"/>
      <c r="J19" s="201">
        <f t="shared" si="0"/>
        <v>0</v>
      </c>
      <c r="K19" s="201">
        <f t="shared" si="1"/>
        <v>0</v>
      </c>
      <c r="L19" s="202">
        <f t="shared" si="2"/>
        <v>0</v>
      </c>
      <c r="M19" s="201">
        <f t="shared" si="3"/>
        <v>0</v>
      </c>
      <c r="N19" s="203">
        <f t="shared" si="4"/>
        <v>0</v>
      </c>
      <c r="O19" s="204">
        <f t="shared" si="5"/>
        <v>0</v>
      </c>
      <c r="P19" s="203">
        <f t="shared" si="6"/>
        <v>0</v>
      </c>
      <c r="Q19" s="204">
        <f t="shared" si="7"/>
        <v>0</v>
      </c>
      <c r="R19" s="205">
        <f t="shared" si="8"/>
        <v>0</v>
      </c>
      <c r="S19" s="203">
        <f t="shared" si="9"/>
        <v>0</v>
      </c>
      <c r="T19" s="204">
        <f t="shared" si="10"/>
        <v>0</v>
      </c>
      <c r="U19" s="203">
        <f t="shared" si="11"/>
        <v>0</v>
      </c>
      <c r="V19" s="206">
        <f t="shared" si="12"/>
        <v>0</v>
      </c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</row>
    <row r="20" spans="1:81" s="195" customFormat="1">
      <c r="A20" s="196">
        <v>10</v>
      </c>
      <c r="B20" s="192"/>
      <c r="C20" s="197"/>
      <c r="D20" s="198"/>
      <c r="E20" s="198"/>
      <c r="F20" s="192"/>
      <c r="G20" s="208"/>
      <c r="H20" s="207"/>
      <c r="I20" s="207"/>
      <c r="J20" s="201">
        <f t="shared" si="0"/>
        <v>0</v>
      </c>
      <c r="K20" s="201">
        <f t="shared" si="1"/>
        <v>0</v>
      </c>
      <c r="L20" s="202">
        <f t="shared" si="2"/>
        <v>0</v>
      </c>
      <c r="M20" s="201">
        <f t="shared" si="3"/>
        <v>0</v>
      </c>
      <c r="N20" s="203">
        <f t="shared" si="4"/>
        <v>0</v>
      </c>
      <c r="O20" s="204">
        <f t="shared" si="5"/>
        <v>0</v>
      </c>
      <c r="P20" s="203">
        <f t="shared" si="6"/>
        <v>0</v>
      </c>
      <c r="Q20" s="204">
        <f t="shared" si="7"/>
        <v>0</v>
      </c>
      <c r="R20" s="205">
        <f t="shared" si="8"/>
        <v>0</v>
      </c>
      <c r="S20" s="203">
        <f t="shared" si="9"/>
        <v>0</v>
      </c>
      <c r="T20" s="204">
        <f t="shared" si="10"/>
        <v>0</v>
      </c>
      <c r="U20" s="203">
        <f t="shared" si="11"/>
        <v>0</v>
      </c>
      <c r="V20" s="206">
        <f t="shared" si="12"/>
        <v>0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</row>
    <row r="21" spans="1:81" s="195" customFormat="1">
      <c r="A21" s="196">
        <v>11</v>
      </c>
      <c r="B21" s="192"/>
      <c r="C21" s="197"/>
      <c r="D21" s="198"/>
      <c r="E21" s="198"/>
      <c r="F21" s="192"/>
      <c r="G21" s="208"/>
      <c r="H21" s="207"/>
      <c r="I21" s="207"/>
      <c r="J21" s="201">
        <f t="shared" si="0"/>
        <v>0</v>
      </c>
      <c r="K21" s="201">
        <f t="shared" si="1"/>
        <v>0</v>
      </c>
      <c r="L21" s="202">
        <f t="shared" si="2"/>
        <v>0</v>
      </c>
      <c r="M21" s="201">
        <f t="shared" si="3"/>
        <v>0</v>
      </c>
      <c r="N21" s="203">
        <f t="shared" si="4"/>
        <v>0</v>
      </c>
      <c r="O21" s="204">
        <f t="shared" si="5"/>
        <v>0</v>
      </c>
      <c r="P21" s="203">
        <f t="shared" si="6"/>
        <v>0</v>
      </c>
      <c r="Q21" s="204">
        <f t="shared" si="7"/>
        <v>0</v>
      </c>
      <c r="R21" s="205">
        <f t="shared" si="8"/>
        <v>0</v>
      </c>
      <c r="S21" s="203">
        <f t="shared" si="9"/>
        <v>0</v>
      </c>
      <c r="T21" s="204">
        <f t="shared" si="10"/>
        <v>0</v>
      </c>
      <c r="U21" s="203">
        <f t="shared" si="11"/>
        <v>0</v>
      </c>
      <c r="V21" s="206">
        <f t="shared" si="12"/>
        <v>0</v>
      </c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</row>
    <row r="22" spans="1:81" s="195" customFormat="1">
      <c r="A22" s="196">
        <v>12</v>
      </c>
      <c r="B22" s="192"/>
      <c r="C22" s="197"/>
      <c r="D22" s="198"/>
      <c r="E22" s="198"/>
      <c r="F22" s="192"/>
      <c r="G22" s="208"/>
      <c r="H22" s="207"/>
      <c r="I22" s="207"/>
      <c r="J22" s="201">
        <f t="shared" si="0"/>
        <v>0</v>
      </c>
      <c r="K22" s="201">
        <f t="shared" si="1"/>
        <v>0</v>
      </c>
      <c r="L22" s="202">
        <f t="shared" si="2"/>
        <v>0</v>
      </c>
      <c r="M22" s="201">
        <f t="shared" si="3"/>
        <v>0</v>
      </c>
      <c r="N22" s="203">
        <f t="shared" si="4"/>
        <v>0</v>
      </c>
      <c r="O22" s="204">
        <f t="shared" si="5"/>
        <v>0</v>
      </c>
      <c r="P22" s="203">
        <f t="shared" si="6"/>
        <v>0</v>
      </c>
      <c r="Q22" s="204">
        <f t="shared" si="7"/>
        <v>0</v>
      </c>
      <c r="R22" s="205">
        <f t="shared" si="8"/>
        <v>0</v>
      </c>
      <c r="S22" s="203">
        <f t="shared" si="9"/>
        <v>0</v>
      </c>
      <c r="T22" s="204">
        <f t="shared" si="10"/>
        <v>0</v>
      </c>
      <c r="U22" s="203">
        <f t="shared" si="11"/>
        <v>0</v>
      </c>
      <c r="V22" s="206">
        <f t="shared" si="12"/>
        <v>0</v>
      </c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</row>
    <row r="23" spans="1:81" s="195" customFormat="1">
      <c r="A23" s="196">
        <v>13</v>
      </c>
      <c r="B23" s="192"/>
      <c r="C23" s="197"/>
      <c r="D23" s="198"/>
      <c r="E23" s="198"/>
      <c r="F23" s="192"/>
      <c r="G23" s="208"/>
      <c r="H23" s="207"/>
      <c r="I23" s="207"/>
      <c r="J23" s="201">
        <f t="shared" si="0"/>
        <v>0</v>
      </c>
      <c r="K23" s="201">
        <f t="shared" si="1"/>
        <v>0</v>
      </c>
      <c r="L23" s="202">
        <f t="shared" si="2"/>
        <v>0</v>
      </c>
      <c r="M23" s="201">
        <f t="shared" si="3"/>
        <v>0</v>
      </c>
      <c r="N23" s="203">
        <f t="shared" si="4"/>
        <v>0</v>
      </c>
      <c r="O23" s="204">
        <f t="shared" si="5"/>
        <v>0</v>
      </c>
      <c r="P23" s="203">
        <f t="shared" si="6"/>
        <v>0</v>
      </c>
      <c r="Q23" s="204">
        <f t="shared" si="7"/>
        <v>0</v>
      </c>
      <c r="R23" s="205">
        <f t="shared" si="8"/>
        <v>0</v>
      </c>
      <c r="S23" s="203">
        <f t="shared" si="9"/>
        <v>0</v>
      </c>
      <c r="T23" s="204">
        <f t="shared" si="10"/>
        <v>0</v>
      </c>
      <c r="U23" s="203">
        <f t="shared" si="11"/>
        <v>0</v>
      </c>
      <c r="V23" s="206">
        <f t="shared" si="12"/>
        <v>0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</row>
    <row r="24" spans="1:81" s="195" customFormat="1">
      <c r="A24" s="196">
        <v>14</v>
      </c>
      <c r="B24" s="192"/>
      <c r="C24" s="197"/>
      <c r="D24" s="198"/>
      <c r="E24" s="198"/>
      <c r="F24" s="192"/>
      <c r="G24" s="208"/>
      <c r="H24" s="207"/>
      <c r="I24" s="207"/>
      <c r="J24" s="201">
        <f t="shared" si="0"/>
        <v>0</v>
      </c>
      <c r="K24" s="201">
        <f t="shared" si="1"/>
        <v>0</v>
      </c>
      <c r="L24" s="202">
        <f t="shared" si="2"/>
        <v>0</v>
      </c>
      <c r="M24" s="201">
        <f t="shared" si="3"/>
        <v>0</v>
      </c>
      <c r="N24" s="203">
        <f t="shared" si="4"/>
        <v>0</v>
      </c>
      <c r="O24" s="204">
        <f t="shared" si="5"/>
        <v>0</v>
      </c>
      <c r="P24" s="203">
        <f t="shared" si="6"/>
        <v>0</v>
      </c>
      <c r="Q24" s="204">
        <f t="shared" si="7"/>
        <v>0</v>
      </c>
      <c r="R24" s="205">
        <f t="shared" si="8"/>
        <v>0</v>
      </c>
      <c r="S24" s="203">
        <f t="shared" si="9"/>
        <v>0</v>
      </c>
      <c r="T24" s="204">
        <f t="shared" si="10"/>
        <v>0</v>
      </c>
      <c r="U24" s="203">
        <f t="shared" si="11"/>
        <v>0</v>
      </c>
      <c r="V24" s="206">
        <f t="shared" si="12"/>
        <v>0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</row>
    <row r="25" spans="1:81" s="195" customFormat="1">
      <c r="A25" s="196">
        <v>15</v>
      </c>
      <c r="B25" s="192"/>
      <c r="C25" s="197"/>
      <c r="D25" s="198"/>
      <c r="E25" s="198"/>
      <c r="F25" s="192"/>
      <c r="G25" s="208"/>
      <c r="H25" s="207"/>
      <c r="I25" s="207"/>
      <c r="J25" s="201">
        <f t="shared" si="0"/>
        <v>0</v>
      </c>
      <c r="K25" s="201">
        <f t="shared" si="1"/>
        <v>0</v>
      </c>
      <c r="L25" s="202">
        <f t="shared" si="2"/>
        <v>0</v>
      </c>
      <c r="M25" s="201">
        <f t="shared" si="3"/>
        <v>0</v>
      </c>
      <c r="N25" s="203">
        <f t="shared" si="4"/>
        <v>0</v>
      </c>
      <c r="O25" s="204">
        <f t="shared" si="5"/>
        <v>0</v>
      </c>
      <c r="P25" s="203">
        <f t="shared" si="6"/>
        <v>0</v>
      </c>
      <c r="Q25" s="204">
        <f t="shared" si="7"/>
        <v>0</v>
      </c>
      <c r="R25" s="205">
        <f t="shared" si="8"/>
        <v>0</v>
      </c>
      <c r="S25" s="203">
        <f t="shared" si="9"/>
        <v>0</v>
      </c>
      <c r="T25" s="204">
        <f t="shared" si="10"/>
        <v>0</v>
      </c>
      <c r="U25" s="203">
        <f t="shared" si="11"/>
        <v>0</v>
      </c>
      <c r="V25" s="206">
        <f t="shared" si="12"/>
        <v>0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</row>
    <row r="26" spans="1:81" s="195" customFormat="1">
      <c r="A26" s="196">
        <v>16</v>
      </c>
      <c r="B26" s="192"/>
      <c r="C26" s="197"/>
      <c r="D26" s="198"/>
      <c r="E26" s="198"/>
      <c r="F26" s="192"/>
      <c r="G26" s="208"/>
      <c r="H26" s="207"/>
      <c r="I26" s="207"/>
      <c r="J26" s="201">
        <f t="shared" si="0"/>
        <v>0</v>
      </c>
      <c r="K26" s="201">
        <f t="shared" si="1"/>
        <v>0</v>
      </c>
      <c r="L26" s="202">
        <f t="shared" si="2"/>
        <v>0</v>
      </c>
      <c r="M26" s="201">
        <f t="shared" si="3"/>
        <v>0</v>
      </c>
      <c r="N26" s="203">
        <f t="shared" si="4"/>
        <v>0</v>
      </c>
      <c r="O26" s="204">
        <f t="shared" si="5"/>
        <v>0</v>
      </c>
      <c r="P26" s="203">
        <f t="shared" si="6"/>
        <v>0</v>
      </c>
      <c r="Q26" s="204">
        <f t="shared" si="7"/>
        <v>0</v>
      </c>
      <c r="R26" s="205">
        <f t="shared" si="8"/>
        <v>0</v>
      </c>
      <c r="S26" s="203">
        <f t="shared" si="9"/>
        <v>0</v>
      </c>
      <c r="T26" s="204">
        <f t="shared" si="10"/>
        <v>0</v>
      </c>
      <c r="U26" s="203">
        <f t="shared" si="11"/>
        <v>0</v>
      </c>
      <c r="V26" s="206">
        <f t="shared" si="12"/>
        <v>0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</row>
    <row r="27" spans="1:81" s="195" customFormat="1">
      <c r="A27" s="196">
        <v>17</v>
      </c>
      <c r="B27" s="192"/>
      <c r="C27" s="197"/>
      <c r="D27" s="198"/>
      <c r="E27" s="198"/>
      <c r="F27" s="192"/>
      <c r="G27" s="208"/>
      <c r="H27" s="207"/>
      <c r="I27" s="207"/>
      <c r="J27" s="201">
        <f t="shared" si="0"/>
        <v>0</v>
      </c>
      <c r="K27" s="201">
        <f t="shared" si="1"/>
        <v>0</v>
      </c>
      <c r="L27" s="202">
        <f t="shared" si="2"/>
        <v>0</v>
      </c>
      <c r="M27" s="201">
        <f t="shared" si="3"/>
        <v>0</v>
      </c>
      <c r="N27" s="203">
        <f t="shared" si="4"/>
        <v>0</v>
      </c>
      <c r="O27" s="204">
        <f t="shared" si="5"/>
        <v>0</v>
      </c>
      <c r="P27" s="203">
        <f t="shared" si="6"/>
        <v>0</v>
      </c>
      <c r="Q27" s="204">
        <f t="shared" si="7"/>
        <v>0</v>
      </c>
      <c r="R27" s="205">
        <f t="shared" si="8"/>
        <v>0</v>
      </c>
      <c r="S27" s="203">
        <f t="shared" si="9"/>
        <v>0</v>
      </c>
      <c r="T27" s="204">
        <f t="shared" si="10"/>
        <v>0</v>
      </c>
      <c r="U27" s="203">
        <f t="shared" si="11"/>
        <v>0</v>
      </c>
      <c r="V27" s="206">
        <f t="shared" si="12"/>
        <v>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</row>
    <row r="28" spans="1:81" s="195" customFormat="1">
      <c r="A28" s="196">
        <v>18</v>
      </c>
      <c r="B28" s="192"/>
      <c r="C28" s="197"/>
      <c r="D28" s="198"/>
      <c r="E28" s="198"/>
      <c r="F28" s="192"/>
      <c r="G28" s="208"/>
      <c r="H28" s="207"/>
      <c r="I28" s="207"/>
      <c r="J28" s="201">
        <f t="shared" si="0"/>
        <v>0</v>
      </c>
      <c r="K28" s="201">
        <f t="shared" si="1"/>
        <v>0</v>
      </c>
      <c r="L28" s="202">
        <f t="shared" si="2"/>
        <v>0</v>
      </c>
      <c r="M28" s="201">
        <f t="shared" si="3"/>
        <v>0</v>
      </c>
      <c r="N28" s="203">
        <f t="shared" si="4"/>
        <v>0</v>
      </c>
      <c r="O28" s="204">
        <f t="shared" si="5"/>
        <v>0</v>
      </c>
      <c r="P28" s="203">
        <f t="shared" si="6"/>
        <v>0</v>
      </c>
      <c r="Q28" s="204">
        <f t="shared" si="7"/>
        <v>0</v>
      </c>
      <c r="R28" s="205">
        <f t="shared" si="8"/>
        <v>0</v>
      </c>
      <c r="S28" s="203">
        <f t="shared" si="9"/>
        <v>0</v>
      </c>
      <c r="T28" s="204">
        <f t="shared" si="10"/>
        <v>0</v>
      </c>
      <c r="U28" s="203">
        <f t="shared" si="11"/>
        <v>0</v>
      </c>
      <c r="V28" s="206">
        <f t="shared" si="12"/>
        <v>0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</row>
    <row r="29" spans="1:81" s="195" customFormat="1">
      <c r="A29" s="196">
        <v>19</v>
      </c>
      <c r="B29" s="192"/>
      <c r="C29" s="197"/>
      <c r="D29" s="198"/>
      <c r="E29" s="198"/>
      <c r="F29" s="192"/>
      <c r="G29" s="208"/>
      <c r="H29" s="207"/>
      <c r="I29" s="207"/>
      <c r="J29" s="201">
        <f t="shared" si="0"/>
        <v>0</v>
      </c>
      <c r="K29" s="201">
        <f t="shared" si="1"/>
        <v>0</v>
      </c>
      <c r="L29" s="202">
        <f t="shared" si="2"/>
        <v>0</v>
      </c>
      <c r="M29" s="201">
        <f t="shared" si="3"/>
        <v>0</v>
      </c>
      <c r="N29" s="203">
        <f t="shared" si="4"/>
        <v>0</v>
      </c>
      <c r="O29" s="204">
        <f t="shared" si="5"/>
        <v>0</v>
      </c>
      <c r="P29" s="203">
        <f t="shared" si="6"/>
        <v>0</v>
      </c>
      <c r="Q29" s="204">
        <f t="shared" si="7"/>
        <v>0</v>
      </c>
      <c r="R29" s="205">
        <f t="shared" si="8"/>
        <v>0</v>
      </c>
      <c r="S29" s="203">
        <f t="shared" si="9"/>
        <v>0</v>
      </c>
      <c r="T29" s="204">
        <f t="shared" si="10"/>
        <v>0</v>
      </c>
      <c r="U29" s="203">
        <f t="shared" si="11"/>
        <v>0</v>
      </c>
      <c r="V29" s="206">
        <f t="shared" si="12"/>
        <v>0</v>
      </c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</row>
    <row r="30" spans="1:81" s="195" customFormat="1">
      <c r="A30" s="196">
        <v>20</v>
      </c>
      <c r="B30" s="192"/>
      <c r="C30" s="197"/>
      <c r="D30" s="198"/>
      <c r="E30" s="198"/>
      <c r="F30" s="192"/>
      <c r="G30" s="208"/>
      <c r="H30" s="207"/>
      <c r="I30" s="207"/>
      <c r="J30" s="201">
        <f t="shared" si="0"/>
        <v>0</v>
      </c>
      <c r="K30" s="201">
        <f t="shared" si="1"/>
        <v>0</v>
      </c>
      <c r="L30" s="202">
        <f t="shared" si="2"/>
        <v>0</v>
      </c>
      <c r="M30" s="201">
        <f t="shared" si="3"/>
        <v>0</v>
      </c>
      <c r="N30" s="203">
        <f t="shared" si="4"/>
        <v>0</v>
      </c>
      <c r="O30" s="204">
        <f t="shared" si="5"/>
        <v>0</v>
      </c>
      <c r="P30" s="203">
        <f t="shared" si="6"/>
        <v>0</v>
      </c>
      <c r="Q30" s="204">
        <f t="shared" si="7"/>
        <v>0</v>
      </c>
      <c r="R30" s="205">
        <f t="shared" si="8"/>
        <v>0</v>
      </c>
      <c r="S30" s="203">
        <f t="shared" si="9"/>
        <v>0</v>
      </c>
      <c r="T30" s="204">
        <f t="shared" si="10"/>
        <v>0</v>
      </c>
      <c r="U30" s="203">
        <f t="shared" si="11"/>
        <v>0</v>
      </c>
      <c r="V30" s="206">
        <f t="shared" si="12"/>
        <v>0</v>
      </c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</row>
    <row r="31" spans="1:81" s="195" customFormat="1">
      <c r="A31" s="196">
        <v>21</v>
      </c>
      <c r="B31" s="192"/>
      <c r="C31" s="197"/>
      <c r="D31" s="198"/>
      <c r="E31" s="198"/>
      <c r="F31" s="192"/>
      <c r="G31" s="208"/>
      <c r="H31" s="207"/>
      <c r="I31" s="207"/>
      <c r="J31" s="201">
        <f t="shared" si="0"/>
        <v>0</v>
      </c>
      <c r="K31" s="201">
        <f t="shared" si="1"/>
        <v>0</v>
      </c>
      <c r="L31" s="202">
        <f t="shared" si="2"/>
        <v>0</v>
      </c>
      <c r="M31" s="201">
        <f t="shared" si="3"/>
        <v>0</v>
      </c>
      <c r="N31" s="203">
        <f t="shared" si="4"/>
        <v>0</v>
      </c>
      <c r="O31" s="204">
        <f t="shared" si="5"/>
        <v>0</v>
      </c>
      <c r="P31" s="203">
        <f t="shared" si="6"/>
        <v>0</v>
      </c>
      <c r="Q31" s="204">
        <f t="shared" si="7"/>
        <v>0</v>
      </c>
      <c r="R31" s="205">
        <f t="shared" si="8"/>
        <v>0</v>
      </c>
      <c r="S31" s="203">
        <f t="shared" si="9"/>
        <v>0</v>
      </c>
      <c r="T31" s="204">
        <f t="shared" si="10"/>
        <v>0</v>
      </c>
      <c r="U31" s="203">
        <f t="shared" si="11"/>
        <v>0</v>
      </c>
      <c r="V31" s="206">
        <f t="shared" si="12"/>
        <v>0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</row>
    <row r="32" spans="1:81" s="195" customFormat="1">
      <c r="A32" s="196">
        <v>22</v>
      </c>
      <c r="B32" s="192"/>
      <c r="C32" s="197"/>
      <c r="D32" s="198"/>
      <c r="E32" s="198"/>
      <c r="F32" s="192"/>
      <c r="G32" s="208"/>
      <c r="H32" s="207"/>
      <c r="I32" s="207"/>
      <c r="J32" s="201">
        <f t="shared" si="0"/>
        <v>0</v>
      </c>
      <c r="K32" s="201">
        <f t="shared" si="1"/>
        <v>0</v>
      </c>
      <c r="L32" s="202">
        <f t="shared" si="2"/>
        <v>0</v>
      </c>
      <c r="M32" s="201">
        <f t="shared" si="3"/>
        <v>0</v>
      </c>
      <c r="N32" s="203">
        <f t="shared" si="4"/>
        <v>0</v>
      </c>
      <c r="O32" s="204">
        <f t="shared" si="5"/>
        <v>0</v>
      </c>
      <c r="P32" s="203">
        <f t="shared" si="6"/>
        <v>0</v>
      </c>
      <c r="Q32" s="204">
        <f t="shared" si="7"/>
        <v>0</v>
      </c>
      <c r="R32" s="205">
        <f t="shared" si="8"/>
        <v>0</v>
      </c>
      <c r="S32" s="203">
        <f t="shared" si="9"/>
        <v>0</v>
      </c>
      <c r="T32" s="204">
        <f t="shared" si="10"/>
        <v>0</v>
      </c>
      <c r="U32" s="203">
        <f t="shared" si="11"/>
        <v>0</v>
      </c>
      <c r="V32" s="206">
        <f t="shared" si="12"/>
        <v>0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</row>
    <row r="33" spans="1:81" s="195" customFormat="1">
      <c r="A33" s="196">
        <v>23</v>
      </c>
      <c r="B33" s="192"/>
      <c r="C33" s="197"/>
      <c r="D33" s="198"/>
      <c r="E33" s="198"/>
      <c r="F33" s="192"/>
      <c r="G33" s="208"/>
      <c r="H33" s="207"/>
      <c r="I33" s="207"/>
      <c r="J33" s="201">
        <f t="shared" si="0"/>
        <v>0</v>
      </c>
      <c r="K33" s="201">
        <f t="shared" si="1"/>
        <v>0</v>
      </c>
      <c r="L33" s="202">
        <f t="shared" si="2"/>
        <v>0</v>
      </c>
      <c r="M33" s="201">
        <f>IF(J33=0,0,J33-L$7+0.3*F33/1000+0.3)</f>
        <v>0</v>
      </c>
      <c r="N33" s="203">
        <f t="shared" si="4"/>
        <v>0</v>
      </c>
      <c r="O33" s="204">
        <f t="shared" si="5"/>
        <v>0</v>
      </c>
      <c r="P33" s="203">
        <f t="shared" si="6"/>
        <v>0</v>
      </c>
      <c r="Q33" s="204">
        <f t="shared" si="7"/>
        <v>0</v>
      </c>
      <c r="R33" s="205">
        <f t="shared" si="8"/>
        <v>0</v>
      </c>
      <c r="S33" s="203">
        <f t="shared" si="9"/>
        <v>0</v>
      </c>
      <c r="T33" s="204">
        <f t="shared" si="10"/>
        <v>0</v>
      </c>
      <c r="U33" s="203">
        <f t="shared" si="11"/>
        <v>0</v>
      </c>
      <c r="V33" s="206">
        <f t="shared" si="12"/>
        <v>0</v>
      </c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</row>
    <row r="34" spans="1:81" s="195" customFormat="1">
      <c r="A34" s="196">
        <v>24</v>
      </c>
      <c r="B34" s="192"/>
      <c r="C34" s="197"/>
      <c r="D34" s="198"/>
      <c r="E34" s="198"/>
      <c r="F34" s="192"/>
      <c r="G34" s="208"/>
      <c r="H34" s="207"/>
      <c r="I34" s="207"/>
      <c r="J34" s="201">
        <f t="shared" si="0"/>
        <v>0</v>
      </c>
      <c r="K34" s="201">
        <f t="shared" si="1"/>
        <v>0</v>
      </c>
      <c r="L34" s="202">
        <f t="shared" si="2"/>
        <v>0</v>
      </c>
      <c r="M34" s="201">
        <f t="shared" si="3"/>
        <v>0</v>
      </c>
      <c r="N34" s="203">
        <f t="shared" si="4"/>
        <v>0</v>
      </c>
      <c r="O34" s="204">
        <f t="shared" si="5"/>
        <v>0</v>
      </c>
      <c r="P34" s="203">
        <f t="shared" si="6"/>
        <v>0</v>
      </c>
      <c r="Q34" s="204">
        <f t="shared" si="7"/>
        <v>0</v>
      </c>
      <c r="R34" s="205">
        <f t="shared" si="8"/>
        <v>0</v>
      </c>
      <c r="S34" s="203">
        <f t="shared" si="9"/>
        <v>0</v>
      </c>
      <c r="T34" s="204">
        <f t="shared" si="10"/>
        <v>0</v>
      </c>
      <c r="U34" s="203">
        <f t="shared" si="11"/>
        <v>0</v>
      </c>
      <c r="V34" s="206">
        <f t="shared" si="12"/>
        <v>0</v>
      </c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</row>
    <row r="35" spans="1:81" s="195" customFormat="1">
      <c r="A35" s="196">
        <v>25</v>
      </c>
      <c r="B35" s="192"/>
      <c r="C35" s="197"/>
      <c r="D35" s="198"/>
      <c r="E35" s="198"/>
      <c r="F35" s="192"/>
      <c r="G35" s="208"/>
      <c r="H35" s="207"/>
      <c r="I35" s="207"/>
      <c r="J35" s="201">
        <f t="shared" si="0"/>
        <v>0</v>
      </c>
      <c r="K35" s="201">
        <f t="shared" si="1"/>
        <v>0</v>
      </c>
      <c r="L35" s="202">
        <f t="shared" si="2"/>
        <v>0</v>
      </c>
      <c r="M35" s="201">
        <f t="shared" si="3"/>
        <v>0</v>
      </c>
      <c r="N35" s="203">
        <f t="shared" si="4"/>
        <v>0</v>
      </c>
      <c r="O35" s="204">
        <f t="shared" si="5"/>
        <v>0</v>
      </c>
      <c r="P35" s="203">
        <f t="shared" si="6"/>
        <v>0</v>
      </c>
      <c r="Q35" s="204">
        <f t="shared" si="7"/>
        <v>0</v>
      </c>
      <c r="R35" s="205">
        <f t="shared" si="8"/>
        <v>0</v>
      </c>
      <c r="S35" s="203">
        <f t="shared" si="9"/>
        <v>0</v>
      </c>
      <c r="T35" s="204">
        <f t="shared" si="10"/>
        <v>0</v>
      </c>
      <c r="U35" s="203">
        <f t="shared" si="11"/>
        <v>0</v>
      </c>
      <c r="V35" s="206">
        <f t="shared" si="12"/>
        <v>0</v>
      </c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</row>
    <row r="36" spans="1:81" s="195" customFormat="1">
      <c r="A36" s="196">
        <v>26</v>
      </c>
      <c r="B36" s="192"/>
      <c r="C36" s="197"/>
      <c r="D36" s="198"/>
      <c r="E36" s="198"/>
      <c r="F36" s="192"/>
      <c r="G36" s="208"/>
      <c r="H36" s="207"/>
      <c r="I36" s="207"/>
      <c r="J36" s="201">
        <f t="shared" si="0"/>
        <v>0</v>
      </c>
      <c r="K36" s="201">
        <f t="shared" si="1"/>
        <v>0</v>
      </c>
      <c r="L36" s="202">
        <f t="shared" si="2"/>
        <v>0</v>
      </c>
      <c r="M36" s="201">
        <f t="shared" si="3"/>
        <v>0</v>
      </c>
      <c r="N36" s="203">
        <f t="shared" si="4"/>
        <v>0</v>
      </c>
      <c r="O36" s="204">
        <f t="shared" si="5"/>
        <v>0</v>
      </c>
      <c r="P36" s="203">
        <f t="shared" si="6"/>
        <v>0</v>
      </c>
      <c r="Q36" s="204">
        <f>H36+N36+O36+P36</f>
        <v>0</v>
      </c>
      <c r="R36" s="205">
        <f t="shared" si="8"/>
        <v>0</v>
      </c>
      <c r="S36" s="203">
        <f t="shared" si="9"/>
        <v>0</v>
      </c>
      <c r="T36" s="204">
        <f t="shared" si="10"/>
        <v>0</v>
      </c>
      <c r="U36" s="203">
        <f t="shared" si="11"/>
        <v>0</v>
      </c>
      <c r="V36" s="206">
        <f t="shared" si="12"/>
        <v>0</v>
      </c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</row>
    <row r="37" spans="1:81" s="195" customFormat="1">
      <c r="A37" s="196">
        <v>27</v>
      </c>
      <c r="B37" s="192"/>
      <c r="C37" s="197"/>
      <c r="D37" s="198"/>
      <c r="E37" s="198"/>
      <c r="F37" s="192"/>
      <c r="G37" s="208"/>
      <c r="H37" s="207"/>
      <c r="I37" s="207"/>
      <c r="J37" s="201">
        <f t="shared" si="0"/>
        <v>0</v>
      </c>
      <c r="K37" s="201">
        <f t="shared" si="1"/>
        <v>0</v>
      </c>
      <c r="L37" s="202">
        <f t="shared" si="2"/>
        <v>0</v>
      </c>
      <c r="M37" s="201">
        <f t="shared" si="3"/>
        <v>0</v>
      </c>
      <c r="N37" s="203">
        <f t="shared" si="4"/>
        <v>0</v>
      </c>
      <c r="O37" s="204">
        <f t="shared" si="5"/>
        <v>0</v>
      </c>
      <c r="P37" s="203">
        <f t="shared" si="6"/>
        <v>0</v>
      </c>
      <c r="Q37" s="204">
        <f t="shared" si="7"/>
        <v>0</v>
      </c>
      <c r="R37" s="205">
        <f t="shared" si="8"/>
        <v>0</v>
      </c>
      <c r="S37" s="203">
        <f t="shared" si="9"/>
        <v>0</v>
      </c>
      <c r="T37" s="204">
        <f t="shared" si="10"/>
        <v>0</v>
      </c>
      <c r="U37" s="203">
        <f t="shared" si="11"/>
        <v>0</v>
      </c>
      <c r="V37" s="206">
        <f t="shared" si="12"/>
        <v>0</v>
      </c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</row>
    <row r="38" spans="1:81" s="195" customFormat="1">
      <c r="A38" s="196">
        <v>28</v>
      </c>
      <c r="B38" s="192"/>
      <c r="C38" s="197"/>
      <c r="D38" s="198"/>
      <c r="E38" s="198"/>
      <c r="F38" s="192"/>
      <c r="G38" s="208"/>
      <c r="H38" s="207"/>
      <c r="I38" s="207"/>
      <c r="J38" s="201">
        <f t="shared" si="0"/>
        <v>0</v>
      </c>
      <c r="K38" s="201">
        <f t="shared" si="1"/>
        <v>0</v>
      </c>
      <c r="L38" s="202">
        <f t="shared" si="2"/>
        <v>0</v>
      </c>
      <c r="M38" s="201">
        <f t="shared" si="3"/>
        <v>0</v>
      </c>
      <c r="N38" s="203">
        <f t="shared" si="4"/>
        <v>0</v>
      </c>
      <c r="O38" s="204">
        <f t="shared" si="5"/>
        <v>0</v>
      </c>
      <c r="P38" s="203">
        <f t="shared" si="6"/>
        <v>0</v>
      </c>
      <c r="Q38" s="204">
        <f t="shared" si="7"/>
        <v>0</v>
      </c>
      <c r="R38" s="205">
        <f t="shared" si="8"/>
        <v>0</v>
      </c>
      <c r="S38" s="203">
        <f t="shared" si="9"/>
        <v>0</v>
      </c>
      <c r="T38" s="204">
        <f t="shared" si="10"/>
        <v>0</v>
      </c>
      <c r="U38" s="203">
        <f t="shared" si="11"/>
        <v>0</v>
      </c>
      <c r="V38" s="206">
        <f t="shared" si="12"/>
        <v>0</v>
      </c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</row>
    <row r="39" spans="1:81" s="195" customFormat="1">
      <c r="A39" s="196">
        <v>29</v>
      </c>
      <c r="B39" s="192"/>
      <c r="C39" s="197"/>
      <c r="D39" s="198"/>
      <c r="E39" s="198"/>
      <c r="F39" s="192"/>
      <c r="G39" s="208"/>
      <c r="H39" s="207"/>
      <c r="I39" s="207"/>
      <c r="J39" s="201">
        <f t="shared" si="0"/>
        <v>0</v>
      </c>
      <c r="K39" s="201">
        <f t="shared" si="1"/>
        <v>0</v>
      </c>
      <c r="L39" s="202">
        <f t="shared" si="2"/>
        <v>0</v>
      </c>
      <c r="M39" s="201">
        <f t="shared" si="3"/>
        <v>0</v>
      </c>
      <c r="N39" s="203">
        <f t="shared" si="4"/>
        <v>0</v>
      </c>
      <c r="O39" s="204">
        <f t="shared" si="5"/>
        <v>0</v>
      </c>
      <c r="P39" s="203">
        <f t="shared" si="6"/>
        <v>0</v>
      </c>
      <c r="Q39" s="204">
        <f t="shared" si="7"/>
        <v>0</v>
      </c>
      <c r="R39" s="205">
        <f t="shared" si="8"/>
        <v>0</v>
      </c>
      <c r="S39" s="203">
        <f t="shared" si="9"/>
        <v>0</v>
      </c>
      <c r="T39" s="204">
        <f t="shared" si="10"/>
        <v>0</v>
      </c>
      <c r="U39" s="203">
        <f t="shared" si="11"/>
        <v>0</v>
      </c>
      <c r="V39" s="206">
        <f t="shared" si="12"/>
        <v>0</v>
      </c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</row>
    <row r="40" spans="1:81" s="195" customFormat="1">
      <c r="A40" s="196">
        <v>30</v>
      </c>
      <c r="B40" s="192"/>
      <c r="C40" s="197"/>
      <c r="D40" s="198"/>
      <c r="E40" s="198"/>
      <c r="F40" s="192"/>
      <c r="G40" s="208"/>
      <c r="H40" s="207"/>
      <c r="I40" s="207"/>
      <c r="J40" s="201">
        <f t="shared" si="0"/>
        <v>0</v>
      </c>
      <c r="K40" s="201">
        <f t="shared" si="1"/>
        <v>0</v>
      </c>
      <c r="L40" s="202">
        <f t="shared" si="2"/>
        <v>0</v>
      </c>
      <c r="M40" s="201">
        <f t="shared" si="3"/>
        <v>0</v>
      </c>
      <c r="N40" s="203">
        <f t="shared" si="4"/>
        <v>0</v>
      </c>
      <c r="O40" s="204">
        <f t="shared" si="5"/>
        <v>0</v>
      </c>
      <c r="P40" s="203">
        <f t="shared" si="6"/>
        <v>0</v>
      </c>
      <c r="Q40" s="204">
        <f t="shared" si="7"/>
        <v>0</v>
      </c>
      <c r="R40" s="205">
        <f t="shared" si="8"/>
        <v>0</v>
      </c>
      <c r="S40" s="203">
        <f t="shared" si="9"/>
        <v>0</v>
      </c>
      <c r="T40" s="204">
        <f t="shared" si="10"/>
        <v>0</v>
      </c>
      <c r="U40" s="203">
        <f t="shared" si="11"/>
        <v>0</v>
      </c>
      <c r="V40" s="206">
        <f t="shared" si="12"/>
        <v>0</v>
      </c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</row>
    <row r="41" spans="1:81" s="195" customFormat="1">
      <c r="A41" s="196">
        <v>31</v>
      </c>
      <c r="B41" s="192"/>
      <c r="C41" s="197"/>
      <c r="D41" s="198"/>
      <c r="E41" s="198"/>
      <c r="F41" s="192"/>
      <c r="G41" s="208"/>
      <c r="H41" s="207"/>
      <c r="I41" s="207"/>
      <c r="J41" s="201">
        <f t="shared" si="0"/>
        <v>0</v>
      </c>
      <c r="K41" s="201">
        <f t="shared" si="1"/>
        <v>0</v>
      </c>
      <c r="L41" s="202">
        <f t="shared" si="2"/>
        <v>0</v>
      </c>
      <c r="M41" s="201">
        <f t="shared" si="3"/>
        <v>0</v>
      </c>
      <c r="N41" s="203">
        <f t="shared" si="4"/>
        <v>0</v>
      </c>
      <c r="O41" s="204">
        <f t="shared" si="5"/>
        <v>0</v>
      </c>
      <c r="P41" s="203">
        <f t="shared" si="6"/>
        <v>0</v>
      </c>
      <c r="Q41" s="204">
        <f t="shared" si="7"/>
        <v>0</v>
      </c>
      <c r="R41" s="205">
        <f t="shared" si="8"/>
        <v>0</v>
      </c>
      <c r="S41" s="203">
        <f t="shared" si="9"/>
        <v>0</v>
      </c>
      <c r="T41" s="204">
        <f t="shared" si="10"/>
        <v>0</v>
      </c>
      <c r="U41" s="203">
        <f t="shared" si="11"/>
        <v>0</v>
      </c>
      <c r="V41" s="206">
        <f t="shared" si="12"/>
        <v>0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</row>
    <row r="42" spans="1:81" s="195" customFormat="1">
      <c r="A42" s="196">
        <v>32</v>
      </c>
      <c r="B42" s="192"/>
      <c r="C42" s="197"/>
      <c r="D42" s="198"/>
      <c r="E42" s="198"/>
      <c r="F42" s="192"/>
      <c r="G42" s="208"/>
      <c r="H42" s="207"/>
      <c r="I42" s="207"/>
      <c r="J42" s="201">
        <f t="shared" si="0"/>
        <v>0</v>
      </c>
      <c r="K42" s="201">
        <f t="shared" si="1"/>
        <v>0</v>
      </c>
      <c r="L42" s="202">
        <f t="shared" si="2"/>
        <v>0</v>
      </c>
      <c r="M42" s="201">
        <f t="shared" si="3"/>
        <v>0</v>
      </c>
      <c r="N42" s="203">
        <f t="shared" si="4"/>
        <v>0</v>
      </c>
      <c r="O42" s="204">
        <f t="shared" si="5"/>
        <v>0</v>
      </c>
      <c r="P42" s="203">
        <f t="shared" si="6"/>
        <v>0</v>
      </c>
      <c r="Q42" s="204">
        <f t="shared" si="7"/>
        <v>0</v>
      </c>
      <c r="R42" s="205">
        <f t="shared" si="8"/>
        <v>0</v>
      </c>
      <c r="S42" s="203">
        <f t="shared" si="9"/>
        <v>0</v>
      </c>
      <c r="T42" s="204">
        <f t="shared" si="10"/>
        <v>0</v>
      </c>
      <c r="U42" s="203">
        <f t="shared" si="11"/>
        <v>0</v>
      </c>
      <c r="V42" s="206">
        <f t="shared" si="12"/>
        <v>0</v>
      </c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</row>
    <row r="43" spans="1:81" s="195" customFormat="1">
      <c r="A43" s="196">
        <v>33</v>
      </c>
      <c r="B43" s="192"/>
      <c r="C43" s="197"/>
      <c r="D43" s="198"/>
      <c r="E43" s="198"/>
      <c r="F43" s="192"/>
      <c r="G43" s="208"/>
      <c r="H43" s="207"/>
      <c r="I43" s="207"/>
      <c r="J43" s="201">
        <f t="shared" si="0"/>
        <v>0</v>
      </c>
      <c r="K43" s="201">
        <f t="shared" si="1"/>
        <v>0</v>
      </c>
      <c r="L43" s="202">
        <f t="shared" si="2"/>
        <v>0</v>
      </c>
      <c r="M43" s="201">
        <f t="shared" si="3"/>
        <v>0</v>
      </c>
      <c r="N43" s="203">
        <f t="shared" si="4"/>
        <v>0</v>
      </c>
      <c r="O43" s="204">
        <f t="shared" si="5"/>
        <v>0</v>
      </c>
      <c r="P43" s="203">
        <f t="shared" si="6"/>
        <v>0</v>
      </c>
      <c r="Q43" s="204">
        <f t="shared" si="7"/>
        <v>0</v>
      </c>
      <c r="R43" s="205">
        <f t="shared" si="8"/>
        <v>0</v>
      </c>
      <c r="S43" s="203">
        <f t="shared" si="9"/>
        <v>0</v>
      </c>
      <c r="T43" s="204">
        <f t="shared" si="10"/>
        <v>0</v>
      </c>
      <c r="U43" s="203">
        <f t="shared" si="11"/>
        <v>0</v>
      </c>
      <c r="V43" s="206">
        <f t="shared" si="12"/>
        <v>0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</row>
    <row r="44" spans="1:81" s="195" customFormat="1">
      <c r="A44" s="196">
        <v>34</v>
      </c>
      <c r="B44" s="192"/>
      <c r="C44" s="197"/>
      <c r="D44" s="198"/>
      <c r="E44" s="198"/>
      <c r="F44" s="192"/>
      <c r="G44" s="208"/>
      <c r="H44" s="207"/>
      <c r="I44" s="207"/>
      <c r="J44" s="201">
        <f t="shared" si="0"/>
        <v>0</v>
      </c>
      <c r="K44" s="201">
        <f t="shared" si="1"/>
        <v>0</v>
      </c>
      <c r="L44" s="202">
        <f t="shared" si="2"/>
        <v>0</v>
      </c>
      <c r="M44" s="201">
        <f t="shared" si="3"/>
        <v>0</v>
      </c>
      <c r="N44" s="203">
        <f t="shared" si="4"/>
        <v>0</v>
      </c>
      <c r="O44" s="204">
        <f t="shared" si="5"/>
        <v>0</v>
      </c>
      <c r="P44" s="203">
        <f t="shared" si="6"/>
        <v>0</v>
      </c>
      <c r="Q44" s="204">
        <f t="shared" si="7"/>
        <v>0</v>
      </c>
      <c r="R44" s="205">
        <f t="shared" si="8"/>
        <v>0</v>
      </c>
      <c r="S44" s="203">
        <f t="shared" si="9"/>
        <v>0</v>
      </c>
      <c r="T44" s="204">
        <f t="shared" si="10"/>
        <v>0</v>
      </c>
      <c r="U44" s="203">
        <f t="shared" si="11"/>
        <v>0</v>
      </c>
      <c r="V44" s="206">
        <f t="shared" si="12"/>
        <v>0</v>
      </c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</row>
    <row r="45" spans="1:81" s="195" customFormat="1">
      <c r="A45" s="196">
        <v>35</v>
      </c>
      <c r="B45" s="192"/>
      <c r="C45" s="197"/>
      <c r="D45" s="198"/>
      <c r="E45" s="198"/>
      <c r="F45" s="192"/>
      <c r="G45" s="208" t="s">
        <v>1</v>
      </c>
      <c r="H45" s="207"/>
      <c r="I45" s="207"/>
      <c r="J45" s="201">
        <f t="shared" si="0"/>
        <v>0</v>
      </c>
      <c r="K45" s="201">
        <f t="shared" si="1"/>
        <v>0</v>
      </c>
      <c r="L45" s="202">
        <f t="shared" si="2"/>
        <v>0</v>
      </c>
      <c r="M45" s="201">
        <f>IF(J45=0,0,J45-L$7+0.3*F45/1000+0.3)</f>
        <v>0</v>
      </c>
      <c r="N45" s="203">
        <f t="shared" si="4"/>
        <v>0</v>
      </c>
      <c r="O45" s="204">
        <f t="shared" si="5"/>
        <v>0</v>
      </c>
      <c r="P45" s="203">
        <f t="shared" si="6"/>
        <v>0</v>
      </c>
      <c r="Q45" s="204">
        <f t="shared" si="7"/>
        <v>0</v>
      </c>
      <c r="R45" s="205">
        <f t="shared" si="8"/>
        <v>0</v>
      </c>
      <c r="S45" s="203">
        <f t="shared" si="9"/>
        <v>0</v>
      </c>
      <c r="T45" s="204">
        <f t="shared" si="10"/>
        <v>0</v>
      </c>
      <c r="U45" s="203">
        <f t="shared" si="11"/>
        <v>0</v>
      </c>
      <c r="V45" s="206">
        <f t="shared" si="12"/>
        <v>0</v>
      </c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</row>
    <row r="46" spans="1:81" s="195" customFormat="1" ht="17.25" thickBot="1">
      <c r="A46" s="196">
        <v>36</v>
      </c>
      <c r="B46" s="209"/>
      <c r="C46" s="210"/>
      <c r="D46" s="211"/>
      <c r="E46" s="211"/>
      <c r="F46" s="209"/>
      <c r="G46" s="212" t="s">
        <v>1</v>
      </c>
      <c r="H46" s="213"/>
      <c r="I46" s="213"/>
      <c r="J46" s="214">
        <f t="shared" si="0"/>
        <v>0</v>
      </c>
      <c r="K46" s="214">
        <f t="shared" si="1"/>
        <v>0</v>
      </c>
      <c r="L46" s="215">
        <f t="shared" si="2"/>
        <v>0</v>
      </c>
      <c r="M46" s="214">
        <f t="shared" si="3"/>
        <v>0</v>
      </c>
      <c r="N46" s="203">
        <f t="shared" si="4"/>
        <v>0</v>
      </c>
      <c r="O46" s="204">
        <f t="shared" si="5"/>
        <v>0</v>
      </c>
      <c r="P46" s="203">
        <f t="shared" si="6"/>
        <v>0</v>
      </c>
      <c r="Q46" s="204">
        <f t="shared" si="7"/>
        <v>0</v>
      </c>
      <c r="R46" s="205">
        <f t="shared" si="8"/>
        <v>0</v>
      </c>
      <c r="S46" s="203">
        <f t="shared" si="9"/>
        <v>0</v>
      </c>
      <c r="T46" s="204">
        <f t="shared" si="10"/>
        <v>0</v>
      </c>
      <c r="U46" s="203">
        <f t="shared" si="11"/>
        <v>0</v>
      </c>
      <c r="V46" s="206">
        <f t="shared" si="12"/>
        <v>0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</row>
    <row r="47" spans="1:81" ht="17.25" thickBot="1">
      <c r="A47" s="216"/>
      <c r="G47" s="146"/>
      <c r="H47" s="217"/>
      <c r="I47" s="217"/>
      <c r="J47" s="218"/>
      <c r="K47" s="201"/>
      <c r="L47" s="202"/>
      <c r="M47" s="219"/>
      <c r="N47" s="203"/>
      <c r="O47" s="204"/>
      <c r="P47" s="203"/>
      <c r="Q47" s="204"/>
      <c r="R47" s="205"/>
      <c r="S47" s="203"/>
      <c r="T47" s="204"/>
      <c r="U47" s="201"/>
      <c r="V47" s="201"/>
    </row>
    <row r="48" spans="1:81" s="227" customFormat="1" ht="17.25" thickBot="1">
      <c r="A48" s="220" t="s">
        <v>39</v>
      </c>
      <c r="B48" s="144"/>
      <c r="C48" s="144"/>
      <c r="D48" s="144"/>
      <c r="E48" s="144"/>
      <c r="F48" s="144"/>
      <c r="G48" s="153" t="s">
        <v>1</v>
      </c>
      <c r="H48" s="221">
        <f>SUM(H9:H46)</f>
        <v>0</v>
      </c>
      <c r="I48" s="221">
        <f>SUM(I9:I46)</f>
        <v>0</v>
      </c>
      <c r="J48" s="222"/>
      <c r="K48" s="223"/>
      <c r="L48" s="223"/>
      <c r="M48" s="223"/>
      <c r="N48" s="221">
        <f t="shared" ref="N48:S48" si="13">SUM(N11:N46)</f>
        <v>0</v>
      </c>
      <c r="O48" s="224">
        <f t="shared" si="13"/>
        <v>0</v>
      </c>
      <c r="P48" s="221">
        <f t="shared" si="13"/>
        <v>0</v>
      </c>
      <c r="Q48" s="224">
        <f t="shared" si="13"/>
        <v>0</v>
      </c>
      <c r="R48" s="225">
        <f t="shared" si="13"/>
        <v>0</v>
      </c>
      <c r="S48" s="221">
        <f t="shared" si="13"/>
        <v>0</v>
      </c>
      <c r="T48" s="224"/>
      <c r="U48" s="221">
        <f>SUM(U11:U46)</f>
        <v>0</v>
      </c>
      <c r="V48" s="226">
        <f>SUM(V11:V46)</f>
        <v>0</v>
      </c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4"/>
      <c r="BJ48" s="144"/>
      <c r="BK48" s="144"/>
      <c r="BL48" s="144"/>
      <c r="BM48" s="144"/>
      <c r="BN48" s="144"/>
      <c r="BO48" s="144"/>
      <c r="BP48" s="144"/>
      <c r="BQ48" s="144"/>
      <c r="BR48" s="144"/>
      <c r="BS48" s="144"/>
      <c r="BT48" s="144"/>
      <c r="BU48" s="144"/>
      <c r="BV48" s="144"/>
      <c r="BW48" s="144"/>
      <c r="BX48" s="144"/>
      <c r="BY48" s="144"/>
      <c r="BZ48" s="144"/>
      <c r="CA48" s="144"/>
      <c r="CB48" s="144"/>
      <c r="CC48" s="144"/>
    </row>
    <row r="49" spans="1:81">
      <c r="A49" s="184"/>
      <c r="H49" s="192"/>
      <c r="I49" s="192"/>
      <c r="J49" s="192"/>
      <c r="K49" s="192"/>
      <c r="L49" s="192"/>
      <c r="M49" s="192"/>
      <c r="N49" s="192"/>
    </row>
    <row r="50" spans="1:81">
      <c r="A50" s="184"/>
      <c r="H50" s="192"/>
      <c r="I50" s="192"/>
      <c r="J50" s="192"/>
      <c r="K50" s="192"/>
      <c r="L50" s="192"/>
      <c r="M50" s="192"/>
      <c r="N50" s="192"/>
    </row>
    <row r="51" spans="1:81" ht="17.25" thickBot="1">
      <c r="A51" s="184"/>
      <c r="B51" s="144" t="s">
        <v>40</v>
      </c>
      <c r="H51" s="192"/>
      <c r="I51" s="192"/>
      <c r="J51" s="192"/>
      <c r="K51" s="192"/>
      <c r="L51" s="192"/>
      <c r="M51" s="192"/>
      <c r="N51" s="192"/>
    </row>
    <row r="52" spans="1:81" s="234" customFormat="1" ht="17.25" thickBot="1">
      <c r="A52" s="228"/>
      <c r="B52" s="229" t="s">
        <v>41</v>
      </c>
      <c r="C52" s="185" t="s">
        <v>42</v>
      </c>
      <c r="D52" s="230" t="s">
        <v>43</v>
      </c>
      <c r="E52" s="230" t="s">
        <v>44</v>
      </c>
      <c r="F52" s="230" t="s">
        <v>45</v>
      </c>
      <c r="G52" s="230" t="s">
        <v>46</v>
      </c>
      <c r="H52" s="185" t="s">
        <v>47</v>
      </c>
      <c r="I52" s="185" t="s">
        <v>48</v>
      </c>
      <c r="J52" s="186" t="s">
        <v>49</v>
      </c>
      <c r="K52" s="186" t="s">
        <v>50</v>
      </c>
      <c r="L52" s="187" t="s">
        <v>51</v>
      </c>
      <c r="M52" s="186" t="s">
        <v>52</v>
      </c>
      <c r="N52" s="186" t="s">
        <v>53</v>
      </c>
      <c r="O52" s="186" t="s">
        <v>54</v>
      </c>
      <c r="P52" s="231" t="s">
        <v>37</v>
      </c>
      <c r="Q52" s="186" t="s">
        <v>55</v>
      </c>
      <c r="R52" s="141"/>
      <c r="S52" s="232" t="s">
        <v>56</v>
      </c>
      <c r="T52" s="232" t="s">
        <v>57</v>
      </c>
      <c r="U52" s="232" t="s">
        <v>58</v>
      </c>
      <c r="V52" s="233" t="s">
        <v>59</v>
      </c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1"/>
    </row>
    <row r="53" spans="1:81" ht="17.25" thickBot="1">
      <c r="A53" s="235">
        <v>1</v>
      </c>
      <c r="B53" s="236" t="s">
        <v>60</v>
      </c>
      <c r="C53" s="237"/>
      <c r="D53" s="238">
        <v>4</v>
      </c>
      <c r="E53" s="239">
        <v>2.2000000000000002</v>
      </c>
      <c r="F53" s="240">
        <v>0</v>
      </c>
      <c r="G53" s="240">
        <v>0</v>
      </c>
      <c r="H53" s="240">
        <v>0</v>
      </c>
      <c r="I53" s="217">
        <f>(IF(D53=4,F$115,F$116)*L6*(E53-L7)+F53*I3*I$4+(L$7-0.15)*I$5)*C53</f>
        <v>0</v>
      </c>
      <c r="J53" s="217">
        <f>C53*0.5*F$4</f>
        <v>0</v>
      </c>
      <c r="K53" s="241">
        <f>C53*I$7*I$3*I$4</f>
        <v>0</v>
      </c>
      <c r="L53" s="217">
        <f>G53*C53+I53+J53+K53</f>
        <v>0</v>
      </c>
      <c r="M53" s="217">
        <f>C53*(C$59+H53)</f>
        <v>0</v>
      </c>
      <c r="N53" s="217">
        <f>C53*E53*1*F$3</f>
        <v>0</v>
      </c>
      <c r="O53" s="217">
        <f>IF(C53=0,0,(L53+M53+N53)/C53)</f>
        <v>0</v>
      </c>
      <c r="P53" s="201">
        <f>L53+M53+N53</f>
        <v>0</v>
      </c>
      <c r="Q53" s="201">
        <f>O53*F$6</f>
        <v>0</v>
      </c>
      <c r="S53" s="242"/>
      <c r="T53" s="243"/>
      <c r="U53" s="242"/>
      <c r="V53" s="244"/>
    </row>
    <row r="54" spans="1:81" s="195" customFormat="1">
      <c r="A54" s="235">
        <v>2</v>
      </c>
      <c r="B54" s="245" t="s">
        <v>62</v>
      </c>
      <c r="C54" s="246"/>
      <c r="D54" s="247">
        <v>4</v>
      </c>
      <c r="E54" s="199">
        <v>2.2000000000000002</v>
      </c>
      <c r="F54" s="203">
        <v>0</v>
      </c>
      <c r="G54" s="248">
        <v>0</v>
      </c>
      <c r="H54" s="248">
        <v>0</v>
      </c>
      <c r="I54" s="203">
        <f>(F119*L6*(E54-L7)+F54*I3*I4+(L7-0.15)*I5*2)*C54</f>
        <v>0</v>
      </c>
      <c r="J54" s="203">
        <f>C54*1*F$4</f>
        <v>0</v>
      </c>
      <c r="K54" s="241">
        <f>C54*I$7*2*I$3*I$4</f>
        <v>0</v>
      </c>
      <c r="L54" s="203">
        <f>G54*C54+I54+J54+K54</f>
        <v>0</v>
      </c>
      <c r="M54" s="203">
        <f>C54*(C$60+H54)</f>
        <v>0</v>
      </c>
      <c r="N54" s="203">
        <f>C54*E54*1.8*F$3</f>
        <v>0</v>
      </c>
      <c r="O54" s="203">
        <f>IF(C54=0,0,(L54+M54+N54)/C54)</f>
        <v>0</v>
      </c>
      <c r="P54" s="201">
        <f>L54+M54+N54</f>
        <v>0</v>
      </c>
      <c r="Q54" s="201">
        <f>O54*F$6</f>
        <v>0</v>
      </c>
      <c r="R54" s="142"/>
      <c r="S54" s="249" t="s">
        <v>61</v>
      </c>
      <c r="T54" s="250">
        <f>Q48+L57</f>
        <v>0</v>
      </c>
      <c r="U54" s="251">
        <f>(F6-1)*T54</f>
        <v>0</v>
      </c>
      <c r="V54" s="252">
        <f>T54+U54</f>
        <v>0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</row>
    <row r="55" spans="1:81" s="195" customFormat="1">
      <c r="A55" s="235">
        <v>3</v>
      </c>
      <c r="B55" s="245" t="s">
        <v>64</v>
      </c>
      <c r="C55" s="246"/>
      <c r="D55" s="247">
        <v>4</v>
      </c>
      <c r="E55" s="199">
        <v>2.2000000000000002</v>
      </c>
      <c r="F55" s="203">
        <v>0</v>
      </c>
      <c r="G55" s="248">
        <v>0</v>
      </c>
      <c r="H55" s="248">
        <v>0</v>
      </c>
      <c r="I55" s="203">
        <f>(F117*L$6*(E55-L$7)+F55*I$3*I$4+(L7-0.15)*I$5)*C55</f>
        <v>0</v>
      </c>
      <c r="J55" s="203">
        <f>C55*0.5*F$4</f>
        <v>0</v>
      </c>
      <c r="K55" s="241">
        <f>C55*(F59*L6)</f>
        <v>0</v>
      </c>
      <c r="L55" s="203">
        <f>G55*C55+I55+J55+K55</f>
        <v>0</v>
      </c>
      <c r="M55" s="203">
        <f>C55*(C$61+H55)</f>
        <v>0</v>
      </c>
      <c r="N55" s="203">
        <f>C55*E55*1*F$3</f>
        <v>0</v>
      </c>
      <c r="O55" s="203">
        <f>IF(C55=0,0,(L55+M55+N55)/C55)</f>
        <v>0</v>
      </c>
      <c r="P55" s="201">
        <f>L55+M55+N55</f>
        <v>0</v>
      </c>
      <c r="Q55" s="201">
        <f>O55*F$6</f>
        <v>0</v>
      </c>
      <c r="R55" s="142"/>
      <c r="S55" s="253" t="s">
        <v>63</v>
      </c>
      <c r="T55" s="254">
        <f>R48+M57</f>
        <v>0</v>
      </c>
      <c r="U55" s="255">
        <f>(F6-1)*T55</f>
        <v>0</v>
      </c>
      <c r="V55" s="252">
        <f>T55+U55</f>
        <v>0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</row>
    <row r="56" spans="1:81" s="195" customFormat="1" ht="17.25" thickBot="1">
      <c r="A56" s="256">
        <v>4</v>
      </c>
      <c r="B56" s="257" t="s">
        <v>365</v>
      </c>
      <c r="C56" s="258"/>
      <c r="D56" s="259">
        <v>4</v>
      </c>
      <c r="E56" s="260">
        <v>2.2000000000000002</v>
      </c>
      <c r="F56" s="261">
        <v>0</v>
      </c>
      <c r="G56" s="248">
        <v>0</v>
      </c>
      <c r="H56" s="248">
        <v>0</v>
      </c>
      <c r="I56" s="203">
        <f>(F118*L$6*(E56-L$7)+F56*I$3*I$4+(L7-0.15)*I$5)*C56</f>
        <v>0</v>
      </c>
      <c r="J56" s="203">
        <f>C56*1*F$4</f>
        <v>0</v>
      </c>
      <c r="K56" s="241">
        <f>C56*(F60*L6)</f>
        <v>0</v>
      </c>
      <c r="L56" s="203">
        <f>G56*C56+I56+J56+K56</f>
        <v>0</v>
      </c>
      <c r="M56" s="203">
        <f>C56*(C$62+H56)</f>
        <v>0</v>
      </c>
      <c r="N56" s="203">
        <f>C56*E56*1.8*F$3</f>
        <v>0</v>
      </c>
      <c r="O56" s="203">
        <f>IF(C56=0,0,(L56+M56+N56)/C56)</f>
        <v>0</v>
      </c>
      <c r="P56" s="201">
        <f>L56+M56+N56</f>
        <v>0</v>
      </c>
      <c r="Q56" s="201">
        <f>O56*F$6</f>
        <v>0</v>
      </c>
      <c r="R56" s="142"/>
      <c r="S56" s="253" t="s">
        <v>65</v>
      </c>
      <c r="T56" s="254">
        <f>S48+N57</f>
        <v>0</v>
      </c>
      <c r="U56" s="255">
        <f>(F6-1)*T56</f>
        <v>0</v>
      </c>
      <c r="V56" s="252">
        <f>T56+U56</f>
        <v>0</v>
      </c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</row>
    <row r="57" spans="1:81" s="272" customFormat="1" ht="17.25" thickBot="1">
      <c r="A57" s="262" t="s">
        <v>66</v>
      </c>
      <c r="B57" s="263"/>
      <c r="C57" s="264">
        <f>SUM(C53:C56)</f>
        <v>0</v>
      </c>
      <c r="D57" s="263"/>
      <c r="E57" s="263"/>
      <c r="F57" s="265" t="s">
        <v>1</v>
      </c>
      <c r="G57" s="266">
        <f t="shared" ref="G57:N57" si="14">SUM(G53:G56)</f>
        <v>0</v>
      </c>
      <c r="H57" s="266">
        <f t="shared" si="14"/>
        <v>0</v>
      </c>
      <c r="I57" s="266">
        <f t="shared" si="14"/>
        <v>0</v>
      </c>
      <c r="J57" s="266">
        <f t="shared" si="14"/>
        <v>0</v>
      </c>
      <c r="K57" s="266">
        <f t="shared" si="14"/>
        <v>0</v>
      </c>
      <c r="L57" s="266">
        <f t="shared" si="14"/>
        <v>0</v>
      </c>
      <c r="M57" s="266">
        <f t="shared" si="14"/>
        <v>0</v>
      </c>
      <c r="N57" s="266">
        <f t="shared" si="14"/>
        <v>0</v>
      </c>
      <c r="O57" s="266"/>
      <c r="P57" s="267">
        <f>SUM(P53:P56)</f>
        <v>0</v>
      </c>
      <c r="Q57" s="268">
        <f>SUM(Q53:Q56)</f>
        <v>0</v>
      </c>
      <c r="R57" s="168"/>
      <c r="S57" s="269" t="s">
        <v>67</v>
      </c>
      <c r="T57" s="270">
        <f>SUM(T54:T56)</f>
        <v>0</v>
      </c>
      <c r="U57" s="271">
        <f>(F6-1)*T57</f>
        <v>0</v>
      </c>
      <c r="V57" s="270">
        <f>T57+U57</f>
        <v>0</v>
      </c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  <c r="AZ57" s="168"/>
      <c r="BA57" s="168"/>
      <c r="BB57" s="168"/>
      <c r="BC57" s="168"/>
      <c r="BD57" s="168"/>
      <c r="BE57" s="168"/>
      <c r="BF57" s="168"/>
      <c r="BG57" s="168"/>
      <c r="BH57" s="168"/>
      <c r="BI57" s="168"/>
      <c r="BJ57" s="168"/>
      <c r="BK57" s="168"/>
      <c r="BL57" s="168"/>
      <c r="BM57" s="168"/>
      <c r="BN57" s="168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</row>
    <row r="58" spans="1:81" ht="17.25" thickBot="1">
      <c r="A58" s="184"/>
    </row>
    <row r="59" spans="1:81">
      <c r="B59" s="273" t="s">
        <v>68</v>
      </c>
      <c r="C59" s="274">
        <v>200</v>
      </c>
      <c r="E59" s="147" t="s">
        <v>366</v>
      </c>
      <c r="F59" s="275">
        <v>465</v>
      </c>
      <c r="G59" s="276" t="s">
        <v>1</v>
      </c>
      <c r="Q59" s="277"/>
    </row>
    <row r="60" spans="1:81" ht="17.25" thickBot="1">
      <c r="B60" s="154" t="s">
        <v>69</v>
      </c>
      <c r="C60" s="278">
        <v>250</v>
      </c>
      <c r="E60" s="178" t="s">
        <v>367</v>
      </c>
      <c r="F60" s="279">
        <v>715</v>
      </c>
      <c r="G60" s="146" t="s">
        <v>1</v>
      </c>
      <c r="Q60" s="280"/>
    </row>
    <row r="61" spans="1:81">
      <c r="B61" s="154" t="s">
        <v>70</v>
      </c>
      <c r="C61" s="278">
        <v>220</v>
      </c>
      <c r="G61" s="146" t="s">
        <v>1</v>
      </c>
      <c r="Q61" s="280"/>
    </row>
    <row r="62" spans="1:81" ht="17.25" thickBot="1">
      <c r="A62" s="281"/>
      <c r="B62" s="175" t="s">
        <v>368</v>
      </c>
      <c r="C62" s="282">
        <v>280</v>
      </c>
      <c r="D62" s="281"/>
      <c r="E62" s="281"/>
      <c r="F62" s="281"/>
      <c r="G62" s="283" t="s">
        <v>1</v>
      </c>
      <c r="H62" s="281"/>
      <c r="I62" s="281"/>
      <c r="J62" s="281"/>
      <c r="K62" s="281"/>
      <c r="L62" s="281"/>
      <c r="M62" s="281"/>
      <c r="N62" s="281"/>
      <c r="O62" s="281"/>
      <c r="P62" s="281"/>
      <c r="Q62" s="284"/>
      <c r="R62" s="281"/>
      <c r="S62" s="281"/>
      <c r="T62" s="281"/>
      <c r="U62" s="281"/>
      <c r="V62" s="281"/>
    </row>
    <row r="63" spans="1:81">
      <c r="B63" s="285"/>
      <c r="C63" s="285"/>
      <c r="D63" s="285"/>
      <c r="E63" s="286"/>
      <c r="F63" s="285"/>
      <c r="I63" s="285"/>
      <c r="J63" s="287"/>
      <c r="K63" s="287"/>
      <c r="Q63" s="277"/>
    </row>
    <row r="64" spans="1:81" ht="17.25" thickBot="1">
      <c r="A64" s="216" t="s">
        <v>71</v>
      </c>
    </row>
    <row r="65" spans="1:12">
      <c r="A65" s="288" t="s">
        <v>72</v>
      </c>
      <c r="B65" s="289">
        <v>50</v>
      </c>
      <c r="C65" s="289">
        <v>601</v>
      </c>
      <c r="D65" s="289">
        <v>826</v>
      </c>
      <c r="E65" s="289">
        <v>1051</v>
      </c>
      <c r="F65" s="289">
        <v>1501</v>
      </c>
      <c r="G65" s="290" t="s">
        <v>73</v>
      </c>
      <c r="H65" s="289">
        <v>50</v>
      </c>
      <c r="I65" s="289">
        <v>451</v>
      </c>
      <c r="J65" s="289">
        <v>601</v>
      </c>
      <c r="K65" s="289">
        <v>826</v>
      </c>
      <c r="L65" s="291">
        <v>1051</v>
      </c>
    </row>
    <row r="66" spans="1:12" ht="17.25" thickBot="1">
      <c r="A66" s="292" t="s">
        <v>74</v>
      </c>
      <c r="B66" s="293">
        <v>1200</v>
      </c>
      <c r="C66" s="293">
        <v>1500</v>
      </c>
      <c r="D66" s="293">
        <v>1800</v>
      </c>
      <c r="E66" s="293">
        <v>2400</v>
      </c>
      <c r="F66" s="293" t="e">
        <f>NA()</f>
        <v>#N/A</v>
      </c>
      <c r="G66" s="294" t="s">
        <v>75</v>
      </c>
      <c r="H66" s="293">
        <v>1200</v>
      </c>
      <c r="I66" s="293">
        <v>1500</v>
      </c>
      <c r="J66" s="293">
        <v>1800</v>
      </c>
      <c r="K66" s="293">
        <v>2400</v>
      </c>
      <c r="L66" s="295" t="e">
        <f>NA()</f>
        <v>#N/A</v>
      </c>
    </row>
    <row r="67" spans="1:12">
      <c r="A67" s="216"/>
      <c r="G67" s="216"/>
    </row>
    <row r="68" spans="1:12" ht="17.25" thickBot="1">
      <c r="A68" s="216"/>
      <c r="G68" s="216"/>
    </row>
    <row r="69" spans="1:12">
      <c r="A69" s="142" t="s">
        <v>76</v>
      </c>
      <c r="C69" s="296" t="s">
        <v>381</v>
      </c>
      <c r="D69" s="297"/>
      <c r="E69" s="297"/>
      <c r="F69" s="298"/>
      <c r="G69" s="299" t="s">
        <v>77</v>
      </c>
    </row>
    <row r="70" spans="1:12">
      <c r="C70" s="300">
        <v>1200</v>
      </c>
      <c r="D70" s="301" t="e">
        <v>#N/A</v>
      </c>
      <c r="E70" s="302">
        <v>1800</v>
      </c>
      <c r="F70" s="303" t="e">
        <v>#N/A</v>
      </c>
      <c r="G70" s="299" t="s">
        <v>78</v>
      </c>
    </row>
    <row r="71" spans="1:12">
      <c r="C71" s="300">
        <v>1201</v>
      </c>
      <c r="D71" s="302">
        <v>2254.681</v>
      </c>
      <c r="E71" s="302">
        <v>1801.67</v>
      </c>
      <c r="F71" s="304">
        <v>6780.1253412967044</v>
      </c>
      <c r="G71" s="299" t="s">
        <v>79</v>
      </c>
    </row>
    <row r="72" spans="1:12">
      <c r="C72" s="300">
        <v>1201.33</v>
      </c>
      <c r="D72" s="302">
        <v>2603.3108470000002</v>
      </c>
      <c r="E72" s="302">
        <v>1802</v>
      </c>
      <c r="F72" s="304">
        <v>7531.5511602967044</v>
      </c>
    </row>
    <row r="73" spans="1:12">
      <c r="C73" s="300">
        <v>1201.67</v>
      </c>
      <c r="D73" s="302">
        <v>2952.9406940000003</v>
      </c>
      <c r="E73" s="302">
        <v>1802.33</v>
      </c>
      <c r="F73" s="304">
        <v>8282.9769792967054</v>
      </c>
    </row>
    <row r="74" spans="1:12">
      <c r="C74" s="300">
        <v>1202</v>
      </c>
      <c r="D74" s="302">
        <v>3301.5705410000005</v>
      </c>
      <c r="E74" s="302">
        <v>1802.67</v>
      </c>
      <c r="F74" s="304">
        <v>9035.5016993956069</v>
      </c>
    </row>
    <row r="75" spans="1:12">
      <c r="C75" s="300">
        <v>1202.33</v>
      </c>
      <c r="D75" s="302">
        <v>3205.1118880000004</v>
      </c>
      <c r="E75" s="302">
        <v>1803</v>
      </c>
      <c r="F75" s="304">
        <v>9786.927518395607</v>
      </c>
    </row>
    <row r="76" spans="1:12">
      <c r="C76" s="300">
        <v>1202.67</v>
      </c>
      <c r="D76" s="302">
        <v>3554.7417350000005</v>
      </c>
      <c r="E76" s="302">
        <v>1803.33</v>
      </c>
      <c r="F76" s="304">
        <v>10538.353337395607</v>
      </c>
    </row>
    <row r="77" spans="1:12">
      <c r="C77" s="300">
        <v>1203</v>
      </c>
      <c r="D77" s="302">
        <v>3903.3715820000007</v>
      </c>
      <c r="E77" s="302">
        <v>1803.67</v>
      </c>
      <c r="F77" s="304">
        <v>11290.878057494509</v>
      </c>
    </row>
    <row r="78" spans="1:12">
      <c r="C78" s="300">
        <v>1203.33</v>
      </c>
      <c r="D78" s="302">
        <v>4252.0014290000008</v>
      </c>
      <c r="E78" s="302">
        <v>1804</v>
      </c>
      <c r="F78" s="304">
        <v>10679.563623000002</v>
      </c>
    </row>
    <row r="79" spans="1:12">
      <c r="C79" s="300">
        <v>1203.67</v>
      </c>
      <c r="D79" s="302">
        <v>4600.6312760000019</v>
      </c>
      <c r="E79" s="302">
        <v>1804.33</v>
      </c>
      <c r="F79" s="304">
        <v>11028.193470000002</v>
      </c>
    </row>
    <row r="80" spans="1:12">
      <c r="C80" s="300">
        <v>1204</v>
      </c>
      <c r="D80" s="302">
        <v>4950.261123000002</v>
      </c>
      <c r="E80" s="302">
        <v>1804.67</v>
      </c>
      <c r="F80" s="304">
        <v>11376.823317000002</v>
      </c>
    </row>
    <row r="81" spans="3:6">
      <c r="C81" s="300">
        <v>1204.33</v>
      </c>
      <c r="D81" s="302">
        <v>5298.8909700000022</v>
      </c>
      <c r="E81" s="302">
        <v>1805</v>
      </c>
      <c r="F81" s="304">
        <v>11725.453164000002</v>
      </c>
    </row>
    <row r="82" spans="3:6">
      <c r="C82" s="300">
        <v>1204.67</v>
      </c>
      <c r="D82" s="302">
        <v>5647.5208170000024</v>
      </c>
      <c r="E82" s="302">
        <v>1805.33</v>
      </c>
      <c r="F82" s="304">
        <v>12075.083011000002</v>
      </c>
    </row>
    <row r="83" spans="3:6">
      <c r="C83" s="300">
        <v>1205</v>
      </c>
      <c r="D83" s="302">
        <v>5996.1506640000025</v>
      </c>
      <c r="E83" s="302">
        <v>1805.67</v>
      </c>
      <c r="F83" s="304">
        <v>12423.712858000003</v>
      </c>
    </row>
    <row r="84" spans="3:6">
      <c r="C84" s="300">
        <v>1205.33</v>
      </c>
      <c r="D84" s="302">
        <v>6345.7805110000027</v>
      </c>
      <c r="E84" s="302">
        <v>1806</v>
      </c>
      <c r="F84" s="304">
        <v>14732.142705000002</v>
      </c>
    </row>
    <row r="85" spans="3:6">
      <c r="C85" s="300">
        <v>1205.67</v>
      </c>
      <c r="D85" s="302">
        <v>6694.4103580000028</v>
      </c>
      <c r="E85" s="302">
        <v>1806.33</v>
      </c>
      <c r="F85" s="304">
        <v>15080.772552000002</v>
      </c>
    </row>
    <row r="86" spans="3:6">
      <c r="C86" s="300">
        <v>1206</v>
      </c>
      <c r="D86" s="302">
        <v>9002.8402050000022</v>
      </c>
      <c r="E86" s="302">
        <v>1806.67</v>
      </c>
      <c r="F86" s="304">
        <v>15430.402399000002</v>
      </c>
    </row>
    <row r="87" spans="3:6">
      <c r="C87" s="300">
        <v>1206.33</v>
      </c>
      <c r="D87" s="302">
        <v>9352.4700520000024</v>
      </c>
      <c r="E87" s="302">
        <v>1807</v>
      </c>
      <c r="F87" s="304">
        <v>15779.032246000002</v>
      </c>
    </row>
    <row r="88" spans="3:6">
      <c r="C88" s="300">
        <v>1206.67</v>
      </c>
      <c r="D88" s="302">
        <v>9701.0998990000026</v>
      </c>
      <c r="E88" s="302">
        <v>1807.33</v>
      </c>
      <c r="F88" s="304">
        <v>16127.662093000003</v>
      </c>
    </row>
    <row r="89" spans="3:6">
      <c r="C89" s="300">
        <v>1207</v>
      </c>
      <c r="D89" s="302">
        <v>10049.729746000003</v>
      </c>
      <c r="E89" s="302">
        <v>1807.67</v>
      </c>
      <c r="F89" s="304">
        <v>16477.291940000003</v>
      </c>
    </row>
    <row r="90" spans="3:6">
      <c r="C90" s="300">
        <v>1207.33</v>
      </c>
      <c r="D90" s="302">
        <v>10398.359593000003</v>
      </c>
      <c r="E90" s="302">
        <v>1808</v>
      </c>
      <c r="F90" s="304">
        <v>16825.921787000003</v>
      </c>
    </row>
    <row r="91" spans="3:6">
      <c r="C91" s="300">
        <v>1207.67</v>
      </c>
      <c r="D91" s="302">
        <v>10747.989440000003</v>
      </c>
      <c r="E91" s="302">
        <v>1808.33</v>
      </c>
      <c r="F91" s="304">
        <v>17174.551634000003</v>
      </c>
    </row>
    <row r="92" spans="3:6">
      <c r="C92" s="300">
        <v>1208</v>
      </c>
      <c r="D92" s="302">
        <v>11096.619287000003</v>
      </c>
      <c r="E92" s="302">
        <v>1808.67</v>
      </c>
      <c r="F92" s="304">
        <v>17523.181481000003</v>
      </c>
    </row>
    <row r="93" spans="3:6">
      <c r="C93" s="300">
        <v>1208.33</v>
      </c>
      <c r="D93" s="302">
        <v>11445.249134000003</v>
      </c>
      <c r="E93" s="302">
        <v>2400</v>
      </c>
      <c r="F93" s="305" t="e">
        <v>#N/A</v>
      </c>
    </row>
    <row r="94" spans="3:6">
      <c r="C94" s="300">
        <v>1208.67</v>
      </c>
      <c r="D94" s="302">
        <v>11793.878981000003</v>
      </c>
      <c r="E94" s="302">
        <v>2402</v>
      </c>
      <c r="F94" s="304">
        <v>14297.891812000002</v>
      </c>
    </row>
    <row r="95" spans="3:6">
      <c r="C95" s="300">
        <v>1500</v>
      </c>
      <c r="D95" s="306" t="e">
        <v>#N/A</v>
      </c>
      <c r="E95" s="302">
        <v>2402.33</v>
      </c>
      <c r="F95" s="304">
        <v>15637.478416000002</v>
      </c>
    </row>
    <row r="96" spans="3:6">
      <c r="C96" s="300">
        <v>1501.33</v>
      </c>
      <c r="D96" s="302">
        <v>4407.6950489999999</v>
      </c>
      <c r="E96" s="302">
        <v>2402.67</v>
      </c>
      <c r="F96" s="304">
        <v>16978.065020000002</v>
      </c>
    </row>
    <row r="97" spans="3:6">
      <c r="C97" s="300">
        <v>1501.67</v>
      </c>
      <c r="D97" s="302">
        <v>4936.123098</v>
      </c>
      <c r="E97" s="302">
        <v>2403</v>
      </c>
      <c r="F97" s="304">
        <v>18317.651624000006</v>
      </c>
    </row>
    <row r="98" spans="3:6">
      <c r="C98" s="300">
        <v>1502</v>
      </c>
      <c r="D98" s="302">
        <v>5465.5511470000001</v>
      </c>
      <c r="E98" s="302">
        <v>2403.33</v>
      </c>
      <c r="F98" s="304">
        <v>19657.238228000002</v>
      </c>
    </row>
    <row r="99" spans="3:6">
      <c r="C99" s="300">
        <v>1502.33</v>
      </c>
      <c r="D99" s="302">
        <v>5993.9791960000011</v>
      </c>
      <c r="E99" s="302">
        <v>2403.67</v>
      </c>
      <c r="F99" s="304">
        <v>20997.824832000006</v>
      </c>
    </row>
    <row r="100" spans="3:6">
      <c r="C100" s="300">
        <v>1502.67</v>
      </c>
      <c r="D100" s="302">
        <v>6522.4072450000012</v>
      </c>
      <c r="E100" s="302">
        <v>2404</v>
      </c>
      <c r="F100" s="304">
        <v>19674.547622999999</v>
      </c>
    </row>
    <row r="101" spans="3:6">
      <c r="C101" s="300">
        <v>1503</v>
      </c>
      <c r="D101" s="302">
        <v>7050.8352940000013</v>
      </c>
      <c r="E101" s="302">
        <v>2404.33</v>
      </c>
      <c r="F101" s="304">
        <v>20023.177469999999</v>
      </c>
    </row>
    <row r="102" spans="3:6">
      <c r="C102" s="300">
        <v>1503.33</v>
      </c>
      <c r="D102" s="302">
        <v>7580.2633430000014</v>
      </c>
      <c r="E102" s="302">
        <v>2404.67</v>
      </c>
      <c r="F102" s="304">
        <v>20371.807316999999</v>
      </c>
    </row>
    <row r="103" spans="3:6">
      <c r="C103" s="300">
        <v>1503.67</v>
      </c>
      <c r="D103" s="302">
        <v>8108.6913920000015</v>
      </c>
      <c r="E103" s="302">
        <v>2405</v>
      </c>
      <c r="F103" s="304">
        <v>20720.437163999999</v>
      </c>
    </row>
    <row r="104" spans="3:6">
      <c r="C104" s="300">
        <v>1504</v>
      </c>
      <c r="D104" s="302">
        <v>7955.9736230000017</v>
      </c>
      <c r="E104" s="302">
        <v>2405.33</v>
      </c>
      <c r="F104" s="304">
        <v>21069.067010999999</v>
      </c>
    </row>
    <row r="105" spans="3:6">
      <c r="C105" s="300">
        <v>1504.33</v>
      </c>
      <c r="D105" s="302">
        <v>8304.6034700000018</v>
      </c>
      <c r="E105" s="302">
        <v>2405.67</v>
      </c>
      <c r="F105" s="304">
        <v>21418.696857999999</v>
      </c>
    </row>
    <row r="106" spans="3:6">
      <c r="C106" s="300">
        <v>1504.67</v>
      </c>
      <c r="D106" s="302">
        <v>8653.233317000002</v>
      </c>
      <c r="E106" s="302">
        <v>2406</v>
      </c>
      <c r="F106" s="304">
        <v>23727.126704999999</v>
      </c>
    </row>
    <row r="107" spans="3:6">
      <c r="C107" s="300">
        <v>1505</v>
      </c>
      <c r="D107" s="302">
        <v>9002.8631640000021</v>
      </c>
      <c r="E107" s="302">
        <v>2406.33</v>
      </c>
      <c r="F107" s="304">
        <v>24075.756551999999</v>
      </c>
    </row>
    <row r="108" spans="3:6">
      <c r="C108" s="300">
        <v>1505.33</v>
      </c>
      <c r="D108" s="302">
        <v>9351.4930110000023</v>
      </c>
      <c r="E108" s="302">
        <v>2406.67</v>
      </c>
      <c r="F108" s="304">
        <v>24424.386398999999</v>
      </c>
    </row>
    <row r="109" spans="3:6">
      <c r="C109" s="300">
        <v>1505.67</v>
      </c>
      <c r="D109" s="302">
        <v>9700.1228580000025</v>
      </c>
      <c r="E109" s="302">
        <v>2407</v>
      </c>
      <c r="F109" s="304">
        <v>24774.016245999999</v>
      </c>
    </row>
    <row r="110" spans="3:6">
      <c r="C110" s="300">
        <v>1506</v>
      </c>
      <c r="D110" s="302">
        <v>12008.552705000002</v>
      </c>
      <c r="E110" s="302">
        <v>2407.33</v>
      </c>
      <c r="F110" s="304">
        <v>25122.646092999999</v>
      </c>
    </row>
    <row r="111" spans="3:6">
      <c r="C111" s="300">
        <v>1506.33</v>
      </c>
      <c r="D111" s="302">
        <v>12358.182552000002</v>
      </c>
      <c r="E111" s="302">
        <v>2407.67</v>
      </c>
      <c r="F111" s="304">
        <v>25471.27594</v>
      </c>
    </row>
    <row r="112" spans="3:6">
      <c r="C112" s="300">
        <v>1506.67</v>
      </c>
      <c r="D112" s="302">
        <v>12706.812399000002</v>
      </c>
      <c r="E112" s="302">
        <v>2408</v>
      </c>
      <c r="F112" s="304">
        <v>25820.905787</v>
      </c>
    </row>
    <row r="113" spans="3:6">
      <c r="C113" s="300">
        <v>1507</v>
      </c>
      <c r="D113" s="302">
        <v>13055.442246000002</v>
      </c>
      <c r="E113" s="302">
        <v>2408.33</v>
      </c>
      <c r="F113" s="304">
        <v>26169.535634</v>
      </c>
    </row>
    <row r="114" spans="3:6">
      <c r="C114" s="300">
        <v>1507.33</v>
      </c>
      <c r="D114" s="302">
        <v>13405.072093000002</v>
      </c>
      <c r="E114" s="302">
        <v>2408.67</v>
      </c>
      <c r="F114" s="304">
        <v>26518.165481</v>
      </c>
    </row>
    <row r="115" spans="3:6">
      <c r="C115" s="300">
        <v>1507.67</v>
      </c>
      <c r="D115" s="302">
        <v>13753.701940000003</v>
      </c>
      <c r="E115" s="307" t="s">
        <v>80</v>
      </c>
      <c r="F115" s="308">
        <v>685</v>
      </c>
    </row>
    <row r="116" spans="3:6">
      <c r="C116" s="300">
        <v>1508</v>
      </c>
      <c r="D116" s="302">
        <v>14102.331787000003</v>
      </c>
      <c r="E116" s="309" t="s">
        <v>81</v>
      </c>
      <c r="F116" s="310">
        <v>925.9</v>
      </c>
    </row>
    <row r="117" spans="3:6">
      <c r="C117" s="300">
        <v>1508.33</v>
      </c>
      <c r="D117" s="302">
        <v>14450.961634000003</v>
      </c>
      <c r="E117" s="309" t="s">
        <v>82</v>
      </c>
      <c r="F117" s="310">
        <v>1023.3</v>
      </c>
    </row>
    <row r="118" spans="3:6">
      <c r="C118" s="300">
        <v>1508.67</v>
      </c>
      <c r="D118" s="302">
        <v>14800.591481000003</v>
      </c>
      <c r="E118" s="309" t="s">
        <v>83</v>
      </c>
      <c r="F118" s="310">
        <v>1588.5</v>
      </c>
    </row>
    <row r="119" spans="3:6" ht="17.25" thickBot="1">
      <c r="C119" s="311"/>
      <c r="D119" s="312"/>
      <c r="E119" s="313" t="s">
        <v>84</v>
      </c>
      <c r="F119" s="314">
        <v>1329.3</v>
      </c>
    </row>
  </sheetData>
  <mergeCells count="1">
    <mergeCell ref="A1:V1"/>
  </mergeCells>
  <printOptions horizontalCentered="1" verticalCentered="1" gridLines="1"/>
  <pageMargins left="0.5" right="0.25" top="0.25" bottom="0.25" header="0.25" footer="0.25"/>
  <pageSetup paperSize="3" scale="70" orientation="landscape" horizontalDpi="4294967295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BT88"/>
  <sheetViews>
    <sheetView view="pageBreakPreview" zoomScale="70" zoomScaleNormal="100" zoomScaleSheetLayoutView="70" workbookViewId="0">
      <selection activeCell="H29" sqref="H29"/>
    </sheetView>
  </sheetViews>
  <sheetFormatPr defaultColWidth="12.42578125" defaultRowHeight="16.5"/>
  <cols>
    <col min="1" max="1" width="6.7109375" style="142" customWidth="1"/>
    <col min="2" max="2" width="25.28515625" style="142" customWidth="1"/>
    <col min="3" max="3" width="10" style="142" customWidth="1"/>
    <col min="4" max="5" width="7.5703125" style="142" customWidth="1"/>
    <col min="6" max="6" width="9" style="142" customWidth="1"/>
    <col min="7" max="7" width="7.140625" style="142" customWidth="1"/>
    <col min="8" max="8" width="10.5703125" style="142" bestFit="1" customWidth="1"/>
    <col min="9" max="9" width="9.85546875" style="142" customWidth="1"/>
    <col min="10" max="10" width="7.7109375" style="142" customWidth="1"/>
    <col min="11" max="11" width="9.85546875" style="142" customWidth="1"/>
    <col min="12" max="12" width="7.42578125" style="142" bestFit="1" customWidth="1"/>
    <col min="13" max="13" width="9.85546875" style="142" customWidth="1"/>
    <col min="14" max="14" width="8.85546875" style="142" customWidth="1"/>
    <col min="15" max="15" width="11.140625" style="142" bestFit="1" customWidth="1"/>
    <col min="16" max="17" width="9" style="142" customWidth="1"/>
    <col min="18" max="18" width="9.140625" style="142" customWidth="1"/>
    <col min="19" max="19" width="9.85546875" style="142" customWidth="1"/>
    <col min="20" max="20" width="10.5703125" style="142" customWidth="1"/>
    <col min="21" max="21" width="12.140625" style="142" customWidth="1"/>
    <col min="22" max="22" width="11.140625" style="142" customWidth="1"/>
    <col min="23" max="23" width="11.5703125" style="142" bestFit="1" customWidth="1"/>
    <col min="24" max="24" width="12" style="142" bestFit="1" customWidth="1"/>
    <col min="25" max="25" width="16.28515625" style="142" bestFit="1" customWidth="1"/>
    <col min="26" max="26" width="13.42578125" style="142" customWidth="1"/>
    <col min="27" max="27" width="14.42578125" style="142" customWidth="1"/>
    <col min="28" max="28" width="18.7109375" style="142" bestFit="1" customWidth="1"/>
    <col min="29" max="29" width="7.85546875" style="142" customWidth="1"/>
    <col min="30" max="30" width="9.85546875" style="142" customWidth="1"/>
    <col min="31" max="31" width="16.7109375" style="142" bestFit="1" customWidth="1"/>
    <col min="32" max="32" width="11.140625" style="142" bestFit="1" customWidth="1"/>
    <col min="33" max="72" width="12.42578125" style="142"/>
    <col min="73" max="255" width="12.42578125" style="145"/>
    <col min="256" max="256" width="6.7109375" style="145" customWidth="1"/>
    <col min="257" max="257" width="25.28515625" style="145" customWidth="1"/>
    <col min="258" max="258" width="10" style="145" customWidth="1"/>
    <col min="259" max="260" width="7.5703125" style="145" customWidth="1"/>
    <col min="261" max="261" width="9" style="145" customWidth="1"/>
    <col min="262" max="262" width="7.140625" style="145" customWidth="1"/>
    <col min="263" max="263" width="10.5703125" style="145" bestFit="1" customWidth="1"/>
    <col min="264" max="264" width="9.85546875" style="145" customWidth="1"/>
    <col min="265" max="265" width="7.7109375" style="145" customWidth="1"/>
    <col min="266" max="266" width="9.85546875" style="145" customWidth="1"/>
    <col min="267" max="267" width="7.42578125" style="145" bestFit="1" customWidth="1"/>
    <col min="268" max="268" width="9.85546875" style="145" customWidth="1"/>
    <col min="269" max="269" width="8.85546875" style="145" customWidth="1"/>
    <col min="270" max="270" width="11.140625" style="145" bestFit="1" customWidth="1"/>
    <col min="271" max="272" width="9" style="145" customWidth="1"/>
    <col min="273" max="273" width="9.140625" style="145" customWidth="1"/>
    <col min="274" max="274" width="9.85546875" style="145" customWidth="1"/>
    <col min="275" max="275" width="10.5703125" style="145" customWidth="1"/>
    <col min="276" max="276" width="12.140625" style="145" customWidth="1"/>
    <col min="277" max="277" width="11.140625" style="145" customWidth="1"/>
    <col min="278" max="278" width="11.5703125" style="145" bestFit="1" customWidth="1"/>
    <col min="279" max="279" width="12" style="145" bestFit="1" customWidth="1"/>
    <col min="280" max="280" width="16.28515625" style="145" bestFit="1" customWidth="1"/>
    <col min="281" max="281" width="13.42578125" style="145" customWidth="1"/>
    <col min="282" max="282" width="14.42578125" style="145" customWidth="1"/>
    <col min="283" max="283" width="18.7109375" style="145" bestFit="1" customWidth="1"/>
    <col min="284" max="284" width="7.85546875" style="145" customWidth="1"/>
    <col min="285" max="285" width="9.85546875" style="145" customWidth="1"/>
    <col min="286" max="287" width="11" style="145" bestFit="1" customWidth="1"/>
    <col min="288" max="288" width="11.140625" style="145" bestFit="1" customWidth="1"/>
    <col min="289" max="511" width="12.42578125" style="145"/>
    <col min="512" max="512" width="6.7109375" style="145" customWidth="1"/>
    <col min="513" max="513" width="25.28515625" style="145" customWidth="1"/>
    <col min="514" max="514" width="10" style="145" customWidth="1"/>
    <col min="515" max="516" width="7.5703125" style="145" customWidth="1"/>
    <col min="517" max="517" width="9" style="145" customWidth="1"/>
    <col min="518" max="518" width="7.140625" style="145" customWidth="1"/>
    <col min="519" max="519" width="10.5703125" style="145" bestFit="1" customWidth="1"/>
    <col min="520" max="520" width="9.85546875" style="145" customWidth="1"/>
    <col min="521" max="521" width="7.7109375" style="145" customWidth="1"/>
    <col min="522" max="522" width="9.85546875" style="145" customWidth="1"/>
    <col min="523" max="523" width="7.42578125" style="145" bestFit="1" customWidth="1"/>
    <col min="524" max="524" width="9.85546875" style="145" customWidth="1"/>
    <col min="525" max="525" width="8.85546875" style="145" customWidth="1"/>
    <col min="526" max="526" width="11.140625" style="145" bestFit="1" customWidth="1"/>
    <col min="527" max="528" width="9" style="145" customWidth="1"/>
    <col min="529" max="529" width="9.140625" style="145" customWidth="1"/>
    <col min="530" max="530" width="9.85546875" style="145" customWidth="1"/>
    <col min="531" max="531" width="10.5703125" style="145" customWidth="1"/>
    <col min="532" max="532" width="12.140625" style="145" customWidth="1"/>
    <col min="533" max="533" width="11.140625" style="145" customWidth="1"/>
    <col min="534" max="534" width="11.5703125" style="145" bestFit="1" customWidth="1"/>
    <col min="535" max="535" width="12" style="145" bestFit="1" customWidth="1"/>
    <col min="536" max="536" width="16.28515625" style="145" bestFit="1" customWidth="1"/>
    <col min="537" max="537" width="13.42578125" style="145" customWidth="1"/>
    <col min="538" max="538" width="14.42578125" style="145" customWidth="1"/>
    <col min="539" max="539" width="18.7109375" style="145" bestFit="1" customWidth="1"/>
    <col min="540" max="540" width="7.85546875" style="145" customWidth="1"/>
    <col min="541" max="541" width="9.85546875" style="145" customWidth="1"/>
    <col min="542" max="543" width="11" style="145" bestFit="1" customWidth="1"/>
    <col min="544" max="544" width="11.140625" style="145" bestFit="1" customWidth="1"/>
    <col min="545" max="767" width="12.42578125" style="145"/>
    <col min="768" max="768" width="6.7109375" style="145" customWidth="1"/>
    <col min="769" max="769" width="25.28515625" style="145" customWidth="1"/>
    <col min="770" max="770" width="10" style="145" customWidth="1"/>
    <col min="771" max="772" width="7.5703125" style="145" customWidth="1"/>
    <col min="773" max="773" width="9" style="145" customWidth="1"/>
    <col min="774" max="774" width="7.140625" style="145" customWidth="1"/>
    <col min="775" max="775" width="10.5703125" style="145" bestFit="1" customWidth="1"/>
    <col min="776" max="776" width="9.85546875" style="145" customWidth="1"/>
    <col min="777" max="777" width="7.7109375" style="145" customWidth="1"/>
    <col min="778" max="778" width="9.85546875" style="145" customWidth="1"/>
    <col min="779" max="779" width="7.42578125" style="145" bestFit="1" customWidth="1"/>
    <col min="780" max="780" width="9.85546875" style="145" customWidth="1"/>
    <col min="781" max="781" width="8.85546875" style="145" customWidth="1"/>
    <col min="782" max="782" width="11.140625" style="145" bestFit="1" customWidth="1"/>
    <col min="783" max="784" width="9" style="145" customWidth="1"/>
    <col min="785" max="785" width="9.140625" style="145" customWidth="1"/>
    <col min="786" max="786" width="9.85546875" style="145" customWidth="1"/>
    <col min="787" max="787" width="10.5703125" style="145" customWidth="1"/>
    <col min="788" max="788" width="12.140625" style="145" customWidth="1"/>
    <col min="789" max="789" width="11.140625" style="145" customWidth="1"/>
    <col min="790" max="790" width="11.5703125" style="145" bestFit="1" customWidth="1"/>
    <col min="791" max="791" width="12" style="145" bestFit="1" customWidth="1"/>
    <col min="792" max="792" width="16.28515625" style="145" bestFit="1" customWidth="1"/>
    <col min="793" max="793" width="13.42578125" style="145" customWidth="1"/>
    <col min="794" max="794" width="14.42578125" style="145" customWidth="1"/>
    <col min="795" max="795" width="18.7109375" style="145" bestFit="1" customWidth="1"/>
    <col min="796" max="796" width="7.85546875" style="145" customWidth="1"/>
    <col min="797" max="797" width="9.85546875" style="145" customWidth="1"/>
    <col min="798" max="799" width="11" style="145" bestFit="1" customWidth="1"/>
    <col min="800" max="800" width="11.140625" style="145" bestFit="1" customWidth="1"/>
    <col min="801" max="1023" width="12.42578125" style="145"/>
    <col min="1024" max="1024" width="6.7109375" style="145" customWidth="1"/>
    <col min="1025" max="1025" width="25.28515625" style="145" customWidth="1"/>
    <col min="1026" max="1026" width="10" style="145" customWidth="1"/>
    <col min="1027" max="1028" width="7.5703125" style="145" customWidth="1"/>
    <col min="1029" max="1029" width="9" style="145" customWidth="1"/>
    <col min="1030" max="1030" width="7.140625" style="145" customWidth="1"/>
    <col min="1031" max="1031" width="10.5703125" style="145" bestFit="1" customWidth="1"/>
    <col min="1032" max="1032" width="9.85546875" style="145" customWidth="1"/>
    <col min="1033" max="1033" width="7.7109375" style="145" customWidth="1"/>
    <col min="1034" max="1034" width="9.85546875" style="145" customWidth="1"/>
    <col min="1035" max="1035" width="7.42578125" style="145" bestFit="1" customWidth="1"/>
    <col min="1036" max="1036" width="9.85546875" style="145" customWidth="1"/>
    <col min="1037" max="1037" width="8.85546875" style="145" customWidth="1"/>
    <col min="1038" max="1038" width="11.140625" style="145" bestFit="1" customWidth="1"/>
    <col min="1039" max="1040" width="9" style="145" customWidth="1"/>
    <col min="1041" max="1041" width="9.140625" style="145" customWidth="1"/>
    <col min="1042" max="1042" width="9.85546875" style="145" customWidth="1"/>
    <col min="1043" max="1043" width="10.5703125" style="145" customWidth="1"/>
    <col min="1044" max="1044" width="12.140625" style="145" customWidth="1"/>
    <col min="1045" max="1045" width="11.140625" style="145" customWidth="1"/>
    <col min="1046" max="1046" width="11.5703125" style="145" bestFit="1" customWidth="1"/>
    <col min="1047" max="1047" width="12" style="145" bestFit="1" customWidth="1"/>
    <col min="1048" max="1048" width="16.28515625" style="145" bestFit="1" customWidth="1"/>
    <col min="1049" max="1049" width="13.42578125" style="145" customWidth="1"/>
    <col min="1050" max="1050" width="14.42578125" style="145" customWidth="1"/>
    <col min="1051" max="1051" width="18.7109375" style="145" bestFit="1" customWidth="1"/>
    <col min="1052" max="1052" width="7.85546875" style="145" customWidth="1"/>
    <col min="1053" max="1053" width="9.85546875" style="145" customWidth="1"/>
    <col min="1054" max="1055" width="11" style="145" bestFit="1" customWidth="1"/>
    <col min="1056" max="1056" width="11.140625" style="145" bestFit="1" customWidth="1"/>
    <col min="1057" max="1279" width="12.42578125" style="145"/>
    <col min="1280" max="1280" width="6.7109375" style="145" customWidth="1"/>
    <col min="1281" max="1281" width="25.28515625" style="145" customWidth="1"/>
    <col min="1282" max="1282" width="10" style="145" customWidth="1"/>
    <col min="1283" max="1284" width="7.5703125" style="145" customWidth="1"/>
    <col min="1285" max="1285" width="9" style="145" customWidth="1"/>
    <col min="1286" max="1286" width="7.140625" style="145" customWidth="1"/>
    <col min="1287" max="1287" width="10.5703125" style="145" bestFit="1" customWidth="1"/>
    <col min="1288" max="1288" width="9.85546875" style="145" customWidth="1"/>
    <col min="1289" max="1289" width="7.7109375" style="145" customWidth="1"/>
    <col min="1290" max="1290" width="9.85546875" style="145" customWidth="1"/>
    <col min="1291" max="1291" width="7.42578125" style="145" bestFit="1" customWidth="1"/>
    <col min="1292" max="1292" width="9.85546875" style="145" customWidth="1"/>
    <col min="1293" max="1293" width="8.85546875" style="145" customWidth="1"/>
    <col min="1294" max="1294" width="11.140625" style="145" bestFit="1" customWidth="1"/>
    <col min="1295" max="1296" width="9" style="145" customWidth="1"/>
    <col min="1297" max="1297" width="9.140625" style="145" customWidth="1"/>
    <col min="1298" max="1298" width="9.85546875" style="145" customWidth="1"/>
    <col min="1299" max="1299" width="10.5703125" style="145" customWidth="1"/>
    <col min="1300" max="1300" width="12.140625" style="145" customWidth="1"/>
    <col min="1301" max="1301" width="11.140625" style="145" customWidth="1"/>
    <col min="1302" max="1302" width="11.5703125" style="145" bestFit="1" customWidth="1"/>
    <col min="1303" max="1303" width="12" style="145" bestFit="1" customWidth="1"/>
    <col min="1304" max="1304" width="16.28515625" style="145" bestFit="1" customWidth="1"/>
    <col min="1305" max="1305" width="13.42578125" style="145" customWidth="1"/>
    <col min="1306" max="1306" width="14.42578125" style="145" customWidth="1"/>
    <col min="1307" max="1307" width="18.7109375" style="145" bestFit="1" customWidth="1"/>
    <col min="1308" max="1308" width="7.85546875" style="145" customWidth="1"/>
    <col min="1309" max="1309" width="9.85546875" style="145" customWidth="1"/>
    <col min="1310" max="1311" width="11" style="145" bestFit="1" customWidth="1"/>
    <col min="1312" max="1312" width="11.140625" style="145" bestFit="1" customWidth="1"/>
    <col min="1313" max="1535" width="12.42578125" style="145"/>
    <col min="1536" max="1536" width="6.7109375" style="145" customWidth="1"/>
    <col min="1537" max="1537" width="25.28515625" style="145" customWidth="1"/>
    <col min="1538" max="1538" width="10" style="145" customWidth="1"/>
    <col min="1539" max="1540" width="7.5703125" style="145" customWidth="1"/>
    <col min="1541" max="1541" width="9" style="145" customWidth="1"/>
    <col min="1542" max="1542" width="7.140625" style="145" customWidth="1"/>
    <col min="1543" max="1543" width="10.5703125" style="145" bestFit="1" customWidth="1"/>
    <col min="1544" max="1544" width="9.85546875" style="145" customWidth="1"/>
    <col min="1545" max="1545" width="7.7109375" style="145" customWidth="1"/>
    <col min="1546" max="1546" width="9.85546875" style="145" customWidth="1"/>
    <col min="1547" max="1547" width="7.42578125" style="145" bestFit="1" customWidth="1"/>
    <col min="1548" max="1548" width="9.85546875" style="145" customWidth="1"/>
    <col min="1549" max="1549" width="8.85546875" style="145" customWidth="1"/>
    <col min="1550" max="1550" width="11.140625" style="145" bestFit="1" customWidth="1"/>
    <col min="1551" max="1552" width="9" style="145" customWidth="1"/>
    <col min="1553" max="1553" width="9.140625" style="145" customWidth="1"/>
    <col min="1554" max="1554" width="9.85546875" style="145" customWidth="1"/>
    <col min="1555" max="1555" width="10.5703125" style="145" customWidth="1"/>
    <col min="1556" max="1556" width="12.140625" style="145" customWidth="1"/>
    <col min="1557" max="1557" width="11.140625" style="145" customWidth="1"/>
    <col min="1558" max="1558" width="11.5703125" style="145" bestFit="1" customWidth="1"/>
    <col min="1559" max="1559" width="12" style="145" bestFit="1" customWidth="1"/>
    <col min="1560" max="1560" width="16.28515625" style="145" bestFit="1" customWidth="1"/>
    <col min="1561" max="1561" width="13.42578125" style="145" customWidth="1"/>
    <col min="1562" max="1562" width="14.42578125" style="145" customWidth="1"/>
    <col min="1563" max="1563" width="18.7109375" style="145" bestFit="1" customWidth="1"/>
    <col min="1564" max="1564" width="7.85546875" style="145" customWidth="1"/>
    <col min="1565" max="1565" width="9.85546875" style="145" customWidth="1"/>
    <col min="1566" max="1567" width="11" style="145" bestFit="1" customWidth="1"/>
    <col min="1568" max="1568" width="11.140625" style="145" bestFit="1" customWidth="1"/>
    <col min="1569" max="1791" width="12.42578125" style="145"/>
    <col min="1792" max="1792" width="6.7109375" style="145" customWidth="1"/>
    <col min="1793" max="1793" width="25.28515625" style="145" customWidth="1"/>
    <col min="1794" max="1794" width="10" style="145" customWidth="1"/>
    <col min="1795" max="1796" width="7.5703125" style="145" customWidth="1"/>
    <col min="1797" max="1797" width="9" style="145" customWidth="1"/>
    <col min="1798" max="1798" width="7.140625" style="145" customWidth="1"/>
    <col min="1799" max="1799" width="10.5703125" style="145" bestFit="1" customWidth="1"/>
    <col min="1800" max="1800" width="9.85546875" style="145" customWidth="1"/>
    <col min="1801" max="1801" width="7.7109375" style="145" customWidth="1"/>
    <col min="1802" max="1802" width="9.85546875" style="145" customWidth="1"/>
    <col min="1803" max="1803" width="7.42578125" style="145" bestFit="1" customWidth="1"/>
    <col min="1804" max="1804" width="9.85546875" style="145" customWidth="1"/>
    <col min="1805" max="1805" width="8.85546875" style="145" customWidth="1"/>
    <col min="1806" max="1806" width="11.140625" style="145" bestFit="1" customWidth="1"/>
    <col min="1807" max="1808" width="9" style="145" customWidth="1"/>
    <col min="1809" max="1809" width="9.140625" style="145" customWidth="1"/>
    <col min="1810" max="1810" width="9.85546875" style="145" customWidth="1"/>
    <col min="1811" max="1811" width="10.5703125" style="145" customWidth="1"/>
    <col min="1812" max="1812" width="12.140625" style="145" customWidth="1"/>
    <col min="1813" max="1813" width="11.140625" style="145" customWidth="1"/>
    <col min="1814" max="1814" width="11.5703125" style="145" bestFit="1" customWidth="1"/>
    <col min="1815" max="1815" width="12" style="145" bestFit="1" customWidth="1"/>
    <col min="1816" max="1816" width="16.28515625" style="145" bestFit="1" customWidth="1"/>
    <col min="1817" max="1817" width="13.42578125" style="145" customWidth="1"/>
    <col min="1818" max="1818" width="14.42578125" style="145" customWidth="1"/>
    <col min="1819" max="1819" width="18.7109375" style="145" bestFit="1" customWidth="1"/>
    <col min="1820" max="1820" width="7.85546875" style="145" customWidth="1"/>
    <col min="1821" max="1821" width="9.85546875" style="145" customWidth="1"/>
    <col min="1822" max="1823" width="11" style="145" bestFit="1" customWidth="1"/>
    <col min="1824" max="1824" width="11.140625" style="145" bestFit="1" customWidth="1"/>
    <col min="1825" max="2047" width="12.42578125" style="145"/>
    <col min="2048" max="2048" width="6.7109375" style="145" customWidth="1"/>
    <col min="2049" max="2049" width="25.28515625" style="145" customWidth="1"/>
    <col min="2050" max="2050" width="10" style="145" customWidth="1"/>
    <col min="2051" max="2052" width="7.5703125" style="145" customWidth="1"/>
    <col min="2053" max="2053" width="9" style="145" customWidth="1"/>
    <col min="2054" max="2054" width="7.140625" style="145" customWidth="1"/>
    <col min="2055" max="2055" width="10.5703125" style="145" bestFit="1" customWidth="1"/>
    <col min="2056" max="2056" width="9.85546875" style="145" customWidth="1"/>
    <col min="2057" max="2057" width="7.7109375" style="145" customWidth="1"/>
    <col min="2058" max="2058" width="9.85546875" style="145" customWidth="1"/>
    <col min="2059" max="2059" width="7.42578125" style="145" bestFit="1" customWidth="1"/>
    <col min="2060" max="2060" width="9.85546875" style="145" customWidth="1"/>
    <col min="2061" max="2061" width="8.85546875" style="145" customWidth="1"/>
    <col min="2062" max="2062" width="11.140625" style="145" bestFit="1" customWidth="1"/>
    <col min="2063" max="2064" width="9" style="145" customWidth="1"/>
    <col min="2065" max="2065" width="9.140625" style="145" customWidth="1"/>
    <col min="2066" max="2066" width="9.85546875" style="145" customWidth="1"/>
    <col min="2067" max="2067" width="10.5703125" style="145" customWidth="1"/>
    <col min="2068" max="2068" width="12.140625" style="145" customWidth="1"/>
    <col min="2069" max="2069" width="11.140625" style="145" customWidth="1"/>
    <col min="2070" max="2070" width="11.5703125" style="145" bestFit="1" customWidth="1"/>
    <col min="2071" max="2071" width="12" style="145" bestFit="1" customWidth="1"/>
    <col min="2072" max="2072" width="16.28515625" style="145" bestFit="1" customWidth="1"/>
    <col min="2073" max="2073" width="13.42578125" style="145" customWidth="1"/>
    <col min="2074" max="2074" width="14.42578125" style="145" customWidth="1"/>
    <col min="2075" max="2075" width="18.7109375" style="145" bestFit="1" customWidth="1"/>
    <col min="2076" max="2076" width="7.85546875" style="145" customWidth="1"/>
    <col min="2077" max="2077" width="9.85546875" style="145" customWidth="1"/>
    <col min="2078" max="2079" width="11" style="145" bestFit="1" customWidth="1"/>
    <col min="2080" max="2080" width="11.140625" style="145" bestFit="1" customWidth="1"/>
    <col min="2081" max="2303" width="12.42578125" style="145"/>
    <col min="2304" max="2304" width="6.7109375" style="145" customWidth="1"/>
    <col min="2305" max="2305" width="25.28515625" style="145" customWidth="1"/>
    <col min="2306" max="2306" width="10" style="145" customWidth="1"/>
    <col min="2307" max="2308" width="7.5703125" style="145" customWidth="1"/>
    <col min="2309" max="2309" width="9" style="145" customWidth="1"/>
    <col min="2310" max="2310" width="7.140625" style="145" customWidth="1"/>
    <col min="2311" max="2311" width="10.5703125" style="145" bestFit="1" customWidth="1"/>
    <col min="2312" max="2312" width="9.85546875" style="145" customWidth="1"/>
    <col min="2313" max="2313" width="7.7109375" style="145" customWidth="1"/>
    <col min="2314" max="2314" width="9.85546875" style="145" customWidth="1"/>
    <col min="2315" max="2315" width="7.42578125" style="145" bestFit="1" customWidth="1"/>
    <col min="2316" max="2316" width="9.85546875" style="145" customWidth="1"/>
    <col min="2317" max="2317" width="8.85546875" style="145" customWidth="1"/>
    <col min="2318" max="2318" width="11.140625" style="145" bestFit="1" customWidth="1"/>
    <col min="2319" max="2320" width="9" style="145" customWidth="1"/>
    <col min="2321" max="2321" width="9.140625" style="145" customWidth="1"/>
    <col min="2322" max="2322" width="9.85546875" style="145" customWidth="1"/>
    <col min="2323" max="2323" width="10.5703125" style="145" customWidth="1"/>
    <col min="2324" max="2324" width="12.140625" style="145" customWidth="1"/>
    <col min="2325" max="2325" width="11.140625" style="145" customWidth="1"/>
    <col min="2326" max="2326" width="11.5703125" style="145" bestFit="1" customWidth="1"/>
    <col min="2327" max="2327" width="12" style="145" bestFit="1" customWidth="1"/>
    <col min="2328" max="2328" width="16.28515625" style="145" bestFit="1" customWidth="1"/>
    <col min="2329" max="2329" width="13.42578125" style="145" customWidth="1"/>
    <col min="2330" max="2330" width="14.42578125" style="145" customWidth="1"/>
    <col min="2331" max="2331" width="18.7109375" style="145" bestFit="1" customWidth="1"/>
    <col min="2332" max="2332" width="7.85546875" style="145" customWidth="1"/>
    <col min="2333" max="2333" width="9.85546875" style="145" customWidth="1"/>
    <col min="2334" max="2335" width="11" style="145" bestFit="1" customWidth="1"/>
    <col min="2336" max="2336" width="11.140625" style="145" bestFit="1" customWidth="1"/>
    <col min="2337" max="2559" width="12.42578125" style="145"/>
    <col min="2560" max="2560" width="6.7109375" style="145" customWidth="1"/>
    <col min="2561" max="2561" width="25.28515625" style="145" customWidth="1"/>
    <col min="2562" max="2562" width="10" style="145" customWidth="1"/>
    <col min="2563" max="2564" width="7.5703125" style="145" customWidth="1"/>
    <col min="2565" max="2565" width="9" style="145" customWidth="1"/>
    <col min="2566" max="2566" width="7.140625" style="145" customWidth="1"/>
    <col min="2567" max="2567" width="10.5703125" style="145" bestFit="1" customWidth="1"/>
    <col min="2568" max="2568" width="9.85546875" style="145" customWidth="1"/>
    <col min="2569" max="2569" width="7.7109375" style="145" customWidth="1"/>
    <col min="2570" max="2570" width="9.85546875" style="145" customWidth="1"/>
    <col min="2571" max="2571" width="7.42578125" style="145" bestFit="1" customWidth="1"/>
    <col min="2572" max="2572" width="9.85546875" style="145" customWidth="1"/>
    <col min="2573" max="2573" width="8.85546875" style="145" customWidth="1"/>
    <col min="2574" max="2574" width="11.140625" style="145" bestFit="1" customWidth="1"/>
    <col min="2575" max="2576" width="9" style="145" customWidth="1"/>
    <col min="2577" max="2577" width="9.140625" style="145" customWidth="1"/>
    <col min="2578" max="2578" width="9.85546875" style="145" customWidth="1"/>
    <col min="2579" max="2579" width="10.5703125" style="145" customWidth="1"/>
    <col min="2580" max="2580" width="12.140625" style="145" customWidth="1"/>
    <col min="2581" max="2581" width="11.140625" style="145" customWidth="1"/>
    <col min="2582" max="2582" width="11.5703125" style="145" bestFit="1" customWidth="1"/>
    <col min="2583" max="2583" width="12" style="145" bestFit="1" customWidth="1"/>
    <col min="2584" max="2584" width="16.28515625" style="145" bestFit="1" customWidth="1"/>
    <col min="2585" max="2585" width="13.42578125" style="145" customWidth="1"/>
    <col min="2586" max="2586" width="14.42578125" style="145" customWidth="1"/>
    <col min="2587" max="2587" width="18.7109375" style="145" bestFit="1" customWidth="1"/>
    <col min="2588" max="2588" width="7.85546875" style="145" customWidth="1"/>
    <col min="2589" max="2589" width="9.85546875" style="145" customWidth="1"/>
    <col min="2590" max="2591" width="11" style="145" bestFit="1" customWidth="1"/>
    <col min="2592" max="2592" width="11.140625" style="145" bestFit="1" customWidth="1"/>
    <col min="2593" max="2815" width="12.42578125" style="145"/>
    <col min="2816" max="2816" width="6.7109375" style="145" customWidth="1"/>
    <col min="2817" max="2817" width="25.28515625" style="145" customWidth="1"/>
    <col min="2818" max="2818" width="10" style="145" customWidth="1"/>
    <col min="2819" max="2820" width="7.5703125" style="145" customWidth="1"/>
    <col min="2821" max="2821" width="9" style="145" customWidth="1"/>
    <col min="2822" max="2822" width="7.140625" style="145" customWidth="1"/>
    <col min="2823" max="2823" width="10.5703125" style="145" bestFit="1" customWidth="1"/>
    <col min="2824" max="2824" width="9.85546875" style="145" customWidth="1"/>
    <col min="2825" max="2825" width="7.7109375" style="145" customWidth="1"/>
    <col min="2826" max="2826" width="9.85546875" style="145" customWidth="1"/>
    <col min="2827" max="2827" width="7.42578125" style="145" bestFit="1" customWidth="1"/>
    <col min="2828" max="2828" width="9.85546875" style="145" customWidth="1"/>
    <col min="2829" max="2829" width="8.85546875" style="145" customWidth="1"/>
    <col min="2830" max="2830" width="11.140625" style="145" bestFit="1" customWidth="1"/>
    <col min="2831" max="2832" width="9" style="145" customWidth="1"/>
    <col min="2833" max="2833" width="9.140625" style="145" customWidth="1"/>
    <col min="2834" max="2834" width="9.85546875" style="145" customWidth="1"/>
    <col min="2835" max="2835" width="10.5703125" style="145" customWidth="1"/>
    <col min="2836" max="2836" width="12.140625" style="145" customWidth="1"/>
    <col min="2837" max="2837" width="11.140625" style="145" customWidth="1"/>
    <col min="2838" max="2838" width="11.5703125" style="145" bestFit="1" customWidth="1"/>
    <col min="2839" max="2839" width="12" style="145" bestFit="1" customWidth="1"/>
    <col min="2840" max="2840" width="16.28515625" style="145" bestFit="1" customWidth="1"/>
    <col min="2841" max="2841" width="13.42578125" style="145" customWidth="1"/>
    <col min="2842" max="2842" width="14.42578125" style="145" customWidth="1"/>
    <col min="2843" max="2843" width="18.7109375" style="145" bestFit="1" customWidth="1"/>
    <col min="2844" max="2844" width="7.85546875" style="145" customWidth="1"/>
    <col min="2845" max="2845" width="9.85546875" style="145" customWidth="1"/>
    <col min="2846" max="2847" width="11" style="145" bestFit="1" customWidth="1"/>
    <col min="2848" max="2848" width="11.140625" style="145" bestFit="1" customWidth="1"/>
    <col min="2849" max="3071" width="12.42578125" style="145"/>
    <col min="3072" max="3072" width="6.7109375" style="145" customWidth="1"/>
    <col min="3073" max="3073" width="25.28515625" style="145" customWidth="1"/>
    <col min="3074" max="3074" width="10" style="145" customWidth="1"/>
    <col min="3075" max="3076" width="7.5703125" style="145" customWidth="1"/>
    <col min="3077" max="3077" width="9" style="145" customWidth="1"/>
    <col min="3078" max="3078" width="7.140625" style="145" customWidth="1"/>
    <col min="3079" max="3079" width="10.5703125" style="145" bestFit="1" customWidth="1"/>
    <col min="3080" max="3080" width="9.85546875" style="145" customWidth="1"/>
    <col min="3081" max="3081" width="7.7109375" style="145" customWidth="1"/>
    <col min="3082" max="3082" width="9.85546875" style="145" customWidth="1"/>
    <col min="3083" max="3083" width="7.42578125" style="145" bestFit="1" customWidth="1"/>
    <col min="3084" max="3084" width="9.85546875" style="145" customWidth="1"/>
    <col min="3085" max="3085" width="8.85546875" style="145" customWidth="1"/>
    <col min="3086" max="3086" width="11.140625" style="145" bestFit="1" customWidth="1"/>
    <col min="3087" max="3088" width="9" style="145" customWidth="1"/>
    <col min="3089" max="3089" width="9.140625" style="145" customWidth="1"/>
    <col min="3090" max="3090" width="9.85546875" style="145" customWidth="1"/>
    <col min="3091" max="3091" width="10.5703125" style="145" customWidth="1"/>
    <col min="3092" max="3092" width="12.140625" style="145" customWidth="1"/>
    <col min="3093" max="3093" width="11.140625" style="145" customWidth="1"/>
    <col min="3094" max="3094" width="11.5703125" style="145" bestFit="1" customWidth="1"/>
    <col min="3095" max="3095" width="12" style="145" bestFit="1" customWidth="1"/>
    <col min="3096" max="3096" width="16.28515625" style="145" bestFit="1" customWidth="1"/>
    <col min="3097" max="3097" width="13.42578125" style="145" customWidth="1"/>
    <col min="3098" max="3098" width="14.42578125" style="145" customWidth="1"/>
    <col min="3099" max="3099" width="18.7109375" style="145" bestFit="1" customWidth="1"/>
    <col min="3100" max="3100" width="7.85546875" style="145" customWidth="1"/>
    <col min="3101" max="3101" width="9.85546875" style="145" customWidth="1"/>
    <col min="3102" max="3103" width="11" style="145" bestFit="1" customWidth="1"/>
    <col min="3104" max="3104" width="11.140625" style="145" bestFit="1" customWidth="1"/>
    <col min="3105" max="3327" width="12.42578125" style="145"/>
    <col min="3328" max="3328" width="6.7109375" style="145" customWidth="1"/>
    <col min="3329" max="3329" width="25.28515625" style="145" customWidth="1"/>
    <col min="3330" max="3330" width="10" style="145" customWidth="1"/>
    <col min="3331" max="3332" width="7.5703125" style="145" customWidth="1"/>
    <col min="3333" max="3333" width="9" style="145" customWidth="1"/>
    <col min="3334" max="3334" width="7.140625" style="145" customWidth="1"/>
    <col min="3335" max="3335" width="10.5703125" style="145" bestFit="1" customWidth="1"/>
    <col min="3336" max="3336" width="9.85546875" style="145" customWidth="1"/>
    <col min="3337" max="3337" width="7.7109375" style="145" customWidth="1"/>
    <col min="3338" max="3338" width="9.85546875" style="145" customWidth="1"/>
    <col min="3339" max="3339" width="7.42578125" style="145" bestFit="1" customWidth="1"/>
    <col min="3340" max="3340" width="9.85546875" style="145" customWidth="1"/>
    <col min="3341" max="3341" width="8.85546875" style="145" customWidth="1"/>
    <col min="3342" max="3342" width="11.140625" style="145" bestFit="1" customWidth="1"/>
    <col min="3343" max="3344" width="9" style="145" customWidth="1"/>
    <col min="3345" max="3345" width="9.140625" style="145" customWidth="1"/>
    <col min="3346" max="3346" width="9.85546875" style="145" customWidth="1"/>
    <col min="3347" max="3347" width="10.5703125" style="145" customWidth="1"/>
    <col min="3348" max="3348" width="12.140625" style="145" customWidth="1"/>
    <col min="3349" max="3349" width="11.140625" style="145" customWidth="1"/>
    <col min="3350" max="3350" width="11.5703125" style="145" bestFit="1" customWidth="1"/>
    <col min="3351" max="3351" width="12" style="145" bestFit="1" customWidth="1"/>
    <col min="3352" max="3352" width="16.28515625" style="145" bestFit="1" customWidth="1"/>
    <col min="3353" max="3353" width="13.42578125" style="145" customWidth="1"/>
    <col min="3354" max="3354" width="14.42578125" style="145" customWidth="1"/>
    <col min="3355" max="3355" width="18.7109375" style="145" bestFit="1" customWidth="1"/>
    <col min="3356" max="3356" width="7.85546875" style="145" customWidth="1"/>
    <col min="3357" max="3357" width="9.85546875" style="145" customWidth="1"/>
    <col min="3358" max="3359" width="11" style="145" bestFit="1" customWidth="1"/>
    <col min="3360" max="3360" width="11.140625" style="145" bestFit="1" customWidth="1"/>
    <col min="3361" max="3583" width="12.42578125" style="145"/>
    <col min="3584" max="3584" width="6.7109375" style="145" customWidth="1"/>
    <col min="3585" max="3585" width="25.28515625" style="145" customWidth="1"/>
    <col min="3586" max="3586" width="10" style="145" customWidth="1"/>
    <col min="3587" max="3588" width="7.5703125" style="145" customWidth="1"/>
    <col min="3589" max="3589" width="9" style="145" customWidth="1"/>
    <col min="3590" max="3590" width="7.140625" style="145" customWidth="1"/>
    <col min="3591" max="3591" width="10.5703125" style="145" bestFit="1" customWidth="1"/>
    <col min="3592" max="3592" width="9.85546875" style="145" customWidth="1"/>
    <col min="3593" max="3593" width="7.7109375" style="145" customWidth="1"/>
    <col min="3594" max="3594" width="9.85546875" style="145" customWidth="1"/>
    <col min="3595" max="3595" width="7.42578125" style="145" bestFit="1" customWidth="1"/>
    <col min="3596" max="3596" width="9.85546875" style="145" customWidth="1"/>
    <col min="3597" max="3597" width="8.85546875" style="145" customWidth="1"/>
    <col min="3598" max="3598" width="11.140625" style="145" bestFit="1" customWidth="1"/>
    <col min="3599" max="3600" width="9" style="145" customWidth="1"/>
    <col min="3601" max="3601" width="9.140625" style="145" customWidth="1"/>
    <col min="3602" max="3602" width="9.85546875" style="145" customWidth="1"/>
    <col min="3603" max="3603" width="10.5703125" style="145" customWidth="1"/>
    <col min="3604" max="3604" width="12.140625" style="145" customWidth="1"/>
    <col min="3605" max="3605" width="11.140625" style="145" customWidth="1"/>
    <col min="3606" max="3606" width="11.5703125" style="145" bestFit="1" customWidth="1"/>
    <col min="3607" max="3607" width="12" style="145" bestFit="1" customWidth="1"/>
    <col min="3608" max="3608" width="16.28515625" style="145" bestFit="1" customWidth="1"/>
    <col min="3609" max="3609" width="13.42578125" style="145" customWidth="1"/>
    <col min="3610" max="3610" width="14.42578125" style="145" customWidth="1"/>
    <col min="3611" max="3611" width="18.7109375" style="145" bestFit="1" customWidth="1"/>
    <col min="3612" max="3612" width="7.85546875" style="145" customWidth="1"/>
    <col min="3613" max="3613" width="9.85546875" style="145" customWidth="1"/>
    <col min="3614" max="3615" width="11" style="145" bestFit="1" customWidth="1"/>
    <col min="3616" max="3616" width="11.140625" style="145" bestFit="1" customWidth="1"/>
    <col min="3617" max="3839" width="12.42578125" style="145"/>
    <col min="3840" max="3840" width="6.7109375" style="145" customWidth="1"/>
    <col min="3841" max="3841" width="25.28515625" style="145" customWidth="1"/>
    <col min="3842" max="3842" width="10" style="145" customWidth="1"/>
    <col min="3843" max="3844" width="7.5703125" style="145" customWidth="1"/>
    <col min="3845" max="3845" width="9" style="145" customWidth="1"/>
    <col min="3846" max="3846" width="7.140625" style="145" customWidth="1"/>
    <col min="3847" max="3847" width="10.5703125" style="145" bestFit="1" customWidth="1"/>
    <col min="3848" max="3848" width="9.85546875" style="145" customWidth="1"/>
    <col min="3849" max="3849" width="7.7109375" style="145" customWidth="1"/>
    <col min="3850" max="3850" width="9.85546875" style="145" customWidth="1"/>
    <col min="3851" max="3851" width="7.42578125" style="145" bestFit="1" customWidth="1"/>
    <col min="3852" max="3852" width="9.85546875" style="145" customWidth="1"/>
    <col min="3853" max="3853" width="8.85546875" style="145" customWidth="1"/>
    <col min="3854" max="3854" width="11.140625" style="145" bestFit="1" customWidth="1"/>
    <col min="3855" max="3856" width="9" style="145" customWidth="1"/>
    <col min="3857" max="3857" width="9.140625" style="145" customWidth="1"/>
    <col min="3858" max="3858" width="9.85546875" style="145" customWidth="1"/>
    <col min="3859" max="3859" width="10.5703125" style="145" customWidth="1"/>
    <col min="3860" max="3860" width="12.140625" style="145" customWidth="1"/>
    <col min="3861" max="3861" width="11.140625" style="145" customWidth="1"/>
    <col min="3862" max="3862" width="11.5703125" style="145" bestFit="1" customWidth="1"/>
    <col min="3863" max="3863" width="12" style="145" bestFit="1" customWidth="1"/>
    <col min="3864" max="3864" width="16.28515625" style="145" bestFit="1" customWidth="1"/>
    <col min="3865" max="3865" width="13.42578125" style="145" customWidth="1"/>
    <col min="3866" max="3866" width="14.42578125" style="145" customWidth="1"/>
    <col min="3867" max="3867" width="18.7109375" style="145" bestFit="1" customWidth="1"/>
    <col min="3868" max="3868" width="7.85546875" style="145" customWidth="1"/>
    <col min="3869" max="3869" width="9.85546875" style="145" customWidth="1"/>
    <col min="3870" max="3871" width="11" style="145" bestFit="1" customWidth="1"/>
    <col min="3872" max="3872" width="11.140625" style="145" bestFit="1" customWidth="1"/>
    <col min="3873" max="4095" width="12.42578125" style="145"/>
    <col min="4096" max="4096" width="6.7109375" style="145" customWidth="1"/>
    <col min="4097" max="4097" width="25.28515625" style="145" customWidth="1"/>
    <col min="4098" max="4098" width="10" style="145" customWidth="1"/>
    <col min="4099" max="4100" width="7.5703125" style="145" customWidth="1"/>
    <col min="4101" max="4101" width="9" style="145" customWidth="1"/>
    <col min="4102" max="4102" width="7.140625" style="145" customWidth="1"/>
    <col min="4103" max="4103" width="10.5703125" style="145" bestFit="1" customWidth="1"/>
    <col min="4104" max="4104" width="9.85546875" style="145" customWidth="1"/>
    <col min="4105" max="4105" width="7.7109375" style="145" customWidth="1"/>
    <col min="4106" max="4106" width="9.85546875" style="145" customWidth="1"/>
    <col min="4107" max="4107" width="7.42578125" style="145" bestFit="1" customWidth="1"/>
    <col min="4108" max="4108" width="9.85546875" style="145" customWidth="1"/>
    <col min="4109" max="4109" width="8.85546875" style="145" customWidth="1"/>
    <col min="4110" max="4110" width="11.140625" style="145" bestFit="1" customWidth="1"/>
    <col min="4111" max="4112" width="9" style="145" customWidth="1"/>
    <col min="4113" max="4113" width="9.140625" style="145" customWidth="1"/>
    <col min="4114" max="4114" width="9.85546875" style="145" customWidth="1"/>
    <col min="4115" max="4115" width="10.5703125" style="145" customWidth="1"/>
    <col min="4116" max="4116" width="12.140625" style="145" customWidth="1"/>
    <col min="4117" max="4117" width="11.140625" style="145" customWidth="1"/>
    <col min="4118" max="4118" width="11.5703125" style="145" bestFit="1" customWidth="1"/>
    <col min="4119" max="4119" width="12" style="145" bestFit="1" customWidth="1"/>
    <col min="4120" max="4120" width="16.28515625" style="145" bestFit="1" customWidth="1"/>
    <col min="4121" max="4121" width="13.42578125" style="145" customWidth="1"/>
    <col min="4122" max="4122" width="14.42578125" style="145" customWidth="1"/>
    <col min="4123" max="4123" width="18.7109375" style="145" bestFit="1" customWidth="1"/>
    <col min="4124" max="4124" width="7.85546875" style="145" customWidth="1"/>
    <col min="4125" max="4125" width="9.85546875" style="145" customWidth="1"/>
    <col min="4126" max="4127" width="11" style="145" bestFit="1" customWidth="1"/>
    <col min="4128" max="4128" width="11.140625" style="145" bestFit="1" customWidth="1"/>
    <col min="4129" max="4351" width="12.42578125" style="145"/>
    <col min="4352" max="4352" width="6.7109375" style="145" customWidth="1"/>
    <col min="4353" max="4353" width="25.28515625" style="145" customWidth="1"/>
    <col min="4354" max="4354" width="10" style="145" customWidth="1"/>
    <col min="4355" max="4356" width="7.5703125" style="145" customWidth="1"/>
    <col min="4357" max="4357" width="9" style="145" customWidth="1"/>
    <col min="4358" max="4358" width="7.140625" style="145" customWidth="1"/>
    <col min="4359" max="4359" width="10.5703125" style="145" bestFit="1" customWidth="1"/>
    <col min="4360" max="4360" width="9.85546875" style="145" customWidth="1"/>
    <col min="4361" max="4361" width="7.7109375" style="145" customWidth="1"/>
    <col min="4362" max="4362" width="9.85546875" style="145" customWidth="1"/>
    <col min="4363" max="4363" width="7.42578125" style="145" bestFit="1" customWidth="1"/>
    <col min="4364" max="4364" width="9.85546875" style="145" customWidth="1"/>
    <col min="4365" max="4365" width="8.85546875" style="145" customWidth="1"/>
    <col min="4366" max="4366" width="11.140625" style="145" bestFit="1" customWidth="1"/>
    <col min="4367" max="4368" width="9" style="145" customWidth="1"/>
    <col min="4369" max="4369" width="9.140625" style="145" customWidth="1"/>
    <col min="4370" max="4370" width="9.85546875" style="145" customWidth="1"/>
    <col min="4371" max="4371" width="10.5703125" style="145" customWidth="1"/>
    <col min="4372" max="4372" width="12.140625" style="145" customWidth="1"/>
    <col min="4373" max="4373" width="11.140625" style="145" customWidth="1"/>
    <col min="4374" max="4374" width="11.5703125" style="145" bestFit="1" customWidth="1"/>
    <col min="4375" max="4375" width="12" style="145" bestFit="1" customWidth="1"/>
    <col min="4376" max="4376" width="16.28515625" style="145" bestFit="1" customWidth="1"/>
    <col min="4377" max="4377" width="13.42578125" style="145" customWidth="1"/>
    <col min="4378" max="4378" width="14.42578125" style="145" customWidth="1"/>
    <col min="4379" max="4379" width="18.7109375" style="145" bestFit="1" customWidth="1"/>
    <col min="4380" max="4380" width="7.85546875" style="145" customWidth="1"/>
    <col min="4381" max="4381" width="9.85546875" style="145" customWidth="1"/>
    <col min="4382" max="4383" width="11" style="145" bestFit="1" customWidth="1"/>
    <col min="4384" max="4384" width="11.140625" style="145" bestFit="1" customWidth="1"/>
    <col min="4385" max="4607" width="12.42578125" style="145"/>
    <col min="4608" max="4608" width="6.7109375" style="145" customWidth="1"/>
    <col min="4609" max="4609" width="25.28515625" style="145" customWidth="1"/>
    <col min="4610" max="4610" width="10" style="145" customWidth="1"/>
    <col min="4611" max="4612" width="7.5703125" style="145" customWidth="1"/>
    <col min="4613" max="4613" width="9" style="145" customWidth="1"/>
    <col min="4614" max="4614" width="7.140625" style="145" customWidth="1"/>
    <col min="4615" max="4615" width="10.5703125" style="145" bestFit="1" customWidth="1"/>
    <col min="4616" max="4616" width="9.85546875" style="145" customWidth="1"/>
    <col min="4617" max="4617" width="7.7109375" style="145" customWidth="1"/>
    <col min="4618" max="4618" width="9.85546875" style="145" customWidth="1"/>
    <col min="4619" max="4619" width="7.42578125" style="145" bestFit="1" customWidth="1"/>
    <col min="4620" max="4620" width="9.85546875" style="145" customWidth="1"/>
    <col min="4621" max="4621" width="8.85546875" style="145" customWidth="1"/>
    <col min="4622" max="4622" width="11.140625" style="145" bestFit="1" customWidth="1"/>
    <col min="4623" max="4624" width="9" style="145" customWidth="1"/>
    <col min="4625" max="4625" width="9.140625" style="145" customWidth="1"/>
    <col min="4626" max="4626" width="9.85546875" style="145" customWidth="1"/>
    <col min="4627" max="4627" width="10.5703125" style="145" customWidth="1"/>
    <col min="4628" max="4628" width="12.140625" style="145" customWidth="1"/>
    <col min="4629" max="4629" width="11.140625" style="145" customWidth="1"/>
    <col min="4630" max="4630" width="11.5703125" style="145" bestFit="1" customWidth="1"/>
    <col min="4631" max="4631" width="12" style="145" bestFit="1" customWidth="1"/>
    <col min="4632" max="4632" width="16.28515625" style="145" bestFit="1" customWidth="1"/>
    <col min="4633" max="4633" width="13.42578125" style="145" customWidth="1"/>
    <col min="4634" max="4634" width="14.42578125" style="145" customWidth="1"/>
    <col min="4635" max="4635" width="18.7109375" style="145" bestFit="1" customWidth="1"/>
    <col min="4636" max="4636" width="7.85546875" style="145" customWidth="1"/>
    <col min="4637" max="4637" width="9.85546875" style="145" customWidth="1"/>
    <col min="4638" max="4639" width="11" style="145" bestFit="1" customWidth="1"/>
    <col min="4640" max="4640" width="11.140625" style="145" bestFit="1" customWidth="1"/>
    <col min="4641" max="4863" width="12.42578125" style="145"/>
    <col min="4864" max="4864" width="6.7109375" style="145" customWidth="1"/>
    <col min="4865" max="4865" width="25.28515625" style="145" customWidth="1"/>
    <col min="4866" max="4866" width="10" style="145" customWidth="1"/>
    <col min="4867" max="4868" width="7.5703125" style="145" customWidth="1"/>
    <col min="4869" max="4869" width="9" style="145" customWidth="1"/>
    <col min="4870" max="4870" width="7.140625" style="145" customWidth="1"/>
    <col min="4871" max="4871" width="10.5703125" style="145" bestFit="1" customWidth="1"/>
    <col min="4872" max="4872" width="9.85546875" style="145" customWidth="1"/>
    <col min="4873" max="4873" width="7.7109375" style="145" customWidth="1"/>
    <col min="4874" max="4874" width="9.85546875" style="145" customWidth="1"/>
    <col min="4875" max="4875" width="7.42578125" style="145" bestFit="1" customWidth="1"/>
    <col min="4876" max="4876" width="9.85546875" style="145" customWidth="1"/>
    <col min="4877" max="4877" width="8.85546875" style="145" customWidth="1"/>
    <col min="4878" max="4878" width="11.140625" style="145" bestFit="1" customWidth="1"/>
    <col min="4879" max="4880" width="9" style="145" customWidth="1"/>
    <col min="4881" max="4881" width="9.140625" style="145" customWidth="1"/>
    <col min="4882" max="4882" width="9.85546875" style="145" customWidth="1"/>
    <col min="4883" max="4883" width="10.5703125" style="145" customWidth="1"/>
    <col min="4884" max="4884" width="12.140625" style="145" customWidth="1"/>
    <col min="4885" max="4885" width="11.140625" style="145" customWidth="1"/>
    <col min="4886" max="4886" width="11.5703125" style="145" bestFit="1" customWidth="1"/>
    <col min="4887" max="4887" width="12" style="145" bestFit="1" customWidth="1"/>
    <col min="4888" max="4888" width="16.28515625" style="145" bestFit="1" customWidth="1"/>
    <col min="4889" max="4889" width="13.42578125" style="145" customWidth="1"/>
    <col min="4890" max="4890" width="14.42578125" style="145" customWidth="1"/>
    <col min="4891" max="4891" width="18.7109375" style="145" bestFit="1" customWidth="1"/>
    <col min="4892" max="4892" width="7.85546875" style="145" customWidth="1"/>
    <col min="4893" max="4893" width="9.85546875" style="145" customWidth="1"/>
    <col min="4894" max="4895" width="11" style="145" bestFit="1" customWidth="1"/>
    <col min="4896" max="4896" width="11.140625" style="145" bestFit="1" customWidth="1"/>
    <col min="4897" max="5119" width="12.42578125" style="145"/>
    <col min="5120" max="5120" width="6.7109375" style="145" customWidth="1"/>
    <col min="5121" max="5121" width="25.28515625" style="145" customWidth="1"/>
    <col min="5122" max="5122" width="10" style="145" customWidth="1"/>
    <col min="5123" max="5124" width="7.5703125" style="145" customWidth="1"/>
    <col min="5125" max="5125" width="9" style="145" customWidth="1"/>
    <col min="5126" max="5126" width="7.140625" style="145" customWidth="1"/>
    <col min="5127" max="5127" width="10.5703125" style="145" bestFit="1" customWidth="1"/>
    <col min="5128" max="5128" width="9.85546875" style="145" customWidth="1"/>
    <col min="5129" max="5129" width="7.7109375" style="145" customWidth="1"/>
    <col min="5130" max="5130" width="9.85546875" style="145" customWidth="1"/>
    <col min="5131" max="5131" width="7.42578125" style="145" bestFit="1" customWidth="1"/>
    <col min="5132" max="5132" width="9.85546875" style="145" customWidth="1"/>
    <col min="5133" max="5133" width="8.85546875" style="145" customWidth="1"/>
    <col min="5134" max="5134" width="11.140625" style="145" bestFit="1" customWidth="1"/>
    <col min="5135" max="5136" width="9" style="145" customWidth="1"/>
    <col min="5137" max="5137" width="9.140625" style="145" customWidth="1"/>
    <col min="5138" max="5138" width="9.85546875" style="145" customWidth="1"/>
    <col min="5139" max="5139" width="10.5703125" style="145" customWidth="1"/>
    <col min="5140" max="5140" width="12.140625" style="145" customWidth="1"/>
    <col min="5141" max="5141" width="11.140625" style="145" customWidth="1"/>
    <col min="5142" max="5142" width="11.5703125" style="145" bestFit="1" customWidth="1"/>
    <col min="5143" max="5143" width="12" style="145" bestFit="1" customWidth="1"/>
    <col min="5144" max="5144" width="16.28515625" style="145" bestFit="1" customWidth="1"/>
    <col min="5145" max="5145" width="13.42578125" style="145" customWidth="1"/>
    <col min="5146" max="5146" width="14.42578125" style="145" customWidth="1"/>
    <col min="5147" max="5147" width="18.7109375" style="145" bestFit="1" customWidth="1"/>
    <col min="5148" max="5148" width="7.85546875" style="145" customWidth="1"/>
    <col min="5149" max="5149" width="9.85546875" style="145" customWidth="1"/>
    <col min="5150" max="5151" width="11" style="145" bestFit="1" customWidth="1"/>
    <col min="5152" max="5152" width="11.140625" style="145" bestFit="1" customWidth="1"/>
    <col min="5153" max="5375" width="12.42578125" style="145"/>
    <col min="5376" max="5376" width="6.7109375" style="145" customWidth="1"/>
    <col min="5377" max="5377" width="25.28515625" style="145" customWidth="1"/>
    <col min="5378" max="5378" width="10" style="145" customWidth="1"/>
    <col min="5379" max="5380" width="7.5703125" style="145" customWidth="1"/>
    <col min="5381" max="5381" width="9" style="145" customWidth="1"/>
    <col min="5382" max="5382" width="7.140625" style="145" customWidth="1"/>
    <col min="5383" max="5383" width="10.5703125" style="145" bestFit="1" customWidth="1"/>
    <col min="5384" max="5384" width="9.85546875" style="145" customWidth="1"/>
    <col min="5385" max="5385" width="7.7109375" style="145" customWidth="1"/>
    <col min="5386" max="5386" width="9.85546875" style="145" customWidth="1"/>
    <col min="5387" max="5387" width="7.42578125" style="145" bestFit="1" customWidth="1"/>
    <col min="5388" max="5388" width="9.85546875" style="145" customWidth="1"/>
    <col min="5389" max="5389" width="8.85546875" style="145" customWidth="1"/>
    <col min="5390" max="5390" width="11.140625" style="145" bestFit="1" customWidth="1"/>
    <col min="5391" max="5392" width="9" style="145" customWidth="1"/>
    <col min="5393" max="5393" width="9.140625" style="145" customWidth="1"/>
    <col min="5394" max="5394" width="9.85546875" style="145" customWidth="1"/>
    <col min="5395" max="5395" width="10.5703125" style="145" customWidth="1"/>
    <col min="5396" max="5396" width="12.140625" style="145" customWidth="1"/>
    <col min="5397" max="5397" width="11.140625" style="145" customWidth="1"/>
    <col min="5398" max="5398" width="11.5703125" style="145" bestFit="1" customWidth="1"/>
    <col min="5399" max="5399" width="12" style="145" bestFit="1" customWidth="1"/>
    <col min="5400" max="5400" width="16.28515625" style="145" bestFit="1" customWidth="1"/>
    <col min="5401" max="5401" width="13.42578125" style="145" customWidth="1"/>
    <col min="5402" max="5402" width="14.42578125" style="145" customWidth="1"/>
    <col min="5403" max="5403" width="18.7109375" style="145" bestFit="1" customWidth="1"/>
    <col min="5404" max="5404" width="7.85546875" style="145" customWidth="1"/>
    <col min="5405" max="5405" width="9.85546875" style="145" customWidth="1"/>
    <col min="5406" max="5407" width="11" style="145" bestFit="1" customWidth="1"/>
    <col min="5408" max="5408" width="11.140625" style="145" bestFit="1" customWidth="1"/>
    <col min="5409" max="5631" width="12.42578125" style="145"/>
    <col min="5632" max="5632" width="6.7109375" style="145" customWidth="1"/>
    <col min="5633" max="5633" width="25.28515625" style="145" customWidth="1"/>
    <col min="5634" max="5634" width="10" style="145" customWidth="1"/>
    <col min="5635" max="5636" width="7.5703125" style="145" customWidth="1"/>
    <col min="5637" max="5637" width="9" style="145" customWidth="1"/>
    <col min="5638" max="5638" width="7.140625" style="145" customWidth="1"/>
    <col min="5639" max="5639" width="10.5703125" style="145" bestFit="1" customWidth="1"/>
    <col min="5640" max="5640" width="9.85546875" style="145" customWidth="1"/>
    <col min="5641" max="5641" width="7.7109375" style="145" customWidth="1"/>
    <col min="5642" max="5642" width="9.85546875" style="145" customWidth="1"/>
    <col min="5643" max="5643" width="7.42578125" style="145" bestFit="1" customWidth="1"/>
    <col min="5644" max="5644" width="9.85546875" style="145" customWidth="1"/>
    <col min="5645" max="5645" width="8.85546875" style="145" customWidth="1"/>
    <col min="5646" max="5646" width="11.140625" style="145" bestFit="1" customWidth="1"/>
    <col min="5647" max="5648" width="9" style="145" customWidth="1"/>
    <col min="5649" max="5649" width="9.140625" style="145" customWidth="1"/>
    <col min="5650" max="5650" width="9.85546875" style="145" customWidth="1"/>
    <col min="5651" max="5651" width="10.5703125" style="145" customWidth="1"/>
    <col min="5652" max="5652" width="12.140625" style="145" customWidth="1"/>
    <col min="5653" max="5653" width="11.140625" style="145" customWidth="1"/>
    <col min="5654" max="5654" width="11.5703125" style="145" bestFit="1" customWidth="1"/>
    <col min="5655" max="5655" width="12" style="145" bestFit="1" customWidth="1"/>
    <col min="5656" max="5656" width="16.28515625" style="145" bestFit="1" customWidth="1"/>
    <col min="5657" max="5657" width="13.42578125" style="145" customWidth="1"/>
    <col min="5658" max="5658" width="14.42578125" style="145" customWidth="1"/>
    <col min="5659" max="5659" width="18.7109375" style="145" bestFit="1" customWidth="1"/>
    <col min="5660" max="5660" width="7.85546875" style="145" customWidth="1"/>
    <col min="5661" max="5661" width="9.85546875" style="145" customWidth="1"/>
    <col min="5662" max="5663" width="11" style="145" bestFit="1" customWidth="1"/>
    <col min="5664" max="5664" width="11.140625" style="145" bestFit="1" customWidth="1"/>
    <col min="5665" max="5887" width="12.42578125" style="145"/>
    <col min="5888" max="5888" width="6.7109375" style="145" customWidth="1"/>
    <col min="5889" max="5889" width="25.28515625" style="145" customWidth="1"/>
    <col min="5890" max="5890" width="10" style="145" customWidth="1"/>
    <col min="5891" max="5892" width="7.5703125" style="145" customWidth="1"/>
    <col min="5893" max="5893" width="9" style="145" customWidth="1"/>
    <col min="5894" max="5894" width="7.140625" style="145" customWidth="1"/>
    <col min="5895" max="5895" width="10.5703125" style="145" bestFit="1" customWidth="1"/>
    <col min="5896" max="5896" width="9.85546875" style="145" customWidth="1"/>
    <col min="5897" max="5897" width="7.7109375" style="145" customWidth="1"/>
    <col min="5898" max="5898" width="9.85546875" style="145" customWidth="1"/>
    <col min="5899" max="5899" width="7.42578125" style="145" bestFit="1" customWidth="1"/>
    <col min="5900" max="5900" width="9.85546875" style="145" customWidth="1"/>
    <col min="5901" max="5901" width="8.85546875" style="145" customWidth="1"/>
    <col min="5902" max="5902" width="11.140625" style="145" bestFit="1" customWidth="1"/>
    <col min="5903" max="5904" width="9" style="145" customWidth="1"/>
    <col min="5905" max="5905" width="9.140625" style="145" customWidth="1"/>
    <col min="5906" max="5906" width="9.85546875" style="145" customWidth="1"/>
    <col min="5907" max="5907" width="10.5703125" style="145" customWidth="1"/>
    <col min="5908" max="5908" width="12.140625" style="145" customWidth="1"/>
    <col min="5909" max="5909" width="11.140625" style="145" customWidth="1"/>
    <col min="5910" max="5910" width="11.5703125" style="145" bestFit="1" customWidth="1"/>
    <col min="5911" max="5911" width="12" style="145" bestFit="1" customWidth="1"/>
    <col min="5912" max="5912" width="16.28515625" style="145" bestFit="1" customWidth="1"/>
    <col min="5913" max="5913" width="13.42578125" style="145" customWidth="1"/>
    <col min="5914" max="5914" width="14.42578125" style="145" customWidth="1"/>
    <col min="5915" max="5915" width="18.7109375" style="145" bestFit="1" customWidth="1"/>
    <col min="5916" max="5916" width="7.85546875" style="145" customWidth="1"/>
    <col min="5917" max="5917" width="9.85546875" style="145" customWidth="1"/>
    <col min="5918" max="5919" width="11" style="145" bestFit="1" customWidth="1"/>
    <col min="5920" max="5920" width="11.140625" style="145" bestFit="1" customWidth="1"/>
    <col min="5921" max="6143" width="12.42578125" style="145"/>
    <col min="6144" max="6144" width="6.7109375" style="145" customWidth="1"/>
    <col min="6145" max="6145" width="25.28515625" style="145" customWidth="1"/>
    <col min="6146" max="6146" width="10" style="145" customWidth="1"/>
    <col min="6147" max="6148" width="7.5703125" style="145" customWidth="1"/>
    <col min="6149" max="6149" width="9" style="145" customWidth="1"/>
    <col min="6150" max="6150" width="7.140625" style="145" customWidth="1"/>
    <col min="6151" max="6151" width="10.5703125" style="145" bestFit="1" customWidth="1"/>
    <col min="6152" max="6152" width="9.85546875" style="145" customWidth="1"/>
    <col min="6153" max="6153" width="7.7109375" style="145" customWidth="1"/>
    <col min="6154" max="6154" width="9.85546875" style="145" customWidth="1"/>
    <col min="6155" max="6155" width="7.42578125" style="145" bestFit="1" customWidth="1"/>
    <col min="6156" max="6156" width="9.85546875" style="145" customWidth="1"/>
    <col min="6157" max="6157" width="8.85546875" style="145" customWidth="1"/>
    <col min="6158" max="6158" width="11.140625" style="145" bestFit="1" customWidth="1"/>
    <col min="6159" max="6160" width="9" style="145" customWidth="1"/>
    <col min="6161" max="6161" width="9.140625" style="145" customWidth="1"/>
    <col min="6162" max="6162" width="9.85546875" style="145" customWidth="1"/>
    <col min="6163" max="6163" width="10.5703125" style="145" customWidth="1"/>
    <col min="6164" max="6164" width="12.140625" style="145" customWidth="1"/>
    <col min="6165" max="6165" width="11.140625" style="145" customWidth="1"/>
    <col min="6166" max="6166" width="11.5703125" style="145" bestFit="1" customWidth="1"/>
    <col min="6167" max="6167" width="12" style="145" bestFit="1" customWidth="1"/>
    <col min="6168" max="6168" width="16.28515625" style="145" bestFit="1" customWidth="1"/>
    <col min="6169" max="6169" width="13.42578125" style="145" customWidth="1"/>
    <col min="6170" max="6170" width="14.42578125" style="145" customWidth="1"/>
    <col min="6171" max="6171" width="18.7109375" style="145" bestFit="1" customWidth="1"/>
    <col min="6172" max="6172" width="7.85546875" style="145" customWidth="1"/>
    <col min="6173" max="6173" width="9.85546875" style="145" customWidth="1"/>
    <col min="6174" max="6175" width="11" style="145" bestFit="1" customWidth="1"/>
    <col min="6176" max="6176" width="11.140625" style="145" bestFit="1" customWidth="1"/>
    <col min="6177" max="6399" width="12.42578125" style="145"/>
    <col min="6400" max="6400" width="6.7109375" style="145" customWidth="1"/>
    <col min="6401" max="6401" width="25.28515625" style="145" customWidth="1"/>
    <col min="6402" max="6402" width="10" style="145" customWidth="1"/>
    <col min="6403" max="6404" width="7.5703125" style="145" customWidth="1"/>
    <col min="6405" max="6405" width="9" style="145" customWidth="1"/>
    <col min="6406" max="6406" width="7.140625" style="145" customWidth="1"/>
    <col min="6407" max="6407" width="10.5703125" style="145" bestFit="1" customWidth="1"/>
    <col min="6408" max="6408" width="9.85546875" style="145" customWidth="1"/>
    <col min="6409" max="6409" width="7.7109375" style="145" customWidth="1"/>
    <col min="6410" max="6410" width="9.85546875" style="145" customWidth="1"/>
    <col min="6411" max="6411" width="7.42578125" style="145" bestFit="1" customWidth="1"/>
    <col min="6412" max="6412" width="9.85546875" style="145" customWidth="1"/>
    <col min="6413" max="6413" width="8.85546875" style="145" customWidth="1"/>
    <col min="6414" max="6414" width="11.140625" style="145" bestFit="1" customWidth="1"/>
    <col min="6415" max="6416" width="9" style="145" customWidth="1"/>
    <col min="6417" max="6417" width="9.140625" style="145" customWidth="1"/>
    <col min="6418" max="6418" width="9.85546875" style="145" customWidth="1"/>
    <col min="6419" max="6419" width="10.5703125" style="145" customWidth="1"/>
    <col min="6420" max="6420" width="12.140625" style="145" customWidth="1"/>
    <col min="6421" max="6421" width="11.140625" style="145" customWidth="1"/>
    <col min="6422" max="6422" width="11.5703125" style="145" bestFit="1" customWidth="1"/>
    <col min="6423" max="6423" width="12" style="145" bestFit="1" customWidth="1"/>
    <col min="6424" max="6424" width="16.28515625" style="145" bestFit="1" customWidth="1"/>
    <col min="6425" max="6425" width="13.42578125" style="145" customWidth="1"/>
    <col min="6426" max="6426" width="14.42578125" style="145" customWidth="1"/>
    <col min="6427" max="6427" width="18.7109375" style="145" bestFit="1" customWidth="1"/>
    <col min="6428" max="6428" width="7.85546875" style="145" customWidth="1"/>
    <col min="6429" max="6429" width="9.85546875" style="145" customWidth="1"/>
    <col min="6430" max="6431" width="11" style="145" bestFit="1" customWidth="1"/>
    <col min="6432" max="6432" width="11.140625" style="145" bestFit="1" customWidth="1"/>
    <col min="6433" max="6655" width="12.42578125" style="145"/>
    <col min="6656" max="6656" width="6.7109375" style="145" customWidth="1"/>
    <col min="6657" max="6657" width="25.28515625" style="145" customWidth="1"/>
    <col min="6658" max="6658" width="10" style="145" customWidth="1"/>
    <col min="6659" max="6660" width="7.5703125" style="145" customWidth="1"/>
    <col min="6661" max="6661" width="9" style="145" customWidth="1"/>
    <col min="6662" max="6662" width="7.140625" style="145" customWidth="1"/>
    <col min="6663" max="6663" width="10.5703125" style="145" bestFit="1" customWidth="1"/>
    <col min="6664" max="6664" width="9.85546875" style="145" customWidth="1"/>
    <col min="6665" max="6665" width="7.7109375" style="145" customWidth="1"/>
    <col min="6666" max="6666" width="9.85546875" style="145" customWidth="1"/>
    <col min="6667" max="6667" width="7.42578125" style="145" bestFit="1" customWidth="1"/>
    <col min="6668" max="6668" width="9.85546875" style="145" customWidth="1"/>
    <col min="6669" max="6669" width="8.85546875" style="145" customWidth="1"/>
    <col min="6670" max="6670" width="11.140625" style="145" bestFit="1" customWidth="1"/>
    <col min="6671" max="6672" width="9" style="145" customWidth="1"/>
    <col min="6673" max="6673" width="9.140625" style="145" customWidth="1"/>
    <col min="6674" max="6674" width="9.85546875" style="145" customWidth="1"/>
    <col min="6675" max="6675" width="10.5703125" style="145" customWidth="1"/>
    <col min="6676" max="6676" width="12.140625" style="145" customWidth="1"/>
    <col min="6677" max="6677" width="11.140625" style="145" customWidth="1"/>
    <col min="6678" max="6678" width="11.5703125" style="145" bestFit="1" customWidth="1"/>
    <col min="6679" max="6679" width="12" style="145" bestFit="1" customWidth="1"/>
    <col min="6680" max="6680" width="16.28515625" style="145" bestFit="1" customWidth="1"/>
    <col min="6681" max="6681" width="13.42578125" style="145" customWidth="1"/>
    <col min="6682" max="6682" width="14.42578125" style="145" customWidth="1"/>
    <col min="6683" max="6683" width="18.7109375" style="145" bestFit="1" customWidth="1"/>
    <col min="6684" max="6684" width="7.85546875" style="145" customWidth="1"/>
    <col min="6685" max="6685" width="9.85546875" style="145" customWidth="1"/>
    <col min="6686" max="6687" width="11" style="145" bestFit="1" customWidth="1"/>
    <col min="6688" max="6688" width="11.140625" style="145" bestFit="1" customWidth="1"/>
    <col min="6689" max="6911" width="12.42578125" style="145"/>
    <col min="6912" max="6912" width="6.7109375" style="145" customWidth="1"/>
    <col min="6913" max="6913" width="25.28515625" style="145" customWidth="1"/>
    <col min="6914" max="6914" width="10" style="145" customWidth="1"/>
    <col min="6915" max="6916" width="7.5703125" style="145" customWidth="1"/>
    <col min="6917" max="6917" width="9" style="145" customWidth="1"/>
    <col min="6918" max="6918" width="7.140625" style="145" customWidth="1"/>
    <col min="6919" max="6919" width="10.5703125" style="145" bestFit="1" customWidth="1"/>
    <col min="6920" max="6920" width="9.85546875" style="145" customWidth="1"/>
    <col min="6921" max="6921" width="7.7109375" style="145" customWidth="1"/>
    <col min="6922" max="6922" width="9.85546875" style="145" customWidth="1"/>
    <col min="6923" max="6923" width="7.42578125" style="145" bestFit="1" customWidth="1"/>
    <col min="6924" max="6924" width="9.85546875" style="145" customWidth="1"/>
    <col min="6925" max="6925" width="8.85546875" style="145" customWidth="1"/>
    <col min="6926" max="6926" width="11.140625" style="145" bestFit="1" customWidth="1"/>
    <col min="6927" max="6928" width="9" style="145" customWidth="1"/>
    <col min="6929" max="6929" width="9.140625" style="145" customWidth="1"/>
    <col min="6930" max="6930" width="9.85546875" style="145" customWidth="1"/>
    <col min="6931" max="6931" width="10.5703125" style="145" customWidth="1"/>
    <col min="6932" max="6932" width="12.140625" style="145" customWidth="1"/>
    <col min="6933" max="6933" width="11.140625" style="145" customWidth="1"/>
    <col min="6934" max="6934" width="11.5703125" style="145" bestFit="1" customWidth="1"/>
    <col min="6935" max="6935" width="12" style="145" bestFit="1" customWidth="1"/>
    <col min="6936" max="6936" width="16.28515625" style="145" bestFit="1" customWidth="1"/>
    <col min="6937" max="6937" width="13.42578125" style="145" customWidth="1"/>
    <col min="6938" max="6938" width="14.42578125" style="145" customWidth="1"/>
    <col min="6939" max="6939" width="18.7109375" style="145" bestFit="1" customWidth="1"/>
    <col min="6940" max="6940" width="7.85546875" style="145" customWidth="1"/>
    <col min="6941" max="6941" width="9.85546875" style="145" customWidth="1"/>
    <col min="6942" max="6943" width="11" style="145" bestFit="1" customWidth="1"/>
    <col min="6944" max="6944" width="11.140625" style="145" bestFit="1" customWidth="1"/>
    <col min="6945" max="7167" width="12.42578125" style="145"/>
    <col min="7168" max="7168" width="6.7109375" style="145" customWidth="1"/>
    <col min="7169" max="7169" width="25.28515625" style="145" customWidth="1"/>
    <col min="7170" max="7170" width="10" style="145" customWidth="1"/>
    <col min="7171" max="7172" width="7.5703125" style="145" customWidth="1"/>
    <col min="7173" max="7173" width="9" style="145" customWidth="1"/>
    <col min="7174" max="7174" width="7.140625" style="145" customWidth="1"/>
    <col min="7175" max="7175" width="10.5703125" style="145" bestFit="1" customWidth="1"/>
    <col min="7176" max="7176" width="9.85546875" style="145" customWidth="1"/>
    <col min="7177" max="7177" width="7.7109375" style="145" customWidth="1"/>
    <col min="7178" max="7178" width="9.85546875" style="145" customWidth="1"/>
    <col min="7179" max="7179" width="7.42578125" style="145" bestFit="1" customWidth="1"/>
    <col min="7180" max="7180" width="9.85546875" style="145" customWidth="1"/>
    <col min="7181" max="7181" width="8.85546875" style="145" customWidth="1"/>
    <col min="7182" max="7182" width="11.140625" style="145" bestFit="1" customWidth="1"/>
    <col min="7183" max="7184" width="9" style="145" customWidth="1"/>
    <col min="7185" max="7185" width="9.140625" style="145" customWidth="1"/>
    <col min="7186" max="7186" width="9.85546875" style="145" customWidth="1"/>
    <col min="7187" max="7187" width="10.5703125" style="145" customWidth="1"/>
    <col min="7188" max="7188" width="12.140625" style="145" customWidth="1"/>
    <col min="7189" max="7189" width="11.140625" style="145" customWidth="1"/>
    <col min="7190" max="7190" width="11.5703125" style="145" bestFit="1" customWidth="1"/>
    <col min="7191" max="7191" width="12" style="145" bestFit="1" customWidth="1"/>
    <col min="7192" max="7192" width="16.28515625" style="145" bestFit="1" customWidth="1"/>
    <col min="7193" max="7193" width="13.42578125" style="145" customWidth="1"/>
    <col min="7194" max="7194" width="14.42578125" style="145" customWidth="1"/>
    <col min="7195" max="7195" width="18.7109375" style="145" bestFit="1" customWidth="1"/>
    <col min="7196" max="7196" width="7.85546875" style="145" customWidth="1"/>
    <col min="7197" max="7197" width="9.85546875" style="145" customWidth="1"/>
    <col min="7198" max="7199" width="11" style="145" bestFit="1" customWidth="1"/>
    <col min="7200" max="7200" width="11.140625" style="145" bestFit="1" customWidth="1"/>
    <col min="7201" max="7423" width="12.42578125" style="145"/>
    <col min="7424" max="7424" width="6.7109375" style="145" customWidth="1"/>
    <col min="7425" max="7425" width="25.28515625" style="145" customWidth="1"/>
    <col min="7426" max="7426" width="10" style="145" customWidth="1"/>
    <col min="7427" max="7428" width="7.5703125" style="145" customWidth="1"/>
    <col min="7429" max="7429" width="9" style="145" customWidth="1"/>
    <col min="7430" max="7430" width="7.140625" style="145" customWidth="1"/>
    <col min="7431" max="7431" width="10.5703125" style="145" bestFit="1" customWidth="1"/>
    <col min="7432" max="7432" width="9.85546875" style="145" customWidth="1"/>
    <col min="7433" max="7433" width="7.7109375" style="145" customWidth="1"/>
    <col min="7434" max="7434" width="9.85546875" style="145" customWidth="1"/>
    <col min="7435" max="7435" width="7.42578125" style="145" bestFit="1" customWidth="1"/>
    <col min="7436" max="7436" width="9.85546875" style="145" customWidth="1"/>
    <col min="7437" max="7437" width="8.85546875" style="145" customWidth="1"/>
    <col min="7438" max="7438" width="11.140625" style="145" bestFit="1" customWidth="1"/>
    <col min="7439" max="7440" width="9" style="145" customWidth="1"/>
    <col min="7441" max="7441" width="9.140625" style="145" customWidth="1"/>
    <col min="7442" max="7442" width="9.85546875" style="145" customWidth="1"/>
    <col min="7443" max="7443" width="10.5703125" style="145" customWidth="1"/>
    <col min="7444" max="7444" width="12.140625" style="145" customWidth="1"/>
    <col min="7445" max="7445" width="11.140625" style="145" customWidth="1"/>
    <col min="7446" max="7446" width="11.5703125" style="145" bestFit="1" customWidth="1"/>
    <col min="7447" max="7447" width="12" style="145" bestFit="1" customWidth="1"/>
    <col min="7448" max="7448" width="16.28515625" style="145" bestFit="1" customWidth="1"/>
    <col min="7449" max="7449" width="13.42578125" style="145" customWidth="1"/>
    <col min="7450" max="7450" width="14.42578125" style="145" customWidth="1"/>
    <col min="7451" max="7451" width="18.7109375" style="145" bestFit="1" customWidth="1"/>
    <col min="7452" max="7452" width="7.85546875" style="145" customWidth="1"/>
    <col min="7453" max="7453" width="9.85546875" style="145" customWidth="1"/>
    <col min="7454" max="7455" width="11" style="145" bestFit="1" customWidth="1"/>
    <col min="7456" max="7456" width="11.140625" style="145" bestFit="1" customWidth="1"/>
    <col min="7457" max="7679" width="12.42578125" style="145"/>
    <col min="7680" max="7680" width="6.7109375" style="145" customWidth="1"/>
    <col min="7681" max="7681" width="25.28515625" style="145" customWidth="1"/>
    <col min="7682" max="7682" width="10" style="145" customWidth="1"/>
    <col min="7683" max="7684" width="7.5703125" style="145" customWidth="1"/>
    <col min="7685" max="7685" width="9" style="145" customWidth="1"/>
    <col min="7686" max="7686" width="7.140625" style="145" customWidth="1"/>
    <col min="7687" max="7687" width="10.5703125" style="145" bestFit="1" customWidth="1"/>
    <col min="7688" max="7688" width="9.85546875" style="145" customWidth="1"/>
    <col min="7689" max="7689" width="7.7109375" style="145" customWidth="1"/>
    <col min="7690" max="7690" width="9.85546875" style="145" customWidth="1"/>
    <col min="7691" max="7691" width="7.42578125" style="145" bestFit="1" customWidth="1"/>
    <col min="7692" max="7692" width="9.85546875" style="145" customWidth="1"/>
    <col min="7693" max="7693" width="8.85546875" style="145" customWidth="1"/>
    <col min="7694" max="7694" width="11.140625" style="145" bestFit="1" customWidth="1"/>
    <col min="7695" max="7696" width="9" style="145" customWidth="1"/>
    <col min="7697" max="7697" width="9.140625" style="145" customWidth="1"/>
    <col min="7698" max="7698" width="9.85546875" style="145" customWidth="1"/>
    <col min="7699" max="7699" width="10.5703125" style="145" customWidth="1"/>
    <col min="7700" max="7700" width="12.140625" style="145" customWidth="1"/>
    <col min="7701" max="7701" width="11.140625" style="145" customWidth="1"/>
    <col min="7702" max="7702" width="11.5703125" style="145" bestFit="1" customWidth="1"/>
    <col min="7703" max="7703" width="12" style="145" bestFit="1" customWidth="1"/>
    <col min="7704" max="7704" width="16.28515625" style="145" bestFit="1" customWidth="1"/>
    <col min="7705" max="7705" width="13.42578125" style="145" customWidth="1"/>
    <col min="7706" max="7706" width="14.42578125" style="145" customWidth="1"/>
    <col min="7707" max="7707" width="18.7109375" style="145" bestFit="1" customWidth="1"/>
    <col min="7708" max="7708" width="7.85546875" style="145" customWidth="1"/>
    <col min="7709" max="7709" width="9.85546875" style="145" customWidth="1"/>
    <col min="7710" max="7711" width="11" style="145" bestFit="1" customWidth="1"/>
    <col min="7712" max="7712" width="11.140625" style="145" bestFit="1" customWidth="1"/>
    <col min="7713" max="7935" width="12.42578125" style="145"/>
    <col min="7936" max="7936" width="6.7109375" style="145" customWidth="1"/>
    <col min="7937" max="7937" width="25.28515625" style="145" customWidth="1"/>
    <col min="7938" max="7938" width="10" style="145" customWidth="1"/>
    <col min="7939" max="7940" width="7.5703125" style="145" customWidth="1"/>
    <col min="7941" max="7941" width="9" style="145" customWidth="1"/>
    <col min="7942" max="7942" width="7.140625" style="145" customWidth="1"/>
    <col min="7943" max="7943" width="10.5703125" style="145" bestFit="1" customWidth="1"/>
    <col min="7944" max="7944" width="9.85546875" style="145" customWidth="1"/>
    <col min="7945" max="7945" width="7.7109375" style="145" customWidth="1"/>
    <col min="7946" max="7946" width="9.85546875" style="145" customWidth="1"/>
    <col min="7947" max="7947" width="7.42578125" style="145" bestFit="1" customWidth="1"/>
    <col min="7948" max="7948" width="9.85546875" style="145" customWidth="1"/>
    <col min="7949" max="7949" width="8.85546875" style="145" customWidth="1"/>
    <col min="7950" max="7950" width="11.140625" style="145" bestFit="1" customWidth="1"/>
    <col min="7951" max="7952" width="9" style="145" customWidth="1"/>
    <col min="7953" max="7953" width="9.140625" style="145" customWidth="1"/>
    <col min="7954" max="7954" width="9.85546875" style="145" customWidth="1"/>
    <col min="7955" max="7955" width="10.5703125" style="145" customWidth="1"/>
    <col min="7956" max="7956" width="12.140625" style="145" customWidth="1"/>
    <col min="7957" max="7957" width="11.140625" style="145" customWidth="1"/>
    <col min="7958" max="7958" width="11.5703125" style="145" bestFit="1" customWidth="1"/>
    <col min="7959" max="7959" width="12" style="145" bestFit="1" customWidth="1"/>
    <col min="7960" max="7960" width="16.28515625" style="145" bestFit="1" customWidth="1"/>
    <col min="7961" max="7961" width="13.42578125" style="145" customWidth="1"/>
    <col min="7962" max="7962" width="14.42578125" style="145" customWidth="1"/>
    <col min="7963" max="7963" width="18.7109375" style="145" bestFit="1" customWidth="1"/>
    <col min="7964" max="7964" width="7.85546875" style="145" customWidth="1"/>
    <col min="7965" max="7965" width="9.85546875" style="145" customWidth="1"/>
    <col min="7966" max="7967" width="11" style="145" bestFit="1" customWidth="1"/>
    <col min="7968" max="7968" width="11.140625" style="145" bestFit="1" customWidth="1"/>
    <col min="7969" max="8191" width="12.42578125" style="145"/>
    <col min="8192" max="8192" width="6.7109375" style="145" customWidth="1"/>
    <col min="8193" max="8193" width="25.28515625" style="145" customWidth="1"/>
    <col min="8194" max="8194" width="10" style="145" customWidth="1"/>
    <col min="8195" max="8196" width="7.5703125" style="145" customWidth="1"/>
    <col min="8197" max="8197" width="9" style="145" customWidth="1"/>
    <col min="8198" max="8198" width="7.140625" style="145" customWidth="1"/>
    <col min="8199" max="8199" width="10.5703125" style="145" bestFit="1" customWidth="1"/>
    <col min="8200" max="8200" width="9.85546875" style="145" customWidth="1"/>
    <col min="8201" max="8201" width="7.7109375" style="145" customWidth="1"/>
    <col min="8202" max="8202" width="9.85546875" style="145" customWidth="1"/>
    <col min="8203" max="8203" width="7.42578125" style="145" bestFit="1" customWidth="1"/>
    <col min="8204" max="8204" width="9.85546875" style="145" customWidth="1"/>
    <col min="8205" max="8205" width="8.85546875" style="145" customWidth="1"/>
    <col min="8206" max="8206" width="11.140625" style="145" bestFit="1" customWidth="1"/>
    <col min="8207" max="8208" width="9" style="145" customWidth="1"/>
    <col min="8209" max="8209" width="9.140625" style="145" customWidth="1"/>
    <col min="8210" max="8210" width="9.85546875" style="145" customWidth="1"/>
    <col min="8211" max="8211" width="10.5703125" style="145" customWidth="1"/>
    <col min="8212" max="8212" width="12.140625" style="145" customWidth="1"/>
    <col min="8213" max="8213" width="11.140625" style="145" customWidth="1"/>
    <col min="8214" max="8214" width="11.5703125" style="145" bestFit="1" customWidth="1"/>
    <col min="8215" max="8215" width="12" style="145" bestFit="1" customWidth="1"/>
    <col min="8216" max="8216" width="16.28515625" style="145" bestFit="1" customWidth="1"/>
    <col min="8217" max="8217" width="13.42578125" style="145" customWidth="1"/>
    <col min="8218" max="8218" width="14.42578125" style="145" customWidth="1"/>
    <col min="8219" max="8219" width="18.7109375" style="145" bestFit="1" customWidth="1"/>
    <col min="8220" max="8220" width="7.85546875" style="145" customWidth="1"/>
    <col min="8221" max="8221" width="9.85546875" style="145" customWidth="1"/>
    <col min="8222" max="8223" width="11" style="145" bestFit="1" customWidth="1"/>
    <col min="8224" max="8224" width="11.140625" style="145" bestFit="1" customWidth="1"/>
    <col min="8225" max="8447" width="12.42578125" style="145"/>
    <col min="8448" max="8448" width="6.7109375" style="145" customWidth="1"/>
    <col min="8449" max="8449" width="25.28515625" style="145" customWidth="1"/>
    <col min="8450" max="8450" width="10" style="145" customWidth="1"/>
    <col min="8451" max="8452" width="7.5703125" style="145" customWidth="1"/>
    <col min="8453" max="8453" width="9" style="145" customWidth="1"/>
    <col min="8454" max="8454" width="7.140625" style="145" customWidth="1"/>
    <col min="8455" max="8455" width="10.5703125" style="145" bestFit="1" customWidth="1"/>
    <col min="8456" max="8456" width="9.85546875" style="145" customWidth="1"/>
    <col min="8457" max="8457" width="7.7109375" style="145" customWidth="1"/>
    <col min="8458" max="8458" width="9.85546875" style="145" customWidth="1"/>
    <col min="8459" max="8459" width="7.42578125" style="145" bestFit="1" customWidth="1"/>
    <col min="8460" max="8460" width="9.85546875" style="145" customWidth="1"/>
    <col min="8461" max="8461" width="8.85546875" style="145" customWidth="1"/>
    <col min="8462" max="8462" width="11.140625" style="145" bestFit="1" customWidth="1"/>
    <col min="8463" max="8464" width="9" style="145" customWidth="1"/>
    <col min="8465" max="8465" width="9.140625" style="145" customWidth="1"/>
    <col min="8466" max="8466" width="9.85546875" style="145" customWidth="1"/>
    <col min="8467" max="8467" width="10.5703125" style="145" customWidth="1"/>
    <col min="8468" max="8468" width="12.140625" style="145" customWidth="1"/>
    <col min="8469" max="8469" width="11.140625" style="145" customWidth="1"/>
    <col min="8470" max="8470" width="11.5703125" style="145" bestFit="1" customWidth="1"/>
    <col min="8471" max="8471" width="12" style="145" bestFit="1" customWidth="1"/>
    <col min="8472" max="8472" width="16.28515625" style="145" bestFit="1" customWidth="1"/>
    <col min="8473" max="8473" width="13.42578125" style="145" customWidth="1"/>
    <col min="8474" max="8474" width="14.42578125" style="145" customWidth="1"/>
    <col min="8475" max="8475" width="18.7109375" style="145" bestFit="1" customWidth="1"/>
    <col min="8476" max="8476" width="7.85546875" style="145" customWidth="1"/>
    <col min="8477" max="8477" width="9.85546875" style="145" customWidth="1"/>
    <col min="8478" max="8479" width="11" style="145" bestFit="1" customWidth="1"/>
    <col min="8480" max="8480" width="11.140625" style="145" bestFit="1" customWidth="1"/>
    <col min="8481" max="8703" width="12.42578125" style="145"/>
    <col min="8704" max="8704" width="6.7109375" style="145" customWidth="1"/>
    <col min="8705" max="8705" width="25.28515625" style="145" customWidth="1"/>
    <col min="8706" max="8706" width="10" style="145" customWidth="1"/>
    <col min="8707" max="8708" width="7.5703125" style="145" customWidth="1"/>
    <col min="8709" max="8709" width="9" style="145" customWidth="1"/>
    <col min="8710" max="8710" width="7.140625" style="145" customWidth="1"/>
    <col min="8711" max="8711" width="10.5703125" style="145" bestFit="1" customWidth="1"/>
    <col min="8712" max="8712" width="9.85546875" style="145" customWidth="1"/>
    <col min="8713" max="8713" width="7.7109375" style="145" customWidth="1"/>
    <col min="8714" max="8714" width="9.85546875" style="145" customWidth="1"/>
    <col min="8715" max="8715" width="7.42578125" style="145" bestFit="1" customWidth="1"/>
    <col min="8716" max="8716" width="9.85546875" style="145" customWidth="1"/>
    <col min="8717" max="8717" width="8.85546875" style="145" customWidth="1"/>
    <col min="8718" max="8718" width="11.140625" style="145" bestFit="1" customWidth="1"/>
    <col min="8719" max="8720" width="9" style="145" customWidth="1"/>
    <col min="8721" max="8721" width="9.140625" style="145" customWidth="1"/>
    <col min="8722" max="8722" width="9.85546875" style="145" customWidth="1"/>
    <col min="8723" max="8723" width="10.5703125" style="145" customWidth="1"/>
    <col min="8724" max="8724" width="12.140625" style="145" customWidth="1"/>
    <col min="8725" max="8725" width="11.140625" style="145" customWidth="1"/>
    <col min="8726" max="8726" width="11.5703125" style="145" bestFit="1" customWidth="1"/>
    <col min="8727" max="8727" width="12" style="145" bestFit="1" customWidth="1"/>
    <col min="8728" max="8728" width="16.28515625" style="145" bestFit="1" customWidth="1"/>
    <col min="8729" max="8729" width="13.42578125" style="145" customWidth="1"/>
    <col min="8730" max="8730" width="14.42578125" style="145" customWidth="1"/>
    <col min="8731" max="8731" width="18.7109375" style="145" bestFit="1" customWidth="1"/>
    <col min="8732" max="8732" width="7.85546875" style="145" customWidth="1"/>
    <col min="8733" max="8733" width="9.85546875" style="145" customWidth="1"/>
    <col min="8734" max="8735" width="11" style="145" bestFit="1" customWidth="1"/>
    <col min="8736" max="8736" width="11.140625" style="145" bestFit="1" customWidth="1"/>
    <col min="8737" max="8959" width="12.42578125" style="145"/>
    <col min="8960" max="8960" width="6.7109375" style="145" customWidth="1"/>
    <col min="8961" max="8961" width="25.28515625" style="145" customWidth="1"/>
    <col min="8962" max="8962" width="10" style="145" customWidth="1"/>
    <col min="8963" max="8964" width="7.5703125" style="145" customWidth="1"/>
    <col min="8965" max="8965" width="9" style="145" customWidth="1"/>
    <col min="8966" max="8966" width="7.140625" style="145" customWidth="1"/>
    <col min="8967" max="8967" width="10.5703125" style="145" bestFit="1" customWidth="1"/>
    <col min="8968" max="8968" width="9.85546875" style="145" customWidth="1"/>
    <col min="8969" max="8969" width="7.7109375" style="145" customWidth="1"/>
    <col min="8970" max="8970" width="9.85546875" style="145" customWidth="1"/>
    <col min="8971" max="8971" width="7.42578125" style="145" bestFit="1" customWidth="1"/>
    <col min="8972" max="8972" width="9.85546875" style="145" customWidth="1"/>
    <col min="8973" max="8973" width="8.85546875" style="145" customWidth="1"/>
    <col min="8974" max="8974" width="11.140625" style="145" bestFit="1" customWidth="1"/>
    <col min="8975" max="8976" width="9" style="145" customWidth="1"/>
    <col min="8977" max="8977" width="9.140625" style="145" customWidth="1"/>
    <col min="8978" max="8978" width="9.85546875" style="145" customWidth="1"/>
    <col min="8979" max="8979" width="10.5703125" style="145" customWidth="1"/>
    <col min="8980" max="8980" width="12.140625" style="145" customWidth="1"/>
    <col min="8981" max="8981" width="11.140625" style="145" customWidth="1"/>
    <col min="8982" max="8982" width="11.5703125" style="145" bestFit="1" customWidth="1"/>
    <col min="8983" max="8983" width="12" style="145" bestFit="1" customWidth="1"/>
    <col min="8984" max="8984" width="16.28515625" style="145" bestFit="1" customWidth="1"/>
    <col min="8985" max="8985" width="13.42578125" style="145" customWidth="1"/>
    <col min="8986" max="8986" width="14.42578125" style="145" customWidth="1"/>
    <col min="8987" max="8987" width="18.7109375" style="145" bestFit="1" customWidth="1"/>
    <col min="8988" max="8988" width="7.85546875" style="145" customWidth="1"/>
    <col min="8989" max="8989" width="9.85546875" style="145" customWidth="1"/>
    <col min="8990" max="8991" width="11" style="145" bestFit="1" customWidth="1"/>
    <col min="8992" max="8992" width="11.140625" style="145" bestFit="1" customWidth="1"/>
    <col min="8993" max="9215" width="12.42578125" style="145"/>
    <col min="9216" max="9216" width="6.7109375" style="145" customWidth="1"/>
    <col min="9217" max="9217" width="25.28515625" style="145" customWidth="1"/>
    <col min="9218" max="9218" width="10" style="145" customWidth="1"/>
    <col min="9219" max="9220" width="7.5703125" style="145" customWidth="1"/>
    <col min="9221" max="9221" width="9" style="145" customWidth="1"/>
    <col min="9222" max="9222" width="7.140625" style="145" customWidth="1"/>
    <col min="9223" max="9223" width="10.5703125" style="145" bestFit="1" customWidth="1"/>
    <col min="9224" max="9224" width="9.85546875" style="145" customWidth="1"/>
    <col min="9225" max="9225" width="7.7109375" style="145" customWidth="1"/>
    <col min="9226" max="9226" width="9.85546875" style="145" customWidth="1"/>
    <col min="9227" max="9227" width="7.42578125" style="145" bestFit="1" customWidth="1"/>
    <col min="9228" max="9228" width="9.85546875" style="145" customWidth="1"/>
    <col min="9229" max="9229" width="8.85546875" style="145" customWidth="1"/>
    <col min="9230" max="9230" width="11.140625" style="145" bestFit="1" customWidth="1"/>
    <col min="9231" max="9232" width="9" style="145" customWidth="1"/>
    <col min="9233" max="9233" width="9.140625" style="145" customWidth="1"/>
    <col min="9234" max="9234" width="9.85546875" style="145" customWidth="1"/>
    <col min="9235" max="9235" width="10.5703125" style="145" customWidth="1"/>
    <col min="9236" max="9236" width="12.140625" style="145" customWidth="1"/>
    <col min="9237" max="9237" width="11.140625" style="145" customWidth="1"/>
    <col min="9238" max="9238" width="11.5703125" style="145" bestFit="1" customWidth="1"/>
    <col min="9239" max="9239" width="12" style="145" bestFit="1" customWidth="1"/>
    <col min="9240" max="9240" width="16.28515625" style="145" bestFit="1" customWidth="1"/>
    <col min="9241" max="9241" width="13.42578125" style="145" customWidth="1"/>
    <col min="9242" max="9242" width="14.42578125" style="145" customWidth="1"/>
    <col min="9243" max="9243" width="18.7109375" style="145" bestFit="1" customWidth="1"/>
    <col min="9244" max="9244" width="7.85546875" style="145" customWidth="1"/>
    <col min="9245" max="9245" width="9.85546875" style="145" customWidth="1"/>
    <col min="9246" max="9247" width="11" style="145" bestFit="1" customWidth="1"/>
    <col min="9248" max="9248" width="11.140625" style="145" bestFit="1" customWidth="1"/>
    <col min="9249" max="9471" width="12.42578125" style="145"/>
    <col min="9472" max="9472" width="6.7109375" style="145" customWidth="1"/>
    <col min="9473" max="9473" width="25.28515625" style="145" customWidth="1"/>
    <col min="9474" max="9474" width="10" style="145" customWidth="1"/>
    <col min="9475" max="9476" width="7.5703125" style="145" customWidth="1"/>
    <col min="9477" max="9477" width="9" style="145" customWidth="1"/>
    <col min="9478" max="9478" width="7.140625" style="145" customWidth="1"/>
    <col min="9479" max="9479" width="10.5703125" style="145" bestFit="1" customWidth="1"/>
    <col min="9480" max="9480" width="9.85546875" style="145" customWidth="1"/>
    <col min="9481" max="9481" width="7.7109375" style="145" customWidth="1"/>
    <col min="9482" max="9482" width="9.85546875" style="145" customWidth="1"/>
    <col min="9483" max="9483" width="7.42578125" style="145" bestFit="1" customWidth="1"/>
    <col min="9484" max="9484" width="9.85546875" style="145" customWidth="1"/>
    <col min="9485" max="9485" width="8.85546875" style="145" customWidth="1"/>
    <col min="9486" max="9486" width="11.140625" style="145" bestFit="1" customWidth="1"/>
    <col min="9487" max="9488" width="9" style="145" customWidth="1"/>
    <col min="9489" max="9489" width="9.140625" style="145" customWidth="1"/>
    <col min="9490" max="9490" width="9.85546875" style="145" customWidth="1"/>
    <col min="9491" max="9491" width="10.5703125" style="145" customWidth="1"/>
    <col min="9492" max="9492" width="12.140625" style="145" customWidth="1"/>
    <col min="9493" max="9493" width="11.140625" style="145" customWidth="1"/>
    <col min="9494" max="9494" width="11.5703125" style="145" bestFit="1" customWidth="1"/>
    <col min="9495" max="9495" width="12" style="145" bestFit="1" customWidth="1"/>
    <col min="9496" max="9496" width="16.28515625" style="145" bestFit="1" customWidth="1"/>
    <col min="9497" max="9497" width="13.42578125" style="145" customWidth="1"/>
    <col min="9498" max="9498" width="14.42578125" style="145" customWidth="1"/>
    <col min="9499" max="9499" width="18.7109375" style="145" bestFit="1" customWidth="1"/>
    <col min="9500" max="9500" width="7.85546875" style="145" customWidth="1"/>
    <col min="9501" max="9501" width="9.85546875" style="145" customWidth="1"/>
    <col min="9502" max="9503" width="11" style="145" bestFit="1" customWidth="1"/>
    <col min="9504" max="9504" width="11.140625" style="145" bestFit="1" customWidth="1"/>
    <col min="9505" max="9727" width="12.42578125" style="145"/>
    <col min="9728" max="9728" width="6.7109375" style="145" customWidth="1"/>
    <col min="9729" max="9729" width="25.28515625" style="145" customWidth="1"/>
    <col min="9730" max="9730" width="10" style="145" customWidth="1"/>
    <col min="9731" max="9732" width="7.5703125" style="145" customWidth="1"/>
    <col min="9733" max="9733" width="9" style="145" customWidth="1"/>
    <col min="9734" max="9734" width="7.140625" style="145" customWidth="1"/>
    <col min="9735" max="9735" width="10.5703125" style="145" bestFit="1" customWidth="1"/>
    <col min="9736" max="9736" width="9.85546875" style="145" customWidth="1"/>
    <col min="9737" max="9737" width="7.7109375" style="145" customWidth="1"/>
    <col min="9738" max="9738" width="9.85546875" style="145" customWidth="1"/>
    <col min="9739" max="9739" width="7.42578125" style="145" bestFit="1" customWidth="1"/>
    <col min="9740" max="9740" width="9.85546875" style="145" customWidth="1"/>
    <col min="9741" max="9741" width="8.85546875" style="145" customWidth="1"/>
    <col min="9742" max="9742" width="11.140625" style="145" bestFit="1" customWidth="1"/>
    <col min="9743" max="9744" width="9" style="145" customWidth="1"/>
    <col min="9745" max="9745" width="9.140625" style="145" customWidth="1"/>
    <col min="9746" max="9746" width="9.85546875" style="145" customWidth="1"/>
    <col min="9747" max="9747" width="10.5703125" style="145" customWidth="1"/>
    <col min="9748" max="9748" width="12.140625" style="145" customWidth="1"/>
    <col min="9749" max="9749" width="11.140625" style="145" customWidth="1"/>
    <col min="9750" max="9750" width="11.5703125" style="145" bestFit="1" customWidth="1"/>
    <col min="9751" max="9751" width="12" style="145" bestFit="1" customWidth="1"/>
    <col min="9752" max="9752" width="16.28515625" style="145" bestFit="1" customWidth="1"/>
    <col min="9753" max="9753" width="13.42578125" style="145" customWidth="1"/>
    <col min="9754" max="9754" width="14.42578125" style="145" customWidth="1"/>
    <col min="9755" max="9755" width="18.7109375" style="145" bestFit="1" customWidth="1"/>
    <col min="9756" max="9756" width="7.85546875" style="145" customWidth="1"/>
    <col min="9757" max="9757" width="9.85546875" style="145" customWidth="1"/>
    <col min="9758" max="9759" width="11" style="145" bestFit="1" customWidth="1"/>
    <col min="9760" max="9760" width="11.140625" style="145" bestFit="1" customWidth="1"/>
    <col min="9761" max="9983" width="12.42578125" style="145"/>
    <col min="9984" max="9984" width="6.7109375" style="145" customWidth="1"/>
    <col min="9985" max="9985" width="25.28515625" style="145" customWidth="1"/>
    <col min="9986" max="9986" width="10" style="145" customWidth="1"/>
    <col min="9987" max="9988" width="7.5703125" style="145" customWidth="1"/>
    <col min="9989" max="9989" width="9" style="145" customWidth="1"/>
    <col min="9990" max="9990" width="7.140625" style="145" customWidth="1"/>
    <col min="9991" max="9991" width="10.5703125" style="145" bestFit="1" customWidth="1"/>
    <col min="9992" max="9992" width="9.85546875" style="145" customWidth="1"/>
    <col min="9993" max="9993" width="7.7109375" style="145" customWidth="1"/>
    <col min="9994" max="9994" width="9.85546875" style="145" customWidth="1"/>
    <col min="9995" max="9995" width="7.42578125" style="145" bestFit="1" customWidth="1"/>
    <col min="9996" max="9996" width="9.85546875" style="145" customWidth="1"/>
    <col min="9997" max="9997" width="8.85546875" style="145" customWidth="1"/>
    <col min="9998" max="9998" width="11.140625" style="145" bestFit="1" customWidth="1"/>
    <col min="9999" max="10000" width="9" style="145" customWidth="1"/>
    <col min="10001" max="10001" width="9.140625" style="145" customWidth="1"/>
    <col min="10002" max="10002" width="9.85546875" style="145" customWidth="1"/>
    <col min="10003" max="10003" width="10.5703125" style="145" customWidth="1"/>
    <col min="10004" max="10004" width="12.140625" style="145" customWidth="1"/>
    <col min="10005" max="10005" width="11.140625" style="145" customWidth="1"/>
    <col min="10006" max="10006" width="11.5703125" style="145" bestFit="1" customWidth="1"/>
    <col min="10007" max="10007" width="12" style="145" bestFit="1" customWidth="1"/>
    <col min="10008" max="10008" width="16.28515625" style="145" bestFit="1" customWidth="1"/>
    <col min="10009" max="10009" width="13.42578125" style="145" customWidth="1"/>
    <col min="10010" max="10010" width="14.42578125" style="145" customWidth="1"/>
    <col min="10011" max="10011" width="18.7109375" style="145" bestFit="1" customWidth="1"/>
    <col min="10012" max="10012" width="7.85546875" style="145" customWidth="1"/>
    <col min="10013" max="10013" width="9.85546875" style="145" customWidth="1"/>
    <col min="10014" max="10015" width="11" style="145" bestFit="1" customWidth="1"/>
    <col min="10016" max="10016" width="11.140625" style="145" bestFit="1" customWidth="1"/>
    <col min="10017" max="10239" width="12.42578125" style="145"/>
    <col min="10240" max="10240" width="6.7109375" style="145" customWidth="1"/>
    <col min="10241" max="10241" width="25.28515625" style="145" customWidth="1"/>
    <col min="10242" max="10242" width="10" style="145" customWidth="1"/>
    <col min="10243" max="10244" width="7.5703125" style="145" customWidth="1"/>
    <col min="10245" max="10245" width="9" style="145" customWidth="1"/>
    <col min="10246" max="10246" width="7.140625" style="145" customWidth="1"/>
    <col min="10247" max="10247" width="10.5703125" style="145" bestFit="1" customWidth="1"/>
    <col min="10248" max="10248" width="9.85546875" style="145" customWidth="1"/>
    <col min="10249" max="10249" width="7.7109375" style="145" customWidth="1"/>
    <col min="10250" max="10250" width="9.85546875" style="145" customWidth="1"/>
    <col min="10251" max="10251" width="7.42578125" style="145" bestFit="1" customWidth="1"/>
    <col min="10252" max="10252" width="9.85546875" style="145" customWidth="1"/>
    <col min="10253" max="10253" width="8.85546875" style="145" customWidth="1"/>
    <col min="10254" max="10254" width="11.140625" style="145" bestFit="1" customWidth="1"/>
    <col min="10255" max="10256" width="9" style="145" customWidth="1"/>
    <col min="10257" max="10257" width="9.140625" style="145" customWidth="1"/>
    <col min="10258" max="10258" width="9.85546875" style="145" customWidth="1"/>
    <col min="10259" max="10259" width="10.5703125" style="145" customWidth="1"/>
    <col min="10260" max="10260" width="12.140625" style="145" customWidth="1"/>
    <col min="10261" max="10261" width="11.140625" style="145" customWidth="1"/>
    <col min="10262" max="10262" width="11.5703125" style="145" bestFit="1" customWidth="1"/>
    <col min="10263" max="10263" width="12" style="145" bestFit="1" customWidth="1"/>
    <col min="10264" max="10264" width="16.28515625" style="145" bestFit="1" customWidth="1"/>
    <col min="10265" max="10265" width="13.42578125" style="145" customWidth="1"/>
    <col min="10266" max="10266" width="14.42578125" style="145" customWidth="1"/>
    <col min="10267" max="10267" width="18.7109375" style="145" bestFit="1" customWidth="1"/>
    <col min="10268" max="10268" width="7.85546875" style="145" customWidth="1"/>
    <col min="10269" max="10269" width="9.85546875" style="145" customWidth="1"/>
    <col min="10270" max="10271" width="11" style="145" bestFit="1" customWidth="1"/>
    <col min="10272" max="10272" width="11.140625" style="145" bestFit="1" customWidth="1"/>
    <col min="10273" max="10495" width="12.42578125" style="145"/>
    <col min="10496" max="10496" width="6.7109375" style="145" customWidth="1"/>
    <col min="10497" max="10497" width="25.28515625" style="145" customWidth="1"/>
    <col min="10498" max="10498" width="10" style="145" customWidth="1"/>
    <col min="10499" max="10500" width="7.5703125" style="145" customWidth="1"/>
    <col min="10501" max="10501" width="9" style="145" customWidth="1"/>
    <col min="10502" max="10502" width="7.140625" style="145" customWidth="1"/>
    <col min="10503" max="10503" width="10.5703125" style="145" bestFit="1" customWidth="1"/>
    <col min="10504" max="10504" width="9.85546875" style="145" customWidth="1"/>
    <col min="10505" max="10505" width="7.7109375" style="145" customWidth="1"/>
    <col min="10506" max="10506" width="9.85546875" style="145" customWidth="1"/>
    <col min="10507" max="10507" width="7.42578125" style="145" bestFit="1" customWidth="1"/>
    <col min="10508" max="10508" width="9.85546875" style="145" customWidth="1"/>
    <col min="10509" max="10509" width="8.85546875" style="145" customWidth="1"/>
    <col min="10510" max="10510" width="11.140625" style="145" bestFit="1" customWidth="1"/>
    <col min="10511" max="10512" width="9" style="145" customWidth="1"/>
    <col min="10513" max="10513" width="9.140625" style="145" customWidth="1"/>
    <col min="10514" max="10514" width="9.85546875" style="145" customWidth="1"/>
    <col min="10515" max="10515" width="10.5703125" style="145" customWidth="1"/>
    <col min="10516" max="10516" width="12.140625" style="145" customWidth="1"/>
    <col min="10517" max="10517" width="11.140625" style="145" customWidth="1"/>
    <col min="10518" max="10518" width="11.5703125" style="145" bestFit="1" customWidth="1"/>
    <col min="10519" max="10519" width="12" style="145" bestFit="1" customWidth="1"/>
    <col min="10520" max="10520" width="16.28515625" style="145" bestFit="1" customWidth="1"/>
    <col min="10521" max="10521" width="13.42578125" style="145" customWidth="1"/>
    <col min="10522" max="10522" width="14.42578125" style="145" customWidth="1"/>
    <col min="10523" max="10523" width="18.7109375" style="145" bestFit="1" customWidth="1"/>
    <col min="10524" max="10524" width="7.85546875" style="145" customWidth="1"/>
    <col min="10525" max="10525" width="9.85546875" style="145" customWidth="1"/>
    <col min="10526" max="10527" width="11" style="145" bestFit="1" customWidth="1"/>
    <col min="10528" max="10528" width="11.140625" style="145" bestFit="1" customWidth="1"/>
    <col min="10529" max="10751" width="12.42578125" style="145"/>
    <col min="10752" max="10752" width="6.7109375" style="145" customWidth="1"/>
    <col min="10753" max="10753" width="25.28515625" style="145" customWidth="1"/>
    <col min="10754" max="10754" width="10" style="145" customWidth="1"/>
    <col min="10755" max="10756" width="7.5703125" style="145" customWidth="1"/>
    <col min="10757" max="10757" width="9" style="145" customWidth="1"/>
    <col min="10758" max="10758" width="7.140625" style="145" customWidth="1"/>
    <col min="10759" max="10759" width="10.5703125" style="145" bestFit="1" customWidth="1"/>
    <col min="10760" max="10760" width="9.85546875" style="145" customWidth="1"/>
    <col min="10761" max="10761" width="7.7109375" style="145" customWidth="1"/>
    <col min="10762" max="10762" width="9.85546875" style="145" customWidth="1"/>
    <col min="10763" max="10763" width="7.42578125" style="145" bestFit="1" customWidth="1"/>
    <col min="10764" max="10764" width="9.85546875" style="145" customWidth="1"/>
    <col min="10765" max="10765" width="8.85546875" style="145" customWidth="1"/>
    <col min="10766" max="10766" width="11.140625" style="145" bestFit="1" customWidth="1"/>
    <col min="10767" max="10768" width="9" style="145" customWidth="1"/>
    <col min="10769" max="10769" width="9.140625" style="145" customWidth="1"/>
    <col min="10770" max="10770" width="9.85546875" style="145" customWidth="1"/>
    <col min="10771" max="10771" width="10.5703125" style="145" customWidth="1"/>
    <col min="10772" max="10772" width="12.140625" style="145" customWidth="1"/>
    <col min="10773" max="10773" width="11.140625" style="145" customWidth="1"/>
    <col min="10774" max="10774" width="11.5703125" style="145" bestFit="1" customWidth="1"/>
    <col min="10775" max="10775" width="12" style="145" bestFit="1" customWidth="1"/>
    <col min="10776" max="10776" width="16.28515625" style="145" bestFit="1" customWidth="1"/>
    <col min="10777" max="10777" width="13.42578125" style="145" customWidth="1"/>
    <col min="10778" max="10778" width="14.42578125" style="145" customWidth="1"/>
    <col min="10779" max="10779" width="18.7109375" style="145" bestFit="1" customWidth="1"/>
    <col min="10780" max="10780" width="7.85546875" style="145" customWidth="1"/>
    <col min="10781" max="10781" width="9.85546875" style="145" customWidth="1"/>
    <col min="10782" max="10783" width="11" style="145" bestFit="1" customWidth="1"/>
    <col min="10784" max="10784" width="11.140625" style="145" bestFit="1" customWidth="1"/>
    <col min="10785" max="11007" width="12.42578125" style="145"/>
    <col min="11008" max="11008" width="6.7109375" style="145" customWidth="1"/>
    <col min="11009" max="11009" width="25.28515625" style="145" customWidth="1"/>
    <col min="11010" max="11010" width="10" style="145" customWidth="1"/>
    <col min="11011" max="11012" width="7.5703125" style="145" customWidth="1"/>
    <col min="11013" max="11013" width="9" style="145" customWidth="1"/>
    <col min="11014" max="11014" width="7.140625" style="145" customWidth="1"/>
    <col min="11015" max="11015" width="10.5703125" style="145" bestFit="1" customWidth="1"/>
    <col min="11016" max="11016" width="9.85546875" style="145" customWidth="1"/>
    <col min="11017" max="11017" width="7.7109375" style="145" customWidth="1"/>
    <col min="11018" max="11018" width="9.85546875" style="145" customWidth="1"/>
    <col min="11019" max="11019" width="7.42578125" style="145" bestFit="1" customWidth="1"/>
    <col min="11020" max="11020" width="9.85546875" style="145" customWidth="1"/>
    <col min="11021" max="11021" width="8.85546875" style="145" customWidth="1"/>
    <col min="11022" max="11022" width="11.140625" style="145" bestFit="1" customWidth="1"/>
    <col min="11023" max="11024" width="9" style="145" customWidth="1"/>
    <col min="11025" max="11025" width="9.140625" style="145" customWidth="1"/>
    <col min="11026" max="11026" width="9.85546875" style="145" customWidth="1"/>
    <col min="11027" max="11027" width="10.5703125" style="145" customWidth="1"/>
    <col min="11028" max="11028" width="12.140625" style="145" customWidth="1"/>
    <col min="11029" max="11029" width="11.140625" style="145" customWidth="1"/>
    <col min="11030" max="11030" width="11.5703125" style="145" bestFit="1" customWidth="1"/>
    <col min="11031" max="11031" width="12" style="145" bestFit="1" customWidth="1"/>
    <col min="11032" max="11032" width="16.28515625" style="145" bestFit="1" customWidth="1"/>
    <col min="11033" max="11033" width="13.42578125" style="145" customWidth="1"/>
    <col min="11034" max="11034" width="14.42578125" style="145" customWidth="1"/>
    <col min="11035" max="11035" width="18.7109375" style="145" bestFit="1" customWidth="1"/>
    <col min="11036" max="11036" width="7.85546875" style="145" customWidth="1"/>
    <col min="11037" max="11037" width="9.85546875" style="145" customWidth="1"/>
    <col min="11038" max="11039" width="11" style="145" bestFit="1" customWidth="1"/>
    <col min="11040" max="11040" width="11.140625" style="145" bestFit="1" customWidth="1"/>
    <col min="11041" max="11263" width="12.42578125" style="145"/>
    <col min="11264" max="11264" width="6.7109375" style="145" customWidth="1"/>
    <col min="11265" max="11265" width="25.28515625" style="145" customWidth="1"/>
    <col min="11266" max="11266" width="10" style="145" customWidth="1"/>
    <col min="11267" max="11268" width="7.5703125" style="145" customWidth="1"/>
    <col min="11269" max="11269" width="9" style="145" customWidth="1"/>
    <col min="11270" max="11270" width="7.140625" style="145" customWidth="1"/>
    <col min="11271" max="11271" width="10.5703125" style="145" bestFit="1" customWidth="1"/>
    <col min="11272" max="11272" width="9.85546875" style="145" customWidth="1"/>
    <col min="11273" max="11273" width="7.7109375" style="145" customWidth="1"/>
    <col min="11274" max="11274" width="9.85546875" style="145" customWidth="1"/>
    <col min="11275" max="11275" width="7.42578125" style="145" bestFit="1" customWidth="1"/>
    <col min="11276" max="11276" width="9.85546875" style="145" customWidth="1"/>
    <col min="11277" max="11277" width="8.85546875" style="145" customWidth="1"/>
    <col min="11278" max="11278" width="11.140625" style="145" bestFit="1" customWidth="1"/>
    <col min="11279" max="11280" width="9" style="145" customWidth="1"/>
    <col min="11281" max="11281" width="9.140625" style="145" customWidth="1"/>
    <col min="11282" max="11282" width="9.85546875" style="145" customWidth="1"/>
    <col min="11283" max="11283" width="10.5703125" style="145" customWidth="1"/>
    <col min="11284" max="11284" width="12.140625" style="145" customWidth="1"/>
    <col min="11285" max="11285" width="11.140625" style="145" customWidth="1"/>
    <col min="11286" max="11286" width="11.5703125" style="145" bestFit="1" customWidth="1"/>
    <col min="11287" max="11287" width="12" style="145" bestFit="1" customWidth="1"/>
    <col min="11288" max="11288" width="16.28515625" style="145" bestFit="1" customWidth="1"/>
    <col min="11289" max="11289" width="13.42578125" style="145" customWidth="1"/>
    <col min="11290" max="11290" width="14.42578125" style="145" customWidth="1"/>
    <col min="11291" max="11291" width="18.7109375" style="145" bestFit="1" customWidth="1"/>
    <col min="11292" max="11292" width="7.85546875" style="145" customWidth="1"/>
    <col min="11293" max="11293" width="9.85546875" style="145" customWidth="1"/>
    <col min="11294" max="11295" width="11" style="145" bestFit="1" customWidth="1"/>
    <col min="11296" max="11296" width="11.140625" style="145" bestFit="1" customWidth="1"/>
    <col min="11297" max="11519" width="12.42578125" style="145"/>
    <col min="11520" max="11520" width="6.7109375" style="145" customWidth="1"/>
    <col min="11521" max="11521" width="25.28515625" style="145" customWidth="1"/>
    <col min="11522" max="11522" width="10" style="145" customWidth="1"/>
    <col min="11523" max="11524" width="7.5703125" style="145" customWidth="1"/>
    <col min="11525" max="11525" width="9" style="145" customWidth="1"/>
    <col min="11526" max="11526" width="7.140625" style="145" customWidth="1"/>
    <col min="11527" max="11527" width="10.5703125" style="145" bestFit="1" customWidth="1"/>
    <col min="11528" max="11528" width="9.85546875" style="145" customWidth="1"/>
    <col min="11529" max="11529" width="7.7109375" style="145" customWidth="1"/>
    <col min="11530" max="11530" width="9.85546875" style="145" customWidth="1"/>
    <col min="11531" max="11531" width="7.42578125" style="145" bestFit="1" customWidth="1"/>
    <col min="11532" max="11532" width="9.85546875" style="145" customWidth="1"/>
    <col min="11533" max="11533" width="8.85546875" style="145" customWidth="1"/>
    <col min="11534" max="11534" width="11.140625" style="145" bestFit="1" customWidth="1"/>
    <col min="11535" max="11536" width="9" style="145" customWidth="1"/>
    <col min="11537" max="11537" width="9.140625" style="145" customWidth="1"/>
    <col min="11538" max="11538" width="9.85546875" style="145" customWidth="1"/>
    <col min="11539" max="11539" width="10.5703125" style="145" customWidth="1"/>
    <col min="11540" max="11540" width="12.140625" style="145" customWidth="1"/>
    <col min="11541" max="11541" width="11.140625" style="145" customWidth="1"/>
    <col min="11542" max="11542" width="11.5703125" style="145" bestFit="1" customWidth="1"/>
    <col min="11543" max="11543" width="12" style="145" bestFit="1" customWidth="1"/>
    <col min="11544" max="11544" width="16.28515625" style="145" bestFit="1" customWidth="1"/>
    <col min="11545" max="11545" width="13.42578125" style="145" customWidth="1"/>
    <col min="11546" max="11546" width="14.42578125" style="145" customWidth="1"/>
    <col min="11547" max="11547" width="18.7109375" style="145" bestFit="1" customWidth="1"/>
    <col min="11548" max="11548" width="7.85546875" style="145" customWidth="1"/>
    <col min="11549" max="11549" width="9.85546875" style="145" customWidth="1"/>
    <col min="11550" max="11551" width="11" style="145" bestFit="1" customWidth="1"/>
    <col min="11552" max="11552" width="11.140625" style="145" bestFit="1" customWidth="1"/>
    <col min="11553" max="11775" width="12.42578125" style="145"/>
    <col min="11776" max="11776" width="6.7109375" style="145" customWidth="1"/>
    <col min="11777" max="11777" width="25.28515625" style="145" customWidth="1"/>
    <col min="11778" max="11778" width="10" style="145" customWidth="1"/>
    <col min="11779" max="11780" width="7.5703125" style="145" customWidth="1"/>
    <col min="11781" max="11781" width="9" style="145" customWidth="1"/>
    <col min="11782" max="11782" width="7.140625" style="145" customWidth="1"/>
    <col min="11783" max="11783" width="10.5703125" style="145" bestFit="1" customWidth="1"/>
    <col min="11784" max="11784" width="9.85546875" style="145" customWidth="1"/>
    <col min="11785" max="11785" width="7.7109375" style="145" customWidth="1"/>
    <col min="11786" max="11786" width="9.85546875" style="145" customWidth="1"/>
    <col min="11787" max="11787" width="7.42578125" style="145" bestFit="1" customWidth="1"/>
    <col min="11788" max="11788" width="9.85546875" style="145" customWidth="1"/>
    <col min="11789" max="11789" width="8.85546875" style="145" customWidth="1"/>
    <col min="11790" max="11790" width="11.140625" style="145" bestFit="1" customWidth="1"/>
    <col min="11791" max="11792" width="9" style="145" customWidth="1"/>
    <col min="11793" max="11793" width="9.140625" style="145" customWidth="1"/>
    <col min="11794" max="11794" width="9.85546875" style="145" customWidth="1"/>
    <col min="11795" max="11795" width="10.5703125" style="145" customWidth="1"/>
    <col min="11796" max="11796" width="12.140625" style="145" customWidth="1"/>
    <col min="11797" max="11797" width="11.140625" style="145" customWidth="1"/>
    <col min="11798" max="11798" width="11.5703125" style="145" bestFit="1" customWidth="1"/>
    <col min="11799" max="11799" width="12" style="145" bestFit="1" customWidth="1"/>
    <col min="11800" max="11800" width="16.28515625" style="145" bestFit="1" customWidth="1"/>
    <col min="11801" max="11801" width="13.42578125" style="145" customWidth="1"/>
    <col min="11802" max="11802" width="14.42578125" style="145" customWidth="1"/>
    <col min="11803" max="11803" width="18.7109375" style="145" bestFit="1" customWidth="1"/>
    <col min="11804" max="11804" width="7.85546875" style="145" customWidth="1"/>
    <col min="11805" max="11805" width="9.85546875" style="145" customWidth="1"/>
    <col min="11806" max="11807" width="11" style="145" bestFit="1" customWidth="1"/>
    <col min="11808" max="11808" width="11.140625" style="145" bestFit="1" customWidth="1"/>
    <col min="11809" max="12031" width="12.42578125" style="145"/>
    <col min="12032" max="12032" width="6.7109375" style="145" customWidth="1"/>
    <col min="12033" max="12033" width="25.28515625" style="145" customWidth="1"/>
    <col min="12034" max="12034" width="10" style="145" customWidth="1"/>
    <col min="12035" max="12036" width="7.5703125" style="145" customWidth="1"/>
    <col min="12037" max="12037" width="9" style="145" customWidth="1"/>
    <col min="12038" max="12038" width="7.140625" style="145" customWidth="1"/>
    <col min="12039" max="12039" width="10.5703125" style="145" bestFit="1" customWidth="1"/>
    <col min="12040" max="12040" width="9.85546875" style="145" customWidth="1"/>
    <col min="12041" max="12041" width="7.7109375" style="145" customWidth="1"/>
    <col min="12042" max="12042" width="9.85546875" style="145" customWidth="1"/>
    <col min="12043" max="12043" width="7.42578125" style="145" bestFit="1" customWidth="1"/>
    <col min="12044" max="12044" width="9.85546875" style="145" customWidth="1"/>
    <col min="12045" max="12045" width="8.85546875" style="145" customWidth="1"/>
    <col min="12046" max="12046" width="11.140625" style="145" bestFit="1" customWidth="1"/>
    <col min="12047" max="12048" width="9" style="145" customWidth="1"/>
    <col min="12049" max="12049" width="9.140625" style="145" customWidth="1"/>
    <col min="12050" max="12050" width="9.85546875" style="145" customWidth="1"/>
    <col min="12051" max="12051" width="10.5703125" style="145" customWidth="1"/>
    <col min="12052" max="12052" width="12.140625" style="145" customWidth="1"/>
    <col min="12053" max="12053" width="11.140625" style="145" customWidth="1"/>
    <col min="12054" max="12054" width="11.5703125" style="145" bestFit="1" customWidth="1"/>
    <col min="12055" max="12055" width="12" style="145" bestFit="1" customWidth="1"/>
    <col min="12056" max="12056" width="16.28515625" style="145" bestFit="1" customWidth="1"/>
    <col min="12057" max="12057" width="13.42578125" style="145" customWidth="1"/>
    <col min="12058" max="12058" width="14.42578125" style="145" customWidth="1"/>
    <col min="12059" max="12059" width="18.7109375" style="145" bestFit="1" customWidth="1"/>
    <col min="12060" max="12060" width="7.85546875" style="145" customWidth="1"/>
    <col min="12061" max="12061" width="9.85546875" style="145" customWidth="1"/>
    <col min="12062" max="12063" width="11" style="145" bestFit="1" customWidth="1"/>
    <col min="12064" max="12064" width="11.140625" style="145" bestFit="1" customWidth="1"/>
    <col min="12065" max="12287" width="12.42578125" style="145"/>
    <col min="12288" max="12288" width="6.7109375" style="145" customWidth="1"/>
    <col min="12289" max="12289" width="25.28515625" style="145" customWidth="1"/>
    <col min="12290" max="12290" width="10" style="145" customWidth="1"/>
    <col min="12291" max="12292" width="7.5703125" style="145" customWidth="1"/>
    <col min="12293" max="12293" width="9" style="145" customWidth="1"/>
    <col min="12294" max="12294" width="7.140625" style="145" customWidth="1"/>
    <col min="12295" max="12295" width="10.5703125" style="145" bestFit="1" customWidth="1"/>
    <col min="12296" max="12296" width="9.85546875" style="145" customWidth="1"/>
    <col min="12297" max="12297" width="7.7109375" style="145" customWidth="1"/>
    <col min="12298" max="12298" width="9.85546875" style="145" customWidth="1"/>
    <col min="12299" max="12299" width="7.42578125" style="145" bestFit="1" customWidth="1"/>
    <col min="12300" max="12300" width="9.85546875" style="145" customWidth="1"/>
    <col min="12301" max="12301" width="8.85546875" style="145" customWidth="1"/>
    <col min="12302" max="12302" width="11.140625" style="145" bestFit="1" customWidth="1"/>
    <col min="12303" max="12304" width="9" style="145" customWidth="1"/>
    <col min="12305" max="12305" width="9.140625" style="145" customWidth="1"/>
    <col min="12306" max="12306" width="9.85546875" style="145" customWidth="1"/>
    <col min="12307" max="12307" width="10.5703125" style="145" customWidth="1"/>
    <col min="12308" max="12308" width="12.140625" style="145" customWidth="1"/>
    <col min="12309" max="12309" width="11.140625" style="145" customWidth="1"/>
    <col min="12310" max="12310" width="11.5703125" style="145" bestFit="1" customWidth="1"/>
    <col min="12311" max="12311" width="12" style="145" bestFit="1" customWidth="1"/>
    <col min="12312" max="12312" width="16.28515625" style="145" bestFit="1" customWidth="1"/>
    <col min="12313" max="12313" width="13.42578125" style="145" customWidth="1"/>
    <col min="12314" max="12314" width="14.42578125" style="145" customWidth="1"/>
    <col min="12315" max="12315" width="18.7109375" style="145" bestFit="1" customWidth="1"/>
    <col min="12316" max="12316" width="7.85546875" style="145" customWidth="1"/>
    <col min="12317" max="12317" width="9.85546875" style="145" customWidth="1"/>
    <col min="12318" max="12319" width="11" style="145" bestFit="1" customWidth="1"/>
    <col min="12320" max="12320" width="11.140625" style="145" bestFit="1" customWidth="1"/>
    <col min="12321" max="12543" width="12.42578125" style="145"/>
    <col min="12544" max="12544" width="6.7109375" style="145" customWidth="1"/>
    <col min="12545" max="12545" width="25.28515625" style="145" customWidth="1"/>
    <col min="12546" max="12546" width="10" style="145" customWidth="1"/>
    <col min="12547" max="12548" width="7.5703125" style="145" customWidth="1"/>
    <col min="12549" max="12549" width="9" style="145" customWidth="1"/>
    <col min="12550" max="12550" width="7.140625" style="145" customWidth="1"/>
    <col min="12551" max="12551" width="10.5703125" style="145" bestFit="1" customWidth="1"/>
    <col min="12552" max="12552" width="9.85546875" style="145" customWidth="1"/>
    <col min="12553" max="12553" width="7.7109375" style="145" customWidth="1"/>
    <col min="12554" max="12554" width="9.85546875" style="145" customWidth="1"/>
    <col min="12555" max="12555" width="7.42578125" style="145" bestFit="1" customWidth="1"/>
    <col min="12556" max="12556" width="9.85546875" style="145" customWidth="1"/>
    <col min="12557" max="12557" width="8.85546875" style="145" customWidth="1"/>
    <col min="12558" max="12558" width="11.140625" style="145" bestFit="1" customWidth="1"/>
    <col min="12559" max="12560" width="9" style="145" customWidth="1"/>
    <col min="12561" max="12561" width="9.140625" style="145" customWidth="1"/>
    <col min="12562" max="12562" width="9.85546875" style="145" customWidth="1"/>
    <col min="12563" max="12563" width="10.5703125" style="145" customWidth="1"/>
    <col min="12564" max="12564" width="12.140625" style="145" customWidth="1"/>
    <col min="12565" max="12565" width="11.140625" style="145" customWidth="1"/>
    <col min="12566" max="12566" width="11.5703125" style="145" bestFit="1" customWidth="1"/>
    <col min="12567" max="12567" width="12" style="145" bestFit="1" customWidth="1"/>
    <col min="12568" max="12568" width="16.28515625" style="145" bestFit="1" customWidth="1"/>
    <col min="12569" max="12569" width="13.42578125" style="145" customWidth="1"/>
    <col min="12570" max="12570" width="14.42578125" style="145" customWidth="1"/>
    <col min="12571" max="12571" width="18.7109375" style="145" bestFit="1" customWidth="1"/>
    <col min="12572" max="12572" width="7.85546875" style="145" customWidth="1"/>
    <col min="12573" max="12573" width="9.85546875" style="145" customWidth="1"/>
    <col min="12574" max="12575" width="11" style="145" bestFit="1" customWidth="1"/>
    <col min="12576" max="12576" width="11.140625" style="145" bestFit="1" customWidth="1"/>
    <col min="12577" max="12799" width="12.42578125" style="145"/>
    <col min="12800" max="12800" width="6.7109375" style="145" customWidth="1"/>
    <col min="12801" max="12801" width="25.28515625" style="145" customWidth="1"/>
    <col min="12802" max="12802" width="10" style="145" customWidth="1"/>
    <col min="12803" max="12804" width="7.5703125" style="145" customWidth="1"/>
    <col min="12805" max="12805" width="9" style="145" customWidth="1"/>
    <col min="12806" max="12806" width="7.140625" style="145" customWidth="1"/>
    <col min="12807" max="12807" width="10.5703125" style="145" bestFit="1" customWidth="1"/>
    <col min="12808" max="12808" width="9.85546875" style="145" customWidth="1"/>
    <col min="12809" max="12809" width="7.7109375" style="145" customWidth="1"/>
    <col min="12810" max="12810" width="9.85546875" style="145" customWidth="1"/>
    <col min="12811" max="12811" width="7.42578125" style="145" bestFit="1" customWidth="1"/>
    <col min="12812" max="12812" width="9.85546875" style="145" customWidth="1"/>
    <col min="12813" max="12813" width="8.85546875" style="145" customWidth="1"/>
    <col min="12814" max="12814" width="11.140625" style="145" bestFit="1" customWidth="1"/>
    <col min="12815" max="12816" width="9" style="145" customWidth="1"/>
    <col min="12817" max="12817" width="9.140625" style="145" customWidth="1"/>
    <col min="12818" max="12818" width="9.85546875" style="145" customWidth="1"/>
    <col min="12819" max="12819" width="10.5703125" style="145" customWidth="1"/>
    <col min="12820" max="12820" width="12.140625" style="145" customWidth="1"/>
    <col min="12821" max="12821" width="11.140625" style="145" customWidth="1"/>
    <col min="12822" max="12822" width="11.5703125" style="145" bestFit="1" customWidth="1"/>
    <col min="12823" max="12823" width="12" style="145" bestFit="1" customWidth="1"/>
    <col min="12824" max="12824" width="16.28515625" style="145" bestFit="1" customWidth="1"/>
    <col min="12825" max="12825" width="13.42578125" style="145" customWidth="1"/>
    <col min="12826" max="12826" width="14.42578125" style="145" customWidth="1"/>
    <col min="12827" max="12827" width="18.7109375" style="145" bestFit="1" customWidth="1"/>
    <col min="12828" max="12828" width="7.85546875" style="145" customWidth="1"/>
    <col min="12829" max="12829" width="9.85546875" style="145" customWidth="1"/>
    <col min="12830" max="12831" width="11" style="145" bestFit="1" customWidth="1"/>
    <col min="12832" max="12832" width="11.140625" style="145" bestFit="1" customWidth="1"/>
    <col min="12833" max="13055" width="12.42578125" style="145"/>
    <col min="13056" max="13056" width="6.7109375" style="145" customWidth="1"/>
    <col min="13057" max="13057" width="25.28515625" style="145" customWidth="1"/>
    <col min="13058" max="13058" width="10" style="145" customWidth="1"/>
    <col min="13059" max="13060" width="7.5703125" style="145" customWidth="1"/>
    <col min="13061" max="13061" width="9" style="145" customWidth="1"/>
    <col min="13062" max="13062" width="7.140625" style="145" customWidth="1"/>
    <col min="13063" max="13063" width="10.5703125" style="145" bestFit="1" customWidth="1"/>
    <col min="13064" max="13064" width="9.85546875" style="145" customWidth="1"/>
    <col min="13065" max="13065" width="7.7109375" style="145" customWidth="1"/>
    <col min="13066" max="13066" width="9.85546875" style="145" customWidth="1"/>
    <col min="13067" max="13067" width="7.42578125" style="145" bestFit="1" customWidth="1"/>
    <col min="13068" max="13068" width="9.85546875" style="145" customWidth="1"/>
    <col min="13069" max="13069" width="8.85546875" style="145" customWidth="1"/>
    <col min="13070" max="13070" width="11.140625" style="145" bestFit="1" customWidth="1"/>
    <col min="13071" max="13072" width="9" style="145" customWidth="1"/>
    <col min="13073" max="13073" width="9.140625" style="145" customWidth="1"/>
    <col min="13074" max="13074" width="9.85546875" style="145" customWidth="1"/>
    <col min="13075" max="13075" width="10.5703125" style="145" customWidth="1"/>
    <col min="13076" max="13076" width="12.140625" style="145" customWidth="1"/>
    <col min="13077" max="13077" width="11.140625" style="145" customWidth="1"/>
    <col min="13078" max="13078" width="11.5703125" style="145" bestFit="1" customWidth="1"/>
    <col min="13079" max="13079" width="12" style="145" bestFit="1" customWidth="1"/>
    <col min="13080" max="13080" width="16.28515625" style="145" bestFit="1" customWidth="1"/>
    <col min="13081" max="13081" width="13.42578125" style="145" customWidth="1"/>
    <col min="13082" max="13082" width="14.42578125" style="145" customWidth="1"/>
    <col min="13083" max="13083" width="18.7109375" style="145" bestFit="1" customWidth="1"/>
    <col min="13084" max="13084" width="7.85546875" style="145" customWidth="1"/>
    <col min="13085" max="13085" width="9.85546875" style="145" customWidth="1"/>
    <col min="13086" max="13087" width="11" style="145" bestFit="1" customWidth="1"/>
    <col min="13088" max="13088" width="11.140625" style="145" bestFit="1" customWidth="1"/>
    <col min="13089" max="13311" width="12.42578125" style="145"/>
    <col min="13312" max="13312" width="6.7109375" style="145" customWidth="1"/>
    <col min="13313" max="13313" width="25.28515625" style="145" customWidth="1"/>
    <col min="13314" max="13314" width="10" style="145" customWidth="1"/>
    <col min="13315" max="13316" width="7.5703125" style="145" customWidth="1"/>
    <col min="13317" max="13317" width="9" style="145" customWidth="1"/>
    <col min="13318" max="13318" width="7.140625" style="145" customWidth="1"/>
    <col min="13319" max="13319" width="10.5703125" style="145" bestFit="1" customWidth="1"/>
    <col min="13320" max="13320" width="9.85546875" style="145" customWidth="1"/>
    <col min="13321" max="13321" width="7.7109375" style="145" customWidth="1"/>
    <col min="13322" max="13322" width="9.85546875" style="145" customWidth="1"/>
    <col min="13323" max="13323" width="7.42578125" style="145" bestFit="1" customWidth="1"/>
    <col min="13324" max="13324" width="9.85546875" style="145" customWidth="1"/>
    <col min="13325" max="13325" width="8.85546875" style="145" customWidth="1"/>
    <col min="13326" max="13326" width="11.140625" style="145" bestFit="1" customWidth="1"/>
    <col min="13327" max="13328" width="9" style="145" customWidth="1"/>
    <col min="13329" max="13329" width="9.140625" style="145" customWidth="1"/>
    <col min="13330" max="13330" width="9.85546875" style="145" customWidth="1"/>
    <col min="13331" max="13331" width="10.5703125" style="145" customWidth="1"/>
    <col min="13332" max="13332" width="12.140625" style="145" customWidth="1"/>
    <col min="13333" max="13333" width="11.140625" style="145" customWidth="1"/>
    <col min="13334" max="13334" width="11.5703125" style="145" bestFit="1" customWidth="1"/>
    <col min="13335" max="13335" width="12" style="145" bestFit="1" customWidth="1"/>
    <col min="13336" max="13336" width="16.28515625" style="145" bestFit="1" customWidth="1"/>
    <col min="13337" max="13337" width="13.42578125" style="145" customWidth="1"/>
    <col min="13338" max="13338" width="14.42578125" style="145" customWidth="1"/>
    <col min="13339" max="13339" width="18.7109375" style="145" bestFit="1" customWidth="1"/>
    <col min="13340" max="13340" width="7.85546875" style="145" customWidth="1"/>
    <col min="13341" max="13341" width="9.85546875" style="145" customWidth="1"/>
    <col min="13342" max="13343" width="11" style="145" bestFit="1" customWidth="1"/>
    <col min="13344" max="13344" width="11.140625" style="145" bestFit="1" customWidth="1"/>
    <col min="13345" max="13567" width="12.42578125" style="145"/>
    <col min="13568" max="13568" width="6.7109375" style="145" customWidth="1"/>
    <col min="13569" max="13569" width="25.28515625" style="145" customWidth="1"/>
    <col min="13570" max="13570" width="10" style="145" customWidth="1"/>
    <col min="13571" max="13572" width="7.5703125" style="145" customWidth="1"/>
    <col min="13573" max="13573" width="9" style="145" customWidth="1"/>
    <col min="13574" max="13574" width="7.140625" style="145" customWidth="1"/>
    <col min="13575" max="13575" width="10.5703125" style="145" bestFit="1" customWidth="1"/>
    <col min="13576" max="13576" width="9.85546875" style="145" customWidth="1"/>
    <col min="13577" max="13577" width="7.7109375" style="145" customWidth="1"/>
    <col min="13578" max="13578" width="9.85546875" style="145" customWidth="1"/>
    <col min="13579" max="13579" width="7.42578125" style="145" bestFit="1" customWidth="1"/>
    <col min="13580" max="13580" width="9.85546875" style="145" customWidth="1"/>
    <col min="13581" max="13581" width="8.85546875" style="145" customWidth="1"/>
    <col min="13582" max="13582" width="11.140625" style="145" bestFit="1" customWidth="1"/>
    <col min="13583" max="13584" width="9" style="145" customWidth="1"/>
    <col min="13585" max="13585" width="9.140625" style="145" customWidth="1"/>
    <col min="13586" max="13586" width="9.85546875" style="145" customWidth="1"/>
    <col min="13587" max="13587" width="10.5703125" style="145" customWidth="1"/>
    <col min="13588" max="13588" width="12.140625" style="145" customWidth="1"/>
    <col min="13589" max="13589" width="11.140625" style="145" customWidth="1"/>
    <col min="13590" max="13590" width="11.5703125" style="145" bestFit="1" customWidth="1"/>
    <col min="13591" max="13591" width="12" style="145" bestFit="1" customWidth="1"/>
    <col min="13592" max="13592" width="16.28515625" style="145" bestFit="1" customWidth="1"/>
    <col min="13593" max="13593" width="13.42578125" style="145" customWidth="1"/>
    <col min="13594" max="13594" width="14.42578125" style="145" customWidth="1"/>
    <col min="13595" max="13595" width="18.7109375" style="145" bestFit="1" customWidth="1"/>
    <col min="13596" max="13596" width="7.85546875" style="145" customWidth="1"/>
    <col min="13597" max="13597" width="9.85546875" style="145" customWidth="1"/>
    <col min="13598" max="13599" width="11" style="145" bestFit="1" customWidth="1"/>
    <col min="13600" max="13600" width="11.140625" style="145" bestFit="1" customWidth="1"/>
    <col min="13601" max="13823" width="12.42578125" style="145"/>
    <col min="13824" max="13824" width="6.7109375" style="145" customWidth="1"/>
    <col min="13825" max="13825" width="25.28515625" style="145" customWidth="1"/>
    <col min="13826" max="13826" width="10" style="145" customWidth="1"/>
    <col min="13827" max="13828" width="7.5703125" style="145" customWidth="1"/>
    <col min="13829" max="13829" width="9" style="145" customWidth="1"/>
    <col min="13830" max="13830" width="7.140625" style="145" customWidth="1"/>
    <col min="13831" max="13831" width="10.5703125" style="145" bestFit="1" customWidth="1"/>
    <col min="13832" max="13832" width="9.85546875" style="145" customWidth="1"/>
    <col min="13833" max="13833" width="7.7109375" style="145" customWidth="1"/>
    <col min="13834" max="13834" width="9.85546875" style="145" customWidth="1"/>
    <col min="13835" max="13835" width="7.42578125" style="145" bestFit="1" customWidth="1"/>
    <col min="13836" max="13836" width="9.85546875" style="145" customWidth="1"/>
    <col min="13837" max="13837" width="8.85546875" style="145" customWidth="1"/>
    <col min="13838" max="13838" width="11.140625" style="145" bestFit="1" customWidth="1"/>
    <col min="13839" max="13840" width="9" style="145" customWidth="1"/>
    <col min="13841" max="13841" width="9.140625" style="145" customWidth="1"/>
    <col min="13842" max="13842" width="9.85546875" style="145" customWidth="1"/>
    <col min="13843" max="13843" width="10.5703125" style="145" customWidth="1"/>
    <col min="13844" max="13844" width="12.140625" style="145" customWidth="1"/>
    <col min="13845" max="13845" width="11.140625" style="145" customWidth="1"/>
    <col min="13846" max="13846" width="11.5703125" style="145" bestFit="1" customWidth="1"/>
    <col min="13847" max="13847" width="12" style="145" bestFit="1" customWidth="1"/>
    <col min="13848" max="13848" width="16.28515625" style="145" bestFit="1" customWidth="1"/>
    <col min="13849" max="13849" width="13.42578125" style="145" customWidth="1"/>
    <col min="13850" max="13850" width="14.42578125" style="145" customWidth="1"/>
    <col min="13851" max="13851" width="18.7109375" style="145" bestFit="1" customWidth="1"/>
    <col min="13852" max="13852" width="7.85546875" style="145" customWidth="1"/>
    <col min="13853" max="13853" width="9.85546875" style="145" customWidth="1"/>
    <col min="13854" max="13855" width="11" style="145" bestFit="1" customWidth="1"/>
    <col min="13856" max="13856" width="11.140625" style="145" bestFit="1" customWidth="1"/>
    <col min="13857" max="14079" width="12.42578125" style="145"/>
    <col min="14080" max="14080" width="6.7109375" style="145" customWidth="1"/>
    <col min="14081" max="14081" width="25.28515625" style="145" customWidth="1"/>
    <col min="14082" max="14082" width="10" style="145" customWidth="1"/>
    <col min="14083" max="14084" width="7.5703125" style="145" customWidth="1"/>
    <col min="14085" max="14085" width="9" style="145" customWidth="1"/>
    <col min="14086" max="14086" width="7.140625" style="145" customWidth="1"/>
    <col min="14087" max="14087" width="10.5703125" style="145" bestFit="1" customWidth="1"/>
    <col min="14088" max="14088" width="9.85546875" style="145" customWidth="1"/>
    <col min="14089" max="14089" width="7.7109375" style="145" customWidth="1"/>
    <col min="14090" max="14090" width="9.85546875" style="145" customWidth="1"/>
    <col min="14091" max="14091" width="7.42578125" style="145" bestFit="1" customWidth="1"/>
    <col min="14092" max="14092" width="9.85546875" style="145" customWidth="1"/>
    <col min="14093" max="14093" width="8.85546875" style="145" customWidth="1"/>
    <col min="14094" max="14094" width="11.140625" style="145" bestFit="1" customWidth="1"/>
    <col min="14095" max="14096" width="9" style="145" customWidth="1"/>
    <col min="14097" max="14097" width="9.140625" style="145" customWidth="1"/>
    <col min="14098" max="14098" width="9.85546875" style="145" customWidth="1"/>
    <col min="14099" max="14099" width="10.5703125" style="145" customWidth="1"/>
    <col min="14100" max="14100" width="12.140625" style="145" customWidth="1"/>
    <col min="14101" max="14101" width="11.140625" style="145" customWidth="1"/>
    <col min="14102" max="14102" width="11.5703125" style="145" bestFit="1" customWidth="1"/>
    <col min="14103" max="14103" width="12" style="145" bestFit="1" customWidth="1"/>
    <col min="14104" max="14104" width="16.28515625" style="145" bestFit="1" customWidth="1"/>
    <col min="14105" max="14105" width="13.42578125" style="145" customWidth="1"/>
    <col min="14106" max="14106" width="14.42578125" style="145" customWidth="1"/>
    <col min="14107" max="14107" width="18.7109375" style="145" bestFit="1" customWidth="1"/>
    <col min="14108" max="14108" width="7.85546875" style="145" customWidth="1"/>
    <col min="14109" max="14109" width="9.85546875" style="145" customWidth="1"/>
    <col min="14110" max="14111" width="11" style="145" bestFit="1" customWidth="1"/>
    <col min="14112" max="14112" width="11.140625" style="145" bestFit="1" customWidth="1"/>
    <col min="14113" max="14335" width="12.42578125" style="145"/>
    <col min="14336" max="14336" width="6.7109375" style="145" customWidth="1"/>
    <col min="14337" max="14337" width="25.28515625" style="145" customWidth="1"/>
    <col min="14338" max="14338" width="10" style="145" customWidth="1"/>
    <col min="14339" max="14340" width="7.5703125" style="145" customWidth="1"/>
    <col min="14341" max="14341" width="9" style="145" customWidth="1"/>
    <col min="14342" max="14342" width="7.140625" style="145" customWidth="1"/>
    <col min="14343" max="14343" width="10.5703125" style="145" bestFit="1" customWidth="1"/>
    <col min="14344" max="14344" width="9.85546875" style="145" customWidth="1"/>
    <col min="14345" max="14345" width="7.7109375" style="145" customWidth="1"/>
    <col min="14346" max="14346" width="9.85546875" style="145" customWidth="1"/>
    <col min="14347" max="14347" width="7.42578125" style="145" bestFit="1" customWidth="1"/>
    <col min="14348" max="14348" width="9.85546875" style="145" customWidth="1"/>
    <col min="14349" max="14349" width="8.85546875" style="145" customWidth="1"/>
    <col min="14350" max="14350" width="11.140625" style="145" bestFit="1" customWidth="1"/>
    <col min="14351" max="14352" width="9" style="145" customWidth="1"/>
    <col min="14353" max="14353" width="9.140625" style="145" customWidth="1"/>
    <col min="14354" max="14354" width="9.85546875" style="145" customWidth="1"/>
    <col min="14355" max="14355" width="10.5703125" style="145" customWidth="1"/>
    <col min="14356" max="14356" width="12.140625" style="145" customWidth="1"/>
    <col min="14357" max="14357" width="11.140625" style="145" customWidth="1"/>
    <col min="14358" max="14358" width="11.5703125" style="145" bestFit="1" customWidth="1"/>
    <col min="14359" max="14359" width="12" style="145" bestFit="1" customWidth="1"/>
    <col min="14360" max="14360" width="16.28515625" style="145" bestFit="1" customWidth="1"/>
    <col min="14361" max="14361" width="13.42578125" style="145" customWidth="1"/>
    <col min="14362" max="14362" width="14.42578125" style="145" customWidth="1"/>
    <col min="14363" max="14363" width="18.7109375" style="145" bestFit="1" customWidth="1"/>
    <col min="14364" max="14364" width="7.85546875" style="145" customWidth="1"/>
    <col min="14365" max="14365" width="9.85546875" style="145" customWidth="1"/>
    <col min="14366" max="14367" width="11" style="145" bestFit="1" customWidth="1"/>
    <col min="14368" max="14368" width="11.140625" style="145" bestFit="1" customWidth="1"/>
    <col min="14369" max="14591" width="12.42578125" style="145"/>
    <col min="14592" max="14592" width="6.7109375" style="145" customWidth="1"/>
    <col min="14593" max="14593" width="25.28515625" style="145" customWidth="1"/>
    <col min="14594" max="14594" width="10" style="145" customWidth="1"/>
    <col min="14595" max="14596" width="7.5703125" style="145" customWidth="1"/>
    <col min="14597" max="14597" width="9" style="145" customWidth="1"/>
    <col min="14598" max="14598" width="7.140625" style="145" customWidth="1"/>
    <col min="14599" max="14599" width="10.5703125" style="145" bestFit="1" customWidth="1"/>
    <col min="14600" max="14600" width="9.85546875" style="145" customWidth="1"/>
    <col min="14601" max="14601" width="7.7109375" style="145" customWidth="1"/>
    <col min="14602" max="14602" width="9.85546875" style="145" customWidth="1"/>
    <col min="14603" max="14603" width="7.42578125" style="145" bestFit="1" customWidth="1"/>
    <col min="14604" max="14604" width="9.85546875" style="145" customWidth="1"/>
    <col min="14605" max="14605" width="8.85546875" style="145" customWidth="1"/>
    <col min="14606" max="14606" width="11.140625" style="145" bestFit="1" customWidth="1"/>
    <col min="14607" max="14608" width="9" style="145" customWidth="1"/>
    <col min="14609" max="14609" width="9.140625" style="145" customWidth="1"/>
    <col min="14610" max="14610" width="9.85546875" style="145" customWidth="1"/>
    <col min="14611" max="14611" width="10.5703125" style="145" customWidth="1"/>
    <col min="14612" max="14612" width="12.140625" style="145" customWidth="1"/>
    <col min="14613" max="14613" width="11.140625" style="145" customWidth="1"/>
    <col min="14614" max="14614" width="11.5703125" style="145" bestFit="1" customWidth="1"/>
    <col min="14615" max="14615" width="12" style="145" bestFit="1" customWidth="1"/>
    <col min="14616" max="14616" width="16.28515625" style="145" bestFit="1" customWidth="1"/>
    <col min="14617" max="14617" width="13.42578125" style="145" customWidth="1"/>
    <col min="14618" max="14618" width="14.42578125" style="145" customWidth="1"/>
    <col min="14619" max="14619" width="18.7109375" style="145" bestFit="1" customWidth="1"/>
    <col min="14620" max="14620" width="7.85546875" style="145" customWidth="1"/>
    <col min="14621" max="14621" width="9.85546875" style="145" customWidth="1"/>
    <col min="14622" max="14623" width="11" style="145" bestFit="1" customWidth="1"/>
    <col min="14624" max="14624" width="11.140625" style="145" bestFit="1" customWidth="1"/>
    <col min="14625" max="14847" width="12.42578125" style="145"/>
    <col min="14848" max="14848" width="6.7109375" style="145" customWidth="1"/>
    <col min="14849" max="14849" width="25.28515625" style="145" customWidth="1"/>
    <col min="14850" max="14850" width="10" style="145" customWidth="1"/>
    <col min="14851" max="14852" width="7.5703125" style="145" customWidth="1"/>
    <col min="14853" max="14853" width="9" style="145" customWidth="1"/>
    <col min="14854" max="14854" width="7.140625" style="145" customWidth="1"/>
    <col min="14855" max="14855" width="10.5703125" style="145" bestFit="1" customWidth="1"/>
    <col min="14856" max="14856" width="9.85546875" style="145" customWidth="1"/>
    <col min="14857" max="14857" width="7.7109375" style="145" customWidth="1"/>
    <col min="14858" max="14858" width="9.85546875" style="145" customWidth="1"/>
    <col min="14859" max="14859" width="7.42578125" style="145" bestFit="1" customWidth="1"/>
    <col min="14860" max="14860" width="9.85546875" style="145" customWidth="1"/>
    <col min="14861" max="14861" width="8.85546875" style="145" customWidth="1"/>
    <col min="14862" max="14862" width="11.140625" style="145" bestFit="1" customWidth="1"/>
    <col min="14863" max="14864" width="9" style="145" customWidth="1"/>
    <col min="14865" max="14865" width="9.140625" style="145" customWidth="1"/>
    <col min="14866" max="14866" width="9.85546875" style="145" customWidth="1"/>
    <col min="14867" max="14867" width="10.5703125" style="145" customWidth="1"/>
    <col min="14868" max="14868" width="12.140625" style="145" customWidth="1"/>
    <col min="14869" max="14869" width="11.140625" style="145" customWidth="1"/>
    <col min="14870" max="14870" width="11.5703125" style="145" bestFit="1" customWidth="1"/>
    <col min="14871" max="14871" width="12" style="145" bestFit="1" customWidth="1"/>
    <col min="14872" max="14872" width="16.28515625" style="145" bestFit="1" customWidth="1"/>
    <col min="14873" max="14873" width="13.42578125" style="145" customWidth="1"/>
    <col min="14874" max="14874" width="14.42578125" style="145" customWidth="1"/>
    <col min="14875" max="14875" width="18.7109375" style="145" bestFit="1" customWidth="1"/>
    <col min="14876" max="14876" width="7.85546875" style="145" customWidth="1"/>
    <col min="14877" max="14877" width="9.85546875" style="145" customWidth="1"/>
    <col min="14878" max="14879" width="11" style="145" bestFit="1" customWidth="1"/>
    <col min="14880" max="14880" width="11.140625" style="145" bestFit="1" customWidth="1"/>
    <col min="14881" max="15103" width="12.42578125" style="145"/>
    <col min="15104" max="15104" width="6.7109375" style="145" customWidth="1"/>
    <col min="15105" max="15105" width="25.28515625" style="145" customWidth="1"/>
    <col min="15106" max="15106" width="10" style="145" customWidth="1"/>
    <col min="15107" max="15108" width="7.5703125" style="145" customWidth="1"/>
    <col min="15109" max="15109" width="9" style="145" customWidth="1"/>
    <col min="15110" max="15110" width="7.140625" style="145" customWidth="1"/>
    <col min="15111" max="15111" width="10.5703125" style="145" bestFit="1" customWidth="1"/>
    <col min="15112" max="15112" width="9.85546875" style="145" customWidth="1"/>
    <col min="15113" max="15113" width="7.7109375" style="145" customWidth="1"/>
    <col min="15114" max="15114" width="9.85546875" style="145" customWidth="1"/>
    <col min="15115" max="15115" width="7.42578125" style="145" bestFit="1" customWidth="1"/>
    <col min="15116" max="15116" width="9.85546875" style="145" customWidth="1"/>
    <col min="15117" max="15117" width="8.85546875" style="145" customWidth="1"/>
    <col min="15118" max="15118" width="11.140625" style="145" bestFit="1" customWidth="1"/>
    <col min="15119" max="15120" width="9" style="145" customWidth="1"/>
    <col min="15121" max="15121" width="9.140625" style="145" customWidth="1"/>
    <col min="15122" max="15122" width="9.85546875" style="145" customWidth="1"/>
    <col min="15123" max="15123" width="10.5703125" style="145" customWidth="1"/>
    <col min="15124" max="15124" width="12.140625" style="145" customWidth="1"/>
    <col min="15125" max="15125" width="11.140625" style="145" customWidth="1"/>
    <col min="15126" max="15126" width="11.5703125" style="145" bestFit="1" customWidth="1"/>
    <col min="15127" max="15127" width="12" style="145" bestFit="1" customWidth="1"/>
    <col min="15128" max="15128" width="16.28515625" style="145" bestFit="1" customWidth="1"/>
    <col min="15129" max="15129" width="13.42578125" style="145" customWidth="1"/>
    <col min="15130" max="15130" width="14.42578125" style="145" customWidth="1"/>
    <col min="15131" max="15131" width="18.7109375" style="145" bestFit="1" customWidth="1"/>
    <col min="15132" max="15132" width="7.85546875" style="145" customWidth="1"/>
    <col min="15133" max="15133" width="9.85546875" style="145" customWidth="1"/>
    <col min="15134" max="15135" width="11" style="145" bestFit="1" customWidth="1"/>
    <col min="15136" max="15136" width="11.140625" style="145" bestFit="1" customWidth="1"/>
    <col min="15137" max="15359" width="12.42578125" style="145"/>
    <col min="15360" max="15360" width="6.7109375" style="145" customWidth="1"/>
    <col min="15361" max="15361" width="25.28515625" style="145" customWidth="1"/>
    <col min="15362" max="15362" width="10" style="145" customWidth="1"/>
    <col min="15363" max="15364" width="7.5703125" style="145" customWidth="1"/>
    <col min="15365" max="15365" width="9" style="145" customWidth="1"/>
    <col min="15366" max="15366" width="7.140625" style="145" customWidth="1"/>
    <col min="15367" max="15367" width="10.5703125" style="145" bestFit="1" customWidth="1"/>
    <col min="15368" max="15368" width="9.85546875" style="145" customWidth="1"/>
    <col min="15369" max="15369" width="7.7109375" style="145" customWidth="1"/>
    <col min="15370" max="15370" width="9.85546875" style="145" customWidth="1"/>
    <col min="15371" max="15371" width="7.42578125" style="145" bestFit="1" customWidth="1"/>
    <col min="15372" max="15372" width="9.85546875" style="145" customWidth="1"/>
    <col min="15373" max="15373" width="8.85546875" style="145" customWidth="1"/>
    <col min="15374" max="15374" width="11.140625" style="145" bestFit="1" customWidth="1"/>
    <col min="15375" max="15376" width="9" style="145" customWidth="1"/>
    <col min="15377" max="15377" width="9.140625" style="145" customWidth="1"/>
    <col min="15378" max="15378" width="9.85546875" style="145" customWidth="1"/>
    <col min="15379" max="15379" width="10.5703125" style="145" customWidth="1"/>
    <col min="15380" max="15380" width="12.140625" style="145" customWidth="1"/>
    <col min="15381" max="15381" width="11.140625" style="145" customWidth="1"/>
    <col min="15382" max="15382" width="11.5703125" style="145" bestFit="1" customWidth="1"/>
    <col min="15383" max="15383" width="12" style="145" bestFit="1" customWidth="1"/>
    <col min="15384" max="15384" width="16.28515625" style="145" bestFit="1" customWidth="1"/>
    <col min="15385" max="15385" width="13.42578125" style="145" customWidth="1"/>
    <col min="15386" max="15386" width="14.42578125" style="145" customWidth="1"/>
    <col min="15387" max="15387" width="18.7109375" style="145" bestFit="1" customWidth="1"/>
    <col min="15388" max="15388" width="7.85546875" style="145" customWidth="1"/>
    <col min="15389" max="15389" width="9.85546875" style="145" customWidth="1"/>
    <col min="15390" max="15391" width="11" style="145" bestFit="1" customWidth="1"/>
    <col min="15392" max="15392" width="11.140625" style="145" bestFit="1" customWidth="1"/>
    <col min="15393" max="15615" width="12.42578125" style="145"/>
    <col min="15616" max="15616" width="6.7109375" style="145" customWidth="1"/>
    <col min="15617" max="15617" width="25.28515625" style="145" customWidth="1"/>
    <col min="15618" max="15618" width="10" style="145" customWidth="1"/>
    <col min="15619" max="15620" width="7.5703125" style="145" customWidth="1"/>
    <col min="15621" max="15621" width="9" style="145" customWidth="1"/>
    <col min="15622" max="15622" width="7.140625" style="145" customWidth="1"/>
    <col min="15623" max="15623" width="10.5703125" style="145" bestFit="1" customWidth="1"/>
    <col min="15624" max="15624" width="9.85546875" style="145" customWidth="1"/>
    <col min="15625" max="15625" width="7.7109375" style="145" customWidth="1"/>
    <col min="15626" max="15626" width="9.85546875" style="145" customWidth="1"/>
    <col min="15627" max="15627" width="7.42578125" style="145" bestFit="1" customWidth="1"/>
    <col min="15628" max="15628" width="9.85546875" style="145" customWidth="1"/>
    <col min="15629" max="15629" width="8.85546875" style="145" customWidth="1"/>
    <col min="15630" max="15630" width="11.140625" style="145" bestFit="1" customWidth="1"/>
    <col min="15631" max="15632" width="9" style="145" customWidth="1"/>
    <col min="15633" max="15633" width="9.140625" style="145" customWidth="1"/>
    <col min="15634" max="15634" width="9.85546875" style="145" customWidth="1"/>
    <col min="15635" max="15635" width="10.5703125" style="145" customWidth="1"/>
    <col min="15636" max="15636" width="12.140625" style="145" customWidth="1"/>
    <col min="15637" max="15637" width="11.140625" style="145" customWidth="1"/>
    <col min="15638" max="15638" width="11.5703125" style="145" bestFit="1" customWidth="1"/>
    <col min="15639" max="15639" width="12" style="145" bestFit="1" customWidth="1"/>
    <col min="15640" max="15640" width="16.28515625" style="145" bestFit="1" customWidth="1"/>
    <col min="15641" max="15641" width="13.42578125" style="145" customWidth="1"/>
    <col min="15642" max="15642" width="14.42578125" style="145" customWidth="1"/>
    <col min="15643" max="15643" width="18.7109375" style="145" bestFit="1" customWidth="1"/>
    <col min="15644" max="15644" width="7.85546875" style="145" customWidth="1"/>
    <col min="15645" max="15645" width="9.85546875" style="145" customWidth="1"/>
    <col min="15646" max="15647" width="11" style="145" bestFit="1" customWidth="1"/>
    <col min="15648" max="15648" width="11.140625" style="145" bestFit="1" customWidth="1"/>
    <col min="15649" max="15871" width="12.42578125" style="145"/>
    <col min="15872" max="15872" width="6.7109375" style="145" customWidth="1"/>
    <col min="15873" max="15873" width="25.28515625" style="145" customWidth="1"/>
    <col min="15874" max="15874" width="10" style="145" customWidth="1"/>
    <col min="15875" max="15876" width="7.5703125" style="145" customWidth="1"/>
    <col min="15877" max="15877" width="9" style="145" customWidth="1"/>
    <col min="15878" max="15878" width="7.140625" style="145" customWidth="1"/>
    <col min="15879" max="15879" width="10.5703125" style="145" bestFit="1" customWidth="1"/>
    <col min="15880" max="15880" width="9.85546875" style="145" customWidth="1"/>
    <col min="15881" max="15881" width="7.7109375" style="145" customWidth="1"/>
    <col min="15882" max="15882" width="9.85546875" style="145" customWidth="1"/>
    <col min="15883" max="15883" width="7.42578125" style="145" bestFit="1" customWidth="1"/>
    <col min="15884" max="15884" width="9.85546875" style="145" customWidth="1"/>
    <col min="15885" max="15885" width="8.85546875" style="145" customWidth="1"/>
    <col min="15886" max="15886" width="11.140625" style="145" bestFit="1" customWidth="1"/>
    <col min="15887" max="15888" width="9" style="145" customWidth="1"/>
    <col min="15889" max="15889" width="9.140625" style="145" customWidth="1"/>
    <col min="15890" max="15890" width="9.85546875" style="145" customWidth="1"/>
    <col min="15891" max="15891" width="10.5703125" style="145" customWidth="1"/>
    <col min="15892" max="15892" width="12.140625" style="145" customWidth="1"/>
    <col min="15893" max="15893" width="11.140625" style="145" customWidth="1"/>
    <col min="15894" max="15894" width="11.5703125" style="145" bestFit="1" customWidth="1"/>
    <col min="15895" max="15895" width="12" style="145" bestFit="1" customWidth="1"/>
    <col min="15896" max="15896" width="16.28515625" style="145" bestFit="1" customWidth="1"/>
    <col min="15897" max="15897" width="13.42578125" style="145" customWidth="1"/>
    <col min="15898" max="15898" width="14.42578125" style="145" customWidth="1"/>
    <col min="15899" max="15899" width="18.7109375" style="145" bestFit="1" customWidth="1"/>
    <col min="15900" max="15900" width="7.85546875" style="145" customWidth="1"/>
    <col min="15901" max="15901" width="9.85546875" style="145" customWidth="1"/>
    <col min="15902" max="15903" width="11" style="145" bestFit="1" customWidth="1"/>
    <col min="15904" max="15904" width="11.140625" style="145" bestFit="1" customWidth="1"/>
    <col min="15905" max="16127" width="12.42578125" style="145"/>
    <col min="16128" max="16128" width="6.7109375" style="145" customWidth="1"/>
    <col min="16129" max="16129" width="25.28515625" style="145" customWidth="1"/>
    <col min="16130" max="16130" width="10" style="145" customWidth="1"/>
    <col min="16131" max="16132" width="7.5703125" style="145" customWidth="1"/>
    <col min="16133" max="16133" width="9" style="145" customWidth="1"/>
    <col min="16134" max="16134" width="7.140625" style="145" customWidth="1"/>
    <col min="16135" max="16135" width="10.5703125" style="145" bestFit="1" customWidth="1"/>
    <col min="16136" max="16136" width="9.85546875" style="145" customWidth="1"/>
    <col min="16137" max="16137" width="7.7109375" style="145" customWidth="1"/>
    <col min="16138" max="16138" width="9.85546875" style="145" customWidth="1"/>
    <col min="16139" max="16139" width="7.42578125" style="145" bestFit="1" customWidth="1"/>
    <col min="16140" max="16140" width="9.85546875" style="145" customWidth="1"/>
    <col min="16141" max="16141" width="8.85546875" style="145" customWidth="1"/>
    <col min="16142" max="16142" width="11.140625" style="145" bestFit="1" customWidth="1"/>
    <col min="16143" max="16144" width="9" style="145" customWidth="1"/>
    <col min="16145" max="16145" width="9.140625" style="145" customWidth="1"/>
    <col min="16146" max="16146" width="9.85546875" style="145" customWidth="1"/>
    <col min="16147" max="16147" width="10.5703125" style="145" customWidth="1"/>
    <col min="16148" max="16148" width="12.140625" style="145" customWidth="1"/>
    <col min="16149" max="16149" width="11.140625" style="145" customWidth="1"/>
    <col min="16150" max="16150" width="11.5703125" style="145" bestFit="1" customWidth="1"/>
    <col min="16151" max="16151" width="12" style="145" bestFit="1" customWidth="1"/>
    <col min="16152" max="16152" width="16.28515625" style="145" bestFit="1" customWidth="1"/>
    <col min="16153" max="16153" width="13.42578125" style="145" customWidth="1"/>
    <col min="16154" max="16154" width="14.42578125" style="145" customWidth="1"/>
    <col min="16155" max="16155" width="18.7109375" style="145" bestFit="1" customWidth="1"/>
    <col min="16156" max="16156" width="7.85546875" style="145" customWidth="1"/>
    <col min="16157" max="16157" width="9.85546875" style="145" customWidth="1"/>
    <col min="16158" max="16159" width="11" style="145" bestFit="1" customWidth="1"/>
    <col min="16160" max="16160" width="11.140625" style="145" bestFit="1" customWidth="1"/>
    <col min="16161" max="16384" width="12.42578125" style="145"/>
  </cols>
  <sheetData>
    <row r="1" spans="1:72" s="315" customFormat="1" ht="24">
      <c r="A1" s="553" t="s">
        <v>384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  <c r="S1" s="553"/>
      <c r="T1" s="553"/>
      <c r="U1" s="553"/>
      <c r="V1" s="553"/>
      <c r="W1" s="553"/>
      <c r="X1" s="553"/>
      <c r="Y1" s="553"/>
      <c r="Z1" s="553"/>
      <c r="AA1" s="553"/>
      <c r="AB1" s="553"/>
      <c r="AC1" s="553"/>
      <c r="AD1" s="553"/>
      <c r="AE1" s="553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2"/>
      <c r="BT1" s="142"/>
    </row>
    <row r="2" spans="1:72" ht="17.25" thickBot="1">
      <c r="B2" s="463"/>
      <c r="C2" s="463"/>
    </row>
    <row r="3" spans="1:72">
      <c r="A3" s="144" t="s">
        <v>383</v>
      </c>
      <c r="C3" s="147" t="s">
        <v>85</v>
      </c>
      <c r="D3" s="316"/>
      <c r="E3" s="317"/>
      <c r="F3" s="318">
        <v>1.2</v>
      </c>
      <c r="G3" s="147" t="s">
        <v>86</v>
      </c>
      <c r="H3" s="319"/>
      <c r="I3" s="320">
        <v>22</v>
      </c>
      <c r="J3" s="277"/>
      <c r="K3" s="151" t="s">
        <v>87</v>
      </c>
      <c r="L3" s="321"/>
      <c r="M3" s="136">
        <v>12</v>
      </c>
      <c r="N3" s="322" t="s">
        <v>88</v>
      </c>
      <c r="O3" s="321"/>
      <c r="P3" s="318">
        <v>100</v>
      </c>
      <c r="Q3" s="323"/>
      <c r="U3" s="324" t="s">
        <v>89</v>
      </c>
      <c r="V3" s="325">
        <v>1</v>
      </c>
    </row>
    <row r="4" spans="1:72">
      <c r="A4" s="153"/>
      <c r="C4" s="156" t="s">
        <v>90</v>
      </c>
      <c r="D4" s="216"/>
      <c r="F4" s="326">
        <v>0.3</v>
      </c>
      <c r="G4" s="156" t="s">
        <v>91</v>
      </c>
      <c r="H4" s="327"/>
      <c r="I4" s="328">
        <v>35</v>
      </c>
      <c r="J4" s="277"/>
      <c r="K4" s="158" t="s">
        <v>92</v>
      </c>
      <c r="L4" s="329"/>
      <c r="M4" s="137">
        <v>24</v>
      </c>
      <c r="N4" s="330" t="s">
        <v>93</v>
      </c>
      <c r="O4" s="329"/>
      <c r="P4" s="326">
        <v>1</v>
      </c>
      <c r="S4" s="331"/>
      <c r="U4" s="332" t="s">
        <v>94</v>
      </c>
      <c r="V4" s="333">
        <v>1</v>
      </c>
    </row>
    <row r="5" spans="1:72">
      <c r="A5" s="153" t="s">
        <v>6</v>
      </c>
      <c r="B5" s="163"/>
      <c r="C5" s="156" t="s">
        <v>95</v>
      </c>
      <c r="D5" s="216"/>
      <c r="F5" s="326">
        <v>0</v>
      </c>
      <c r="G5" s="156" t="s">
        <v>96</v>
      </c>
      <c r="H5" s="327"/>
      <c r="I5" s="334">
        <v>10</v>
      </c>
      <c r="J5" s="277"/>
      <c r="K5" s="158" t="s">
        <v>97</v>
      </c>
      <c r="L5" s="329"/>
      <c r="M5" s="137">
        <v>34</v>
      </c>
      <c r="N5" s="330" t="s">
        <v>98</v>
      </c>
      <c r="O5" s="329"/>
      <c r="P5" s="326">
        <v>1.1000000000000001</v>
      </c>
      <c r="S5" s="331"/>
      <c r="U5" s="332" t="s">
        <v>99</v>
      </c>
      <c r="V5" s="333">
        <f>(1-P8/100)*V4*V3</f>
        <v>0.6</v>
      </c>
      <c r="Y5" s="277"/>
    </row>
    <row r="6" spans="1:72" ht="17.25" thickBot="1">
      <c r="A6" s="168"/>
      <c r="B6" s="169"/>
      <c r="C6" s="156" t="s">
        <v>100</v>
      </c>
      <c r="D6" s="216"/>
      <c r="E6" s="216"/>
      <c r="F6" s="335">
        <v>9000</v>
      </c>
      <c r="G6" s="156" t="s">
        <v>101</v>
      </c>
      <c r="H6" s="327"/>
      <c r="I6" s="326">
        <v>30</v>
      </c>
      <c r="J6" s="277"/>
      <c r="K6" s="158" t="s">
        <v>102</v>
      </c>
      <c r="L6" s="329"/>
      <c r="M6" s="137">
        <v>51</v>
      </c>
      <c r="N6" s="330" t="s">
        <v>103</v>
      </c>
      <c r="O6" s="329"/>
      <c r="P6" s="328">
        <v>0.9</v>
      </c>
      <c r="Q6" s="336"/>
      <c r="S6" s="337"/>
      <c r="U6" s="338" t="s">
        <v>104</v>
      </c>
      <c r="V6" s="339">
        <f>(1-S4/100)*V3</f>
        <v>1</v>
      </c>
    </row>
    <row r="7" spans="1:72" ht="17.25" thickBot="1">
      <c r="A7" s="153"/>
      <c r="C7" s="156" t="s">
        <v>105</v>
      </c>
      <c r="D7" s="216"/>
      <c r="F7" s="335">
        <v>300</v>
      </c>
      <c r="G7" s="156" t="s">
        <v>106</v>
      </c>
      <c r="H7" s="327"/>
      <c r="I7" s="334">
        <v>10</v>
      </c>
      <c r="J7" s="277"/>
      <c r="K7" s="158" t="s">
        <v>107</v>
      </c>
      <c r="L7" s="329"/>
      <c r="M7" s="137">
        <v>73</v>
      </c>
      <c r="N7" s="340" t="s">
        <v>108</v>
      </c>
      <c r="O7" s="341"/>
      <c r="P7" s="342">
        <v>0.8</v>
      </c>
    </row>
    <row r="8" spans="1:72" ht="17.25" thickBot="1">
      <c r="A8" s="184"/>
      <c r="C8" s="178" t="s">
        <v>109</v>
      </c>
      <c r="D8" s="343"/>
      <c r="E8" s="343"/>
      <c r="F8" s="344">
        <v>65</v>
      </c>
      <c r="G8" s="175"/>
      <c r="H8" s="345"/>
      <c r="I8" s="346"/>
      <c r="J8" s="277"/>
      <c r="K8" s="158" t="s">
        <v>110</v>
      </c>
      <c r="L8" s="329"/>
      <c r="M8" s="137">
        <v>97</v>
      </c>
      <c r="N8" s="347" t="s">
        <v>111</v>
      </c>
      <c r="O8" s="321"/>
      <c r="P8" s="348">
        <v>40</v>
      </c>
      <c r="R8" s="216"/>
      <c r="AB8" s="172"/>
      <c r="AC8" s="173"/>
      <c r="AD8" s="172" t="s">
        <v>12</v>
      </c>
      <c r="AE8" s="173">
        <v>44859</v>
      </c>
    </row>
    <row r="9" spans="1:72" ht="17.25" thickBot="1">
      <c r="B9" s="349"/>
      <c r="J9" s="277"/>
      <c r="K9" s="350" t="s">
        <v>112</v>
      </c>
      <c r="L9" s="341"/>
      <c r="M9" s="138">
        <v>153</v>
      </c>
      <c r="N9" s="351" t="s">
        <v>113</v>
      </c>
      <c r="O9" s="341"/>
      <c r="P9" s="352">
        <v>0.3</v>
      </c>
      <c r="AB9" s="172"/>
      <c r="AC9" s="173"/>
      <c r="AD9" s="172" t="s">
        <v>16</v>
      </c>
      <c r="AE9" s="173">
        <f ca="1">TODAY()</f>
        <v>46143</v>
      </c>
    </row>
    <row r="10" spans="1:72" ht="17.25" thickBot="1">
      <c r="A10" s="184"/>
    </row>
    <row r="11" spans="1:72" s="361" customFormat="1">
      <c r="A11" s="228" t="s">
        <v>17</v>
      </c>
      <c r="B11" s="228" t="s">
        <v>115</v>
      </c>
      <c r="C11" s="228" t="s">
        <v>116</v>
      </c>
      <c r="D11" s="228" t="s">
        <v>117</v>
      </c>
      <c r="E11" s="228" t="s">
        <v>118</v>
      </c>
      <c r="F11" s="353" t="s">
        <v>119</v>
      </c>
      <c r="G11" s="228" t="s">
        <v>120</v>
      </c>
      <c r="H11" s="228" t="s">
        <v>121</v>
      </c>
      <c r="I11" s="228" t="s">
        <v>121</v>
      </c>
      <c r="J11" s="354" t="s">
        <v>122</v>
      </c>
      <c r="K11" s="354" t="s">
        <v>123</v>
      </c>
      <c r="L11" s="355"/>
      <c r="M11" s="354" t="s">
        <v>124</v>
      </c>
      <c r="N11" s="228" t="s">
        <v>125</v>
      </c>
      <c r="O11" s="228" t="s">
        <v>126</v>
      </c>
      <c r="P11" s="354" t="s">
        <v>127</v>
      </c>
      <c r="Q11" s="356" t="s">
        <v>128</v>
      </c>
      <c r="R11" s="354" t="s">
        <v>129</v>
      </c>
      <c r="S11" s="354" t="s">
        <v>130</v>
      </c>
      <c r="T11" s="354" t="s">
        <v>117</v>
      </c>
      <c r="U11" s="354" t="s">
        <v>131</v>
      </c>
      <c r="V11" s="357" t="s">
        <v>37</v>
      </c>
      <c r="W11" s="354" t="s">
        <v>37</v>
      </c>
      <c r="X11" s="354" t="s">
        <v>37</v>
      </c>
      <c r="Y11" s="354" t="s">
        <v>37</v>
      </c>
      <c r="Z11" s="354" t="s">
        <v>37</v>
      </c>
      <c r="AA11" s="354" t="s">
        <v>132</v>
      </c>
      <c r="AB11" s="358" t="s">
        <v>131</v>
      </c>
      <c r="AC11" s="356" t="s">
        <v>133</v>
      </c>
      <c r="AD11" s="359" t="s">
        <v>124</v>
      </c>
      <c r="AE11" s="354" t="s">
        <v>131</v>
      </c>
      <c r="AF11" s="360"/>
      <c r="AG11" s="360"/>
      <c r="AH11" s="360"/>
      <c r="AI11" s="360"/>
      <c r="AJ11" s="360"/>
      <c r="AK11" s="360"/>
      <c r="AL11" s="360"/>
      <c r="AM11" s="360"/>
      <c r="AN11" s="360"/>
      <c r="AO11" s="360"/>
      <c r="AP11" s="360"/>
      <c r="AQ11" s="360"/>
      <c r="AR11" s="360"/>
      <c r="AS11" s="360"/>
      <c r="AT11" s="360"/>
      <c r="AU11" s="360"/>
      <c r="AV11" s="360"/>
      <c r="AW11" s="360"/>
      <c r="AX11" s="360"/>
      <c r="AY11" s="360"/>
      <c r="AZ11" s="360"/>
      <c r="BA11" s="360"/>
      <c r="BB11" s="360"/>
      <c r="BC11" s="360"/>
      <c r="BD11" s="360"/>
      <c r="BE11" s="360"/>
      <c r="BF11" s="360"/>
      <c r="BG11" s="360"/>
      <c r="BH11" s="360"/>
      <c r="BI11" s="360"/>
      <c r="BJ11" s="360"/>
      <c r="BK11" s="360"/>
      <c r="BL11" s="360"/>
      <c r="BM11" s="360"/>
      <c r="BN11" s="360"/>
      <c r="BO11" s="360"/>
      <c r="BP11" s="360"/>
      <c r="BQ11" s="360"/>
      <c r="BR11" s="360"/>
      <c r="BS11" s="360"/>
      <c r="BT11" s="360"/>
    </row>
    <row r="12" spans="1:72" s="361" customFormat="1" ht="17.25" thickBot="1">
      <c r="A12" s="362" t="s">
        <v>134</v>
      </c>
      <c r="B12" s="363"/>
      <c r="C12" s="362" t="str">
        <f>IF(P4=1,"METER","FEET")</f>
        <v>METER</v>
      </c>
      <c r="D12" s="362" t="s">
        <v>135</v>
      </c>
      <c r="E12" s="362" t="s">
        <v>136</v>
      </c>
      <c r="F12" s="363" t="s">
        <v>137</v>
      </c>
      <c r="G12" s="362" t="s">
        <v>138</v>
      </c>
      <c r="H12" s="362" t="s">
        <v>139</v>
      </c>
      <c r="I12" s="362" t="s">
        <v>140</v>
      </c>
      <c r="J12" s="364" t="s">
        <v>138</v>
      </c>
      <c r="K12" s="364" t="s">
        <v>141</v>
      </c>
      <c r="L12" s="365" t="s">
        <v>372</v>
      </c>
      <c r="M12" s="364" t="s">
        <v>380</v>
      </c>
      <c r="N12" s="362" t="s">
        <v>143</v>
      </c>
      <c r="O12" s="362" t="s">
        <v>132</v>
      </c>
      <c r="P12" s="364" t="s">
        <v>144</v>
      </c>
      <c r="Q12" s="366" t="s">
        <v>129</v>
      </c>
      <c r="R12" s="364" t="s">
        <v>145</v>
      </c>
      <c r="S12" s="364" t="s">
        <v>146</v>
      </c>
      <c r="T12" s="364" t="s">
        <v>146</v>
      </c>
      <c r="U12" s="364" t="s">
        <v>147</v>
      </c>
      <c r="V12" s="367" t="s">
        <v>148</v>
      </c>
      <c r="W12" s="364" t="s">
        <v>149</v>
      </c>
      <c r="X12" s="364" t="s">
        <v>150</v>
      </c>
      <c r="Y12" s="364" t="s">
        <v>151</v>
      </c>
      <c r="Z12" s="364" t="s">
        <v>65</v>
      </c>
      <c r="AA12" s="364" t="str">
        <f>IF(P4=1,"$/METER","$/FOOT")</f>
        <v>$/METER</v>
      </c>
      <c r="AB12" s="368" t="s">
        <v>132</v>
      </c>
      <c r="AC12" s="366" t="s">
        <v>152</v>
      </c>
      <c r="AD12" s="369" t="s">
        <v>153</v>
      </c>
      <c r="AE12" s="364" t="s">
        <v>375</v>
      </c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0"/>
      <c r="AQ12" s="360"/>
      <c r="AR12" s="360"/>
      <c r="AS12" s="360"/>
      <c r="AT12" s="360"/>
      <c r="AU12" s="360"/>
      <c r="AV12" s="360"/>
      <c r="AW12" s="360"/>
      <c r="AX12" s="360"/>
      <c r="AY12" s="360"/>
      <c r="AZ12" s="360"/>
      <c r="BA12" s="360"/>
      <c r="BB12" s="360"/>
      <c r="BC12" s="360"/>
      <c r="BD12" s="360"/>
      <c r="BE12" s="360"/>
      <c r="BF12" s="360"/>
      <c r="BG12" s="360"/>
      <c r="BH12" s="360"/>
      <c r="BI12" s="360"/>
      <c r="BJ12" s="360"/>
      <c r="BK12" s="360"/>
      <c r="BL12" s="360"/>
      <c r="BM12" s="360"/>
      <c r="BN12" s="360"/>
      <c r="BO12" s="360"/>
      <c r="BP12" s="360"/>
      <c r="BQ12" s="360"/>
      <c r="BR12" s="360"/>
      <c r="BS12" s="360"/>
      <c r="BT12" s="360"/>
    </row>
    <row r="13" spans="1:72">
      <c r="A13" s="370"/>
      <c r="B13" s="469"/>
      <c r="C13" s="193"/>
      <c r="D13" s="193"/>
      <c r="E13" s="193"/>
      <c r="F13" s="193"/>
      <c r="G13" s="193"/>
      <c r="H13" s="193"/>
      <c r="I13" s="193"/>
      <c r="J13" s="193"/>
      <c r="K13" s="193"/>
      <c r="L13" s="371"/>
      <c r="M13" s="193"/>
      <c r="N13" s="193"/>
      <c r="O13" s="193"/>
      <c r="P13" s="193"/>
      <c r="Q13" s="193"/>
      <c r="R13" s="193"/>
      <c r="S13" s="193"/>
      <c r="T13" s="193"/>
      <c r="U13" s="193"/>
      <c r="V13" s="371"/>
      <c r="W13" s="192"/>
      <c r="X13" s="193"/>
      <c r="Y13" s="193"/>
      <c r="Z13" s="193"/>
      <c r="AA13" s="193"/>
      <c r="AB13" s="193"/>
      <c r="AC13" s="193"/>
      <c r="AD13" s="371"/>
      <c r="AE13" s="192"/>
    </row>
    <row r="14" spans="1:72" s="377" customFormat="1">
      <c r="A14" s="192">
        <v>1</v>
      </c>
      <c r="B14" s="470"/>
      <c r="C14" s="192"/>
      <c r="D14" s="192"/>
      <c r="E14" s="373"/>
      <c r="F14" s="373"/>
      <c r="G14" s="192"/>
      <c r="H14" s="192"/>
      <c r="I14" s="192"/>
      <c r="J14" s="201">
        <f>0.00125*D14</f>
        <v>0</v>
      </c>
      <c r="K14" s="541">
        <f>IF(F14&lt;2,F$4,G14-(1.12*D14*0.001)-F$5)</f>
        <v>0.3</v>
      </c>
      <c r="L14" s="165">
        <f>(F14=2.1)*IF(G14&lt;3.1,J14+3*S$6,J14+0.6+2*S$6+G14*0.05)+(F14=2.2)*IF(G14&lt;3.1,J14+1.5*S$6+P$7/2,J14+0.3+S$6+G14*0.025)</f>
        <v>0</v>
      </c>
      <c r="M14" s="201">
        <f>(F14=1.1)*IF((J14+2*P$9)&lt;F$3,F$3,J14+2*P$9)+(F14=1.2)*(J14+P$9+P$7/2)+(F14=2.1)*IF(L14&lt;F$3,F$3,L14)+(F14=2.2)*L14</f>
        <v>0</v>
      </c>
      <c r="N14" s="542">
        <f>P$3</f>
        <v>100</v>
      </c>
      <c r="O14" s="543">
        <f t="shared" ref="O14:O54" si="0">F$6+HLOOKUP(G14,J$86:U$87,2)*F$7</f>
        <v>9000</v>
      </c>
      <c r="P14" s="201">
        <f>(M14*G14+(G14&gt;1.219)*(F14=1.1)*(G14-1.22)^2*P$6+(F14=1.2)*(G14-1.22)^2/2*P$6)*(C14&gt;0)</f>
        <v>0</v>
      </c>
      <c r="Q14" s="201">
        <f t="shared" ref="Q14:Q54" si="1">IF(C14=0,0,IF(TRUNC(F14)=1,HLOOKUP(G14,C$80:AC$81,2),HLOOKUP(G14,C$82:AC$83,2))*N14/100/IF((F14-TRUNC(F14))=0.2,P14*2,P14))</f>
        <v>0</v>
      </c>
      <c r="R14" s="201">
        <f>IF(Q14&gt;F$8,F$8,Q14)*((F14=1.1)*1+(F14=1.2)*0.95+(F14=2.1)*0.95+(F14=2.2)*1)</f>
        <v>0</v>
      </c>
      <c r="S14" s="541">
        <f>IF(C14=0,0,IF(OR(F14=1.2,F14=2.2),O14/R14/2,O14/R14))</f>
        <v>0</v>
      </c>
      <c r="T14" s="541" t="e" vm="1">
        <f>IF(TRUNC(E14)&gt;1,HLOOKUP(D14,C$86:I$87,2),IF(D14&lt;=980,HLOOKUP(D14+10*(E14-1),B$74:AG$75,2),HLOOKUP(D14+10*(E14-1),B$76:AG$77,2)))</f>
        <v>#VALUE!</v>
      </c>
      <c r="U14" s="201">
        <f>(IF(C14=0,0,IF(TRUNC(E14)=1,T14*C14*V$5,T14*C14*V$3)))*IF(P$4=1,1,1/3.28)</f>
        <v>0</v>
      </c>
      <c r="V14" s="374">
        <f>((M14*0.6*J14+0.005)-PI()*J14^2/8)*C14*2*I$4*IF(P$4=1,1,1/3.28)</f>
        <v>0</v>
      </c>
      <c r="W14" s="201">
        <f>(((0.5*J14+K14)*M14)-(PI()*J14^2/8))*C14*2*I$6*IF(P$4=1,1,1/3.28)</f>
        <v>0</v>
      </c>
      <c r="X14" s="201">
        <f>H14+U14+V14+W14</f>
        <v>0</v>
      </c>
      <c r="Y14" s="201">
        <f>I14+S14*C14*IF(P$4=1,1,1/3.28)</f>
        <v>0</v>
      </c>
      <c r="Z14" s="201">
        <f>((V14/I$4+W14/I$6)/2+PI()*J14^2/4*C14*IF(P$4=1,1,1/3.28))*I$7</f>
        <v>0</v>
      </c>
      <c r="AA14" s="201">
        <f>ROUND(IF(C14=0,0,(X14+Y14+Z14)/C14),2)</f>
        <v>0</v>
      </c>
      <c r="AB14" s="375">
        <f>X14+Y14+Z14</f>
        <v>0</v>
      </c>
      <c r="AC14" s="202">
        <f>P14*C14*IF(P$4=1,1,1/3.28)</f>
        <v>0</v>
      </c>
      <c r="AD14" s="376">
        <f>IF(C14=0,0,C14/((F14-TRUNC(F14))*10)*IF(P$4=1,1,1/3.28))</f>
        <v>0</v>
      </c>
      <c r="AE14" s="549">
        <f>AB14*$P$5</f>
        <v>0</v>
      </c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</row>
    <row r="15" spans="1:72" s="377" customFormat="1">
      <c r="A15" s="192">
        <v>2</v>
      </c>
      <c r="B15" s="470"/>
      <c r="C15" s="192"/>
      <c r="D15" s="192"/>
      <c r="E15" s="373"/>
      <c r="F15" s="373"/>
      <c r="G15" s="192"/>
      <c r="H15" s="192"/>
      <c r="I15" s="192"/>
      <c r="J15" s="201">
        <f t="shared" ref="J15:J54" si="2">0.00125*D15</f>
        <v>0</v>
      </c>
      <c r="K15" s="541">
        <f t="shared" ref="K15:K54" si="3">IF(F15&lt;2,F$4,G15-(1.12*D15*0.001)-F$5)</f>
        <v>0.3</v>
      </c>
      <c r="L15" s="165">
        <f t="shared" ref="L15:L54" si="4">(F15=2.1)*IF(G15&lt;3.1,J15+3*S$6,J15+0.6+2*S$6+G15*0.05)+(F15=2.2)*IF(G15&lt;3.1,J15+1.5*S$6+P$7/2,J15+0.3+S$6+G15*0.025)</f>
        <v>0</v>
      </c>
      <c r="M15" s="201">
        <f t="shared" ref="M15:M54" si="5">(F15=1.1)*IF((J15+2*P$9)&lt;F$3,F$3,J15+2*P$9)+(F15=1.2)*(J15+P$9+P$7/2)+(F15=2.1)*IF(L15&lt;F$3,F$3,L15)+(F15=2.2)*L15</f>
        <v>0</v>
      </c>
      <c r="N15" s="542">
        <f t="shared" ref="N15:N54" si="6">P$3</f>
        <v>100</v>
      </c>
      <c r="O15" s="543">
        <f t="shared" si="0"/>
        <v>9000</v>
      </c>
      <c r="P15" s="201">
        <f t="shared" ref="P15:P54" si="7">(M15*G15+(G15&gt;1.219)*(F15=1.1)*(G15-1.22)^2*P$6+(F15=1.2)*(G15-1.22)^2/2*P$6)*(C15&gt;0)</f>
        <v>0</v>
      </c>
      <c r="Q15" s="201">
        <f t="shared" si="1"/>
        <v>0</v>
      </c>
      <c r="R15" s="201">
        <f t="shared" ref="R15:R54" si="8">IF(Q15&gt;F$8,F$8,Q15)*((F15=1.1)*1+(F15=1.2)*0.95+(F15=2.1)*0.95+(F15=2.2)*1)</f>
        <v>0</v>
      </c>
      <c r="S15" s="541">
        <f t="shared" ref="S15:S54" si="9">IF(C15=0,0,IF(OR(F15=1.2,F15=2.2),O15/R15/2,O15/R15))</f>
        <v>0</v>
      </c>
      <c r="T15" s="541" t="e" vm="1">
        <f t="shared" ref="T15:T53" si="10">IF(TRUNC(E15)&gt;1,HLOOKUP(D15,C$86:I$87,2),IF(D15&lt;=980,HLOOKUP(D15+10*(E15-1),B$74:AG$75,2),HLOOKUP(D15+10*(E15-1),B$76:AG$77,2)))</f>
        <v>#VALUE!</v>
      </c>
      <c r="U15" s="201">
        <f t="shared" ref="U15:U54" si="11">(IF(C15=0,0,IF(TRUNC(E15)=1,T15*C15*V$5,T15*C15*V$3)))*IF(P$4=1,1,1/3.28)</f>
        <v>0</v>
      </c>
      <c r="V15" s="374">
        <f t="shared" ref="V15:V54" si="12">((M15*0.6*J15+0.005)-PI()*J15^2/8)*C15*2*I$4*IF(P$4=1,1,1/3.28)</f>
        <v>0</v>
      </c>
      <c r="W15" s="201">
        <f t="shared" ref="W15:W54" si="13">(((0.5*J15+K15)*M15)-(PI()*J15^2/8))*C15*2*I$6*IF(P$4=1,1,1/3.28)</f>
        <v>0</v>
      </c>
      <c r="X15" s="201">
        <f>H15+U15+V15+W15</f>
        <v>0</v>
      </c>
      <c r="Y15" s="201">
        <f t="shared" ref="Y15:Y54" si="14">I15+S15*C15*IF(P$4=1,1,1/3.28)</f>
        <v>0</v>
      </c>
      <c r="Z15" s="201">
        <f t="shared" ref="Z15:Z54" si="15">((V15/I$4+W15/I$6)/2+PI()*J15^2/4*C15*IF(P$4=1,1,1/3.28))*I$7</f>
        <v>0</v>
      </c>
      <c r="AA15" s="201">
        <f t="shared" ref="AA15:AA54" si="16">ROUND(IF(C15=0,0,(X15+Y15+Z15)/C15),2)</f>
        <v>0</v>
      </c>
      <c r="AB15" s="375">
        <f t="shared" ref="AB15:AB54" si="17">X15+Y15+Z15</f>
        <v>0</v>
      </c>
      <c r="AC15" s="202">
        <f t="shared" ref="AC15:AC54" si="18">P15*C15*IF(P$4=1,1,1/3.28)</f>
        <v>0</v>
      </c>
      <c r="AD15" s="376">
        <f t="shared" ref="AD15:AD54" si="19">IF(C15=0,0,C15/((F15-TRUNC(F15))*10)*IF(P$4=1,1,1/3.28))</f>
        <v>0</v>
      </c>
      <c r="AE15" s="549">
        <f t="shared" ref="AE15:AE54" si="20">AB15*$P$5</f>
        <v>0</v>
      </c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</row>
    <row r="16" spans="1:72" s="377" customFormat="1">
      <c r="A16" s="192">
        <v>3</v>
      </c>
      <c r="B16" s="470"/>
      <c r="C16" s="192"/>
      <c r="D16" s="192"/>
      <c r="E16" s="373"/>
      <c r="F16" s="373"/>
      <c r="G16" s="192"/>
      <c r="H16" s="192"/>
      <c r="I16" s="192"/>
      <c r="J16" s="201">
        <f t="shared" si="2"/>
        <v>0</v>
      </c>
      <c r="K16" s="541">
        <f t="shared" si="3"/>
        <v>0.3</v>
      </c>
      <c r="L16" s="165">
        <f t="shared" si="4"/>
        <v>0</v>
      </c>
      <c r="M16" s="201">
        <f t="shared" si="5"/>
        <v>0</v>
      </c>
      <c r="N16" s="542">
        <f t="shared" si="6"/>
        <v>100</v>
      </c>
      <c r="O16" s="543">
        <f t="shared" si="0"/>
        <v>9000</v>
      </c>
      <c r="P16" s="201">
        <f t="shared" si="7"/>
        <v>0</v>
      </c>
      <c r="Q16" s="201">
        <f t="shared" si="1"/>
        <v>0</v>
      </c>
      <c r="R16" s="201">
        <f t="shared" si="8"/>
        <v>0</v>
      </c>
      <c r="S16" s="541">
        <f t="shared" si="9"/>
        <v>0</v>
      </c>
      <c r="T16" s="541" t="e" vm="1">
        <f t="shared" si="10"/>
        <v>#VALUE!</v>
      </c>
      <c r="U16" s="201">
        <f t="shared" si="11"/>
        <v>0</v>
      </c>
      <c r="V16" s="374">
        <f t="shared" si="12"/>
        <v>0</v>
      </c>
      <c r="W16" s="201">
        <f t="shared" si="13"/>
        <v>0</v>
      </c>
      <c r="X16" s="201">
        <f t="shared" ref="X16:X54" si="21">H16+U16+V16+W16</f>
        <v>0</v>
      </c>
      <c r="Y16" s="201">
        <f t="shared" si="14"/>
        <v>0</v>
      </c>
      <c r="Z16" s="201">
        <f t="shared" si="15"/>
        <v>0</v>
      </c>
      <c r="AA16" s="201">
        <f t="shared" si="16"/>
        <v>0</v>
      </c>
      <c r="AB16" s="375">
        <f t="shared" si="17"/>
        <v>0</v>
      </c>
      <c r="AC16" s="202">
        <f t="shared" si="18"/>
        <v>0</v>
      </c>
      <c r="AD16" s="376">
        <f t="shared" si="19"/>
        <v>0</v>
      </c>
      <c r="AE16" s="549">
        <f t="shared" si="20"/>
        <v>0</v>
      </c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</row>
    <row r="17" spans="1:72" s="377" customFormat="1">
      <c r="A17" s="192">
        <v>4</v>
      </c>
      <c r="B17" s="470"/>
      <c r="C17" s="192"/>
      <c r="D17" s="192"/>
      <c r="E17" s="373"/>
      <c r="F17" s="373"/>
      <c r="G17" s="192"/>
      <c r="H17" s="192"/>
      <c r="I17" s="192"/>
      <c r="J17" s="201">
        <f t="shared" si="2"/>
        <v>0</v>
      </c>
      <c r="K17" s="541">
        <f t="shared" si="3"/>
        <v>0.3</v>
      </c>
      <c r="L17" s="165">
        <f t="shared" si="4"/>
        <v>0</v>
      </c>
      <c r="M17" s="201">
        <f t="shared" si="5"/>
        <v>0</v>
      </c>
      <c r="N17" s="542">
        <f t="shared" si="6"/>
        <v>100</v>
      </c>
      <c r="O17" s="543">
        <f t="shared" si="0"/>
        <v>9000</v>
      </c>
      <c r="P17" s="201">
        <f t="shared" si="7"/>
        <v>0</v>
      </c>
      <c r="Q17" s="201">
        <f t="shared" si="1"/>
        <v>0</v>
      </c>
      <c r="R17" s="201">
        <f t="shared" si="8"/>
        <v>0</v>
      </c>
      <c r="S17" s="541">
        <f t="shared" si="9"/>
        <v>0</v>
      </c>
      <c r="T17" s="541" t="e" vm="1">
        <f t="shared" si="10"/>
        <v>#VALUE!</v>
      </c>
      <c r="U17" s="201">
        <f t="shared" si="11"/>
        <v>0</v>
      </c>
      <c r="V17" s="374">
        <f t="shared" si="12"/>
        <v>0</v>
      </c>
      <c r="W17" s="201">
        <f t="shared" si="13"/>
        <v>0</v>
      </c>
      <c r="X17" s="201">
        <f t="shared" si="21"/>
        <v>0</v>
      </c>
      <c r="Y17" s="201">
        <f t="shared" si="14"/>
        <v>0</v>
      </c>
      <c r="Z17" s="201">
        <f t="shared" si="15"/>
        <v>0</v>
      </c>
      <c r="AA17" s="201">
        <f t="shared" si="16"/>
        <v>0</v>
      </c>
      <c r="AB17" s="375">
        <f t="shared" si="17"/>
        <v>0</v>
      </c>
      <c r="AC17" s="202">
        <f t="shared" si="18"/>
        <v>0</v>
      </c>
      <c r="AD17" s="376">
        <f t="shared" si="19"/>
        <v>0</v>
      </c>
      <c r="AE17" s="549">
        <f t="shared" si="20"/>
        <v>0</v>
      </c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</row>
    <row r="18" spans="1:72" s="377" customFormat="1">
      <c r="A18" s="192">
        <v>5</v>
      </c>
      <c r="B18" s="470"/>
      <c r="C18" s="192"/>
      <c r="D18" s="192"/>
      <c r="E18" s="373"/>
      <c r="F18" s="373"/>
      <c r="G18" s="192"/>
      <c r="H18" s="192"/>
      <c r="I18" s="192"/>
      <c r="J18" s="201">
        <f t="shared" si="2"/>
        <v>0</v>
      </c>
      <c r="K18" s="541">
        <f t="shared" si="3"/>
        <v>0.3</v>
      </c>
      <c r="L18" s="165">
        <f t="shared" si="4"/>
        <v>0</v>
      </c>
      <c r="M18" s="201">
        <f t="shared" si="5"/>
        <v>0</v>
      </c>
      <c r="N18" s="542">
        <f t="shared" si="6"/>
        <v>100</v>
      </c>
      <c r="O18" s="543">
        <f t="shared" si="0"/>
        <v>9000</v>
      </c>
      <c r="P18" s="201">
        <f t="shared" si="7"/>
        <v>0</v>
      </c>
      <c r="Q18" s="201">
        <f t="shared" si="1"/>
        <v>0</v>
      </c>
      <c r="R18" s="201">
        <f t="shared" si="8"/>
        <v>0</v>
      </c>
      <c r="S18" s="541">
        <f t="shared" si="9"/>
        <v>0</v>
      </c>
      <c r="T18" s="541" t="e" vm="1">
        <f t="shared" si="10"/>
        <v>#VALUE!</v>
      </c>
      <c r="U18" s="201">
        <f t="shared" si="11"/>
        <v>0</v>
      </c>
      <c r="V18" s="374">
        <f t="shared" si="12"/>
        <v>0</v>
      </c>
      <c r="W18" s="201">
        <f t="shared" si="13"/>
        <v>0</v>
      </c>
      <c r="X18" s="201">
        <f t="shared" si="21"/>
        <v>0</v>
      </c>
      <c r="Y18" s="201">
        <f t="shared" si="14"/>
        <v>0</v>
      </c>
      <c r="Z18" s="201">
        <f t="shared" si="15"/>
        <v>0</v>
      </c>
      <c r="AA18" s="201">
        <f t="shared" si="16"/>
        <v>0</v>
      </c>
      <c r="AB18" s="375">
        <f t="shared" si="17"/>
        <v>0</v>
      </c>
      <c r="AC18" s="202">
        <f t="shared" si="18"/>
        <v>0</v>
      </c>
      <c r="AD18" s="376">
        <f t="shared" si="19"/>
        <v>0</v>
      </c>
      <c r="AE18" s="549">
        <f t="shared" si="20"/>
        <v>0</v>
      </c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</row>
    <row r="19" spans="1:72" s="377" customFormat="1">
      <c r="A19" s="192">
        <v>6</v>
      </c>
      <c r="B19" s="470"/>
      <c r="C19" s="192"/>
      <c r="D19" s="192"/>
      <c r="E19" s="373"/>
      <c r="F19" s="373"/>
      <c r="G19" s="192"/>
      <c r="H19" s="192"/>
      <c r="I19" s="192"/>
      <c r="J19" s="201">
        <f t="shared" si="2"/>
        <v>0</v>
      </c>
      <c r="K19" s="541">
        <f t="shared" si="3"/>
        <v>0.3</v>
      </c>
      <c r="L19" s="165">
        <f t="shared" si="4"/>
        <v>0</v>
      </c>
      <c r="M19" s="201">
        <f t="shared" si="5"/>
        <v>0</v>
      </c>
      <c r="N19" s="542">
        <f t="shared" si="6"/>
        <v>100</v>
      </c>
      <c r="O19" s="543">
        <f t="shared" si="0"/>
        <v>9000</v>
      </c>
      <c r="P19" s="201">
        <f t="shared" si="7"/>
        <v>0</v>
      </c>
      <c r="Q19" s="201">
        <f t="shared" si="1"/>
        <v>0</v>
      </c>
      <c r="R19" s="201">
        <f t="shared" si="8"/>
        <v>0</v>
      </c>
      <c r="S19" s="541">
        <f t="shared" si="9"/>
        <v>0</v>
      </c>
      <c r="T19" s="541" t="e" vm="1">
        <f t="shared" si="10"/>
        <v>#VALUE!</v>
      </c>
      <c r="U19" s="201">
        <f t="shared" si="11"/>
        <v>0</v>
      </c>
      <c r="V19" s="374">
        <f t="shared" si="12"/>
        <v>0</v>
      </c>
      <c r="W19" s="201">
        <f t="shared" si="13"/>
        <v>0</v>
      </c>
      <c r="X19" s="201">
        <f t="shared" si="21"/>
        <v>0</v>
      </c>
      <c r="Y19" s="201">
        <f t="shared" si="14"/>
        <v>0</v>
      </c>
      <c r="Z19" s="201">
        <f t="shared" si="15"/>
        <v>0</v>
      </c>
      <c r="AA19" s="201">
        <f t="shared" si="16"/>
        <v>0</v>
      </c>
      <c r="AB19" s="375">
        <f t="shared" si="17"/>
        <v>0</v>
      </c>
      <c r="AC19" s="202">
        <f t="shared" si="18"/>
        <v>0</v>
      </c>
      <c r="AD19" s="376">
        <f t="shared" si="19"/>
        <v>0</v>
      </c>
      <c r="AE19" s="549">
        <f t="shared" si="20"/>
        <v>0</v>
      </c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</row>
    <row r="20" spans="1:72" s="377" customFormat="1">
      <c r="A20" s="192">
        <v>7</v>
      </c>
      <c r="B20" s="470"/>
      <c r="C20" s="192"/>
      <c r="D20" s="192"/>
      <c r="E20" s="373"/>
      <c r="F20" s="373"/>
      <c r="G20" s="192"/>
      <c r="H20" s="192"/>
      <c r="I20" s="192"/>
      <c r="J20" s="201">
        <f t="shared" si="2"/>
        <v>0</v>
      </c>
      <c r="K20" s="541">
        <f t="shared" si="3"/>
        <v>0.3</v>
      </c>
      <c r="L20" s="165">
        <f t="shared" si="4"/>
        <v>0</v>
      </c>
      <c r="M20" s="201">
        <f t="shared" si="5"/>
        <v>0</v>
      </c>
      <c r="N20" s="542">
        <f t="shared" si="6"/>
        <v>100</v>
      </c>
      <c r="O20" s="543">
        <f t="shared" si="0"/>
        <v>9000</v>
      </c>
      <c r="P20" s="201">
        <f t="shared" si="7"/>
        <v>0</v>
      </c>
      <c r="Q20" s="201">
        <f t="shared" si="1"/>
        <v>0</v>
      </c>
      <c r="R20" s="201">
        <f t="shared" si="8"/>
        <v>0</v>
      </c>
      <c r="S20" s="541">
        <f t="shared" si="9"/>
        <v>0</v>
      </c>
      <c r="T20" s="541" t="e" vm="1">
        <f t="shared" si="10"/>
        <v>#VALUE!</v>
      </c>
      <c r="U20" s="201">
        <f t="shared" si="11"/>
        <v>0</v>
      </c>
      <c r="V20" s="374">
        <f t="shared" si="12"/>
        <v>0</v>
      </c>
      <c r="W20" s="201">
        <f t="shared" si="13"/>
        <v>0</v>
      </c>
      <c r="X20" s="201">
        <f t="shared" si="21"/>
        <v>0</v>
      </c>
      <c r="Y20" s="201">
        <f t="shared" si="14"/>
        <v>0</v>
      </c>
      <c r="Z20" s="201">
        <f t="shared" si="15"/>
        <v>0</v>
      </c>
      <c r="AA20" s="201">
        <f t="shared" si="16"/>
        <v>0</v>
      </c>
      <c r="AB20" s="375">
        <f t="shared" si="17"/>
        <v>0</v>
      </c>
      <c r="AC20" s="202">
        <f t="shared" si="18"/>
        <v>0</v>
      </c>
      <c r="AD20" s="376">
        <f t="shared" si="19"/>
        <v>0</v>
      </c>
      <c r="AE20" s="549">
        <f t="shared" si="20"/>
        <v>0</v>
      </c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</row>
    <row r="21" spans="1:72" s="377" customFormat="1">
      <c r="A21" s="192">
        <v>8</v>
      </c>
      <c r="B21" s="470"/>
      <c r="C21" s="192"/>
      <c r="D21" s="192"/>
      <c r="E21" s="373"/>
      <c r="F21" s="373"/>
      <c r="G21" s="192"/>
      <c r="H21" s="192"/>
      <c r="I21" s="192"/>
      <c r="J21" s="201">
        <f t="shared" si="2"/>
        <v>0</v>
      </c>
      <c r="K21" s="541">
        <f t="shared" si="3"/>
        <v>0.3</v>
      </c>
      <c r="L21" s="165">
        <f t="shared" si="4"/>
        <v>0</v>
      </c>
      <c r="M21" s="201">
        <f t="shared" si="5"/>
        <v>0</v>
      </c>
      <c r="N21" s="542">
        <f t="shared" si="6"/>
        <v>100</v>
      </c>
      <c r="O21" s="543">
        <f t="shared" si="0"/>
        <v>9000</v>
      </c>
      <c r="P21" s="201">
        <f t="shared" si="7"/>
        <v>0</v>
      </c>
      <c r="Q21" s="201">
        <f t="shared" si="1"/>
        <v>0</v>
      </c>
      <c r="R21" s="201">
        <f t="shared" si="8"/>
        <v>0</v>
      </c>
      <c r="S21" s="541">
        <f t="shared" si="9"/>
        <v>0</v>
      </c>
      <c r="T21" s="541" t="e" vm="1">
        <f t="shared" si="10"/>
        <v>#VALUE!</v>
      </c>
      <c r="U21" s="201">
        <f t="shared" si="11"/>
        <v>0</v>
      </c>
      <c r="V21" s="374">
        <f t="shared" si="12"/>
        <v>0</v>
      </c>
      <c r="W21" s="201">
        <f t="shared" si="13"/>
        <v>0</v>
      </c>
      <c r="X21" s="201">
        <f t="shared" si="21"/>
        <v>0</v>
      </c>
      <c r="Y21" s="201">
        <f t="shared" si="14"/>
        <v>0</v>
      </c>
      <c r="Z21" s="201">
        <f t="shared" si="15"/>
        <v>0</v>
      </c>
      <c r="AA21" s="201">
        <f t="shared" si="16"/>
        <v>0</v>
      </c>
      <c r="AB21" s="375">
        <f t="shared" si="17"/>
        <v>0</v>
      </c>
      <c r="AC21" s="202">
        <f t="shared" si="18"/>
        <v>0</v>
      </c>
      <c r="AD21" s="376">
        <f t="shared" si="19"/>
        <v>0</v>
      </c>
      <c r="AE21" s="549">
        <f t="shared" si="20"/>
        <v>0</v>
      </c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</row>
    <row r="22" spans="1:72" s="377" customFormat="1">
      <c r="A22" s="192">
        <v>9</v>
      </c>
      <c r="B22" s="470"/>
      <c r="C22" s="192"/>
      <c r="D22" s="192"/>
      <c r="E22" s="373"/>
      <c r="F22" s="373"/>
      <c r="G22" s="192"/>
      <c r="H22" s="192"/>
      <c r="I22" s="192"/>
      <c r="J22" s="201">
        <f t="shared" si="2"/>
        <v>0</v>
      </c>
      <c r="K22" s="541">
        <f t="shared" si="3"/>
        <v>0.3</v>
      </c>
      <c r="L22" s="165">
        <f t="shared" si="4"/>
        <v>0</v>
      </c>
      <c r="M22" s="201">
        <f t="shared" si="5"/>
        <v>0</v>
      </c>
      <c r="N22" s="542">
        <f t="shared" si="6"/>
        <v>100</v>
      </c>
      <c r="O22" s="543">
        <f t="shared" si="0"/>
        <v>9000</v>
      </c>
      <c r="P22" s="201">
        <f t="shared" si="7"/>
        <v>0</v>
      </c>
      <c r="Q22" s="201">
        <f t="shared" si="1"/>
        <v>0</v>
      </c>
      <c r="R22" s="201">
        <f t="shared" si="8"/>
        <v>0</v>
      </c>
      <c r="S22" s="541">
        <f t="shared" si="9"/>
        <v>0</v>
      </c>
      <c r="T22" s="541" t="e" vm="1">
        <f t="shared" si="10"/>
        <v>#VALUE!</v>
      </c>
      <c r="U22" s="201">
        <f t="shared" si="11"/>
        <v>0</v>
      </c>
      <c r="V22" s="374">
        <f t="shared" si="12"/>
        <v>0</v>
      </c>
      <c r="W22" s="201">
        <f t="shared" si="13"/>
        <v>0</v>
      </c>
      <c r="X22" s="201">
        <f t="shared" si="21"/>
        <v>0</v>
      </c>
      <c r="Y22" s="201">
        <f t="shared" si="14"/>
        <v>0</v>
      </c>
      <c r="Z22" s="201">
        <f t="shared" si="15"/>
        <v>0</v>
      </c>
      <c r="AA22" s="201">
        <f t="shared" si="16"/>
        <v>0</v>
      </c>
      <c r="AB22" s="375">
        <f t="shared" si="17"/>
        <v>0</v>
      </c>
      <c r="AC22" s="202">
        <f t="shared" si="18"/>
        <v>0</v>
      </c>
      <c r="AD22" s="376">
        <f t="shared" si="19"/>
        <v>0</v>
      </c>
      <c r="AE22" s="549">
        <f t="shared" si="20"/>
        <v>0</v>
      </c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</row>
    <row r="23" spans="1:72" s="377" customFormat="1">
      <c r="A23" s="192">
        <v>10</v>
      </c>
      <c r="B23" s="470"/>
      <c r="C23" s="192"/>
      <c r="D23" s="192"/>
      <c r="E23" s="373"/>
      <c r="F23" s="373"/>
      <c r="G23" s="192"/>
      <c r="H23" s="192"/>
      <c r="I23" s="192"/>
      <c r="J23" s="201">
        <f t="shared" si="2"/>
        <v>0</v>
      </c>
      <c r="K23" s="541">
        <f t="shared" si="3"/>
        <v>0.3</v>
      </c>
      <c r="L23" s="165">
        <f t="shared" si="4"/>
        <v>0</v>
      </c>
      <c r="M23" s="201">
        <f t="shared" si="5"/>
        <v>0</v>
      </c>
      <c r="N23" s="542">
        <f t="shared" si="6"/>
        <v>100</v>
      </c>
      <c r="O23" s="543">
        <f t="shared" si="0"/>
        <v>9000</v>
      </c>
      <c r="P23" s="201">
        <f t="shared" si="7"/>
        <v>0</v>
      </c>
      <c r="Q23" s="201">
        <f t="shared" si="1"/>
        <v>0</v>
      </c>
      <c r="R23" s="201">
        <f t="shared" si="8"/>
        <v>0</v>
      </c>
      <c r="S23" s="541">
        <f t="shared" si="9"/>
        <v>0</v>
      </c>
      <c r="T23" s="541" t="e" vm="1">
        <f t="shared" si="10"/>
        <v>#VALUE!</v>
      </c>
      <c r="U23" s="201">
        <f t="shared" si="11"/>
        <v>0</v>
      </c>
      <c r="V23" s="374">
        <f t="shared" si="12"/>
        <v>0</v>
      </c>
      <c r="W23" s="201">
        <f t="shared" si="13"/>
        <v>0</v>
      </c>
      <c r="X23" s="201">
        <f t="shared" si="21"/>
        <v>0</v>
      </c>
      <c r="Y23" s="201">
        <f t="shared" si="14"/>
        <v>0</v>
      </c>
      <c r="Z23" s="201">
        <f t="shared" si="15"/>
        <v>0</v>
      </c>
      <c r="AA23" s="201">
        <f t="shared" si="16"/>
        <v>0</v>
      </c>
      <c r="AB23" s="375">
        <f t="shared" si="17"/>
        <v>0</v>
      </c>
      <c r="AC23" s="202">
        <f t="shared" si="18"/>
        <v>0</v>
      </c>
      <c r="AD23" s="376">
        <f t="shared" si="19"/>
        <v>0</v>
      </c>
      <c r="AE23" s="549">
        <f t="shared" si="20"/>
        <v>0</v>
      </c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</row>
    <row r="24" spans="1:72" s="377" customFormat="1">
      <c r="A24" s="192">
        <v>11</v>
      </c>
      <c r="B24" s="470"/>
      <c r="C24" s="192"/>
      <c r="D24" s="192"/>
      <c r="E24" s="373"/>
      <c r="F24" s="373"/>
      <c r="G24" s="192"/>
      <c r="H24" s="192"/>
      <c r="I24" s="192"/>
      <c r="J24" s="201">
        <f t="shared" si="2"/>
        <v>0</v>
      </c>
      <c r="K24" s="541">
        <f t="shared" si="3"/>
        <v>0.3</v>
      </c>
      <c r="L24" s="165">
        <f t="shared" si="4"/>
        <v>0</v>
      </c>
      <c r="M24" s="201">
        <f t="shared" si="5"/>
        <v>0</v>
      </c>
      <c r="N24" s="542">
        <f t="shared" si="6"/>
        <v>100</v>
      </c>
      <c r="O24" s="543">
        <f t="shared" si="0"/>
        <v>9000</v>
      </c>
      <c r="P24" s="201">
        <f t="shared" si="7"/>
        <v>0</v>
      </c>
      <c r="Q24" s="201">
        <f t="shared" si="1"/>
        <v>0</v>
      </c>
      <c r="R24" s="201">
        <f t="shared" si="8"/>
        <v>0</v>
      </c>
      <c r="S24" s="541">
        <f t="shared" si="9"/>
        <v>0</v>
      </c>
      <c r="T24" s="541" t="e" vm="1">
        <f t="shared" si="10"/>
        <v>#VALUE!</v>
      </c>
      <c r="U24" s="201">
        <f t="shared" si="11"/>
        <v>0</v>
      </c>
      <c r="V24" s="374">
        <f t="shared" si="12"/>
        <v>0</v>
      </c>
      <c r="W24" s="201">
        <f t="shared" si="13"/>
        <v>0</v>
      </c>
      <c r="X24" s="201">
        <f t="shared" si="21"/>
        <v>0</v>
      </c>
      <c r="Y24" s="201">
        <f t="shared" si="14"/>
        <v>0</v>
      </c>
      <c r="Z24" s="201">
        <f t="shared" si="15"/>
        <v>0</v>
      </c>
      <c r="AA24" s="201">
        <f t="shared" si="16"/>
        <v>0</v>
      </c>
      <c r="AB24" s="375">
        <f t="shared" si="17"/>
        <v>0</v>
      </c>
      <c r="AC24" s="202">
        <f t="shared" si="18"/>
        <v>0</v>
      </c>
      <c r="AD24" s="376">
        <f t="shared" si="19"/>
        <v>0</v>
      </c>
      <c r="AE24" s="549">
        <f t="shared" si="20"/>
        <v>0</v>
      </c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</row>
    <row r="25" spans="1:72" s="377" customFormat="1">
      <c r="A25" s="192">
        <v>12</v>
      </c>
      <c r="B25" s="470"/>
      <c r="C25" s="192"/>
      <c r="D25" s="192"/>
      <c r="E25" s="373"/>
      <c r="F25" s="373"/>
      <c r="G25" s="192"/>
      <c r="H25" s="192"/>
      <c r="I25" s="192"/>
      <c r="J25" s="201">
        <f t="shared" si="2"/>
        <v>0</v>
      </c>
      <c r="K25" s="541">
        <f t="shared" si="3"/>
        <v>0.3</v>
      </c>
      <c r="L25" s="165">
        <f t="shared" si="4"/>
        <v>0</v>
      </c>
      <c r="M25" s="201">
        <f t="shared" si="5"/>
        <v>0</v>
      </c>
      <c r="N25" s="542">
        <f t="shared" si="6"/>
        <v>100</v>
      </c>
      <c r="O25" s="543">
        <f t="shared" si="0"/>
        <v>9000</v>
      </c>
      <c r="P25" s="201">
        <f t="shared" si="7"/>
        <v>0</v>
      </c>
      <c r="Q25" s="201">
        <f t="shared" si="1"/>
        <v>0</v>
      </c>
      <c r="R25" s="201">
        <f t="shared" si="8"/>
        <v>0</v>
      </c>
      <c r="S25" s="541">
        <f t="shared" si="9"/>
        <v>0</v>
      </c>
      <c r="T25" s="541" t="e" vm="1">
        <f t="shared" si="10"/>
        <v>#VALUE!</v>
      </c>
      <c r="U25" s="201">
        <f t="shared" si="11"/>
        <v>0</v>
      </c>
      <c r="V25" s="374">
        <f t="shared" si="12"/>
        <v>0</v>
      </c>
      <c r="W25" s="201">
        <f t="shared" si="13"/>
        <v>0</v>
      </c>
      <c r="X25" s="201">
        <f t="shared" si="21"/>
        <v>0</v>
      </c>
      <c r="Y25" s="201">
        <f t="shared" si="14"/>
        <v>0</v>
      </c>
      <c r="Z25" s="201">
        <f t="shared" si="15"/>
        <v>0</v>
      </c>
      <c r="AA25" s="201">
        <f t="shared" si="16"/>
        <v>0</v>
      </c>
      <c r="AB25" s="375">
        <f t="shared" si="17"/>
        <v>0</v>
      </c>
      <c r="AC25" s="202">
        <f t="shared" si="18"/>
        <v>0</v>
      </c>
      <c r="AD25" s="376">
        <f t="shared" si="19"/>
        <v>0</v>
      </c>
      <c r="AE25" s="549">
        <f t="shared" si="20"/>
        <v>0</v>
      </c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</row>
    <row r="26" spans="1:72" s="377" customFormat="1">
      <c r="A26" s="192">
        <v>13</v>
      </c>
      <c r="B26" s="470"/>
      <c r="C26" s="192"/>
      <c r="D26" s="192"/>
      <c r="E26" s="373"/>
      <c r="F26" s="373"/>
      <c r="G26" s="192"/>
      <c r="H26" s="192"/>
      <c r="I26" s="192"/>
      <c r="J26" s="201">
        <f t="shared" si="2"/>
        <v>0</v>
      </c>
      <c r="K26" s="541">
        <f t="shared" si="3"/>
        <v>0.3</v>
      </c>
      <c r="L26" s="165">
        <f t="shared" si="4"/>
        <v>0</v>
      </c>
      <c r="M26" s="201">
        <f t="shared" si="5"/>
        <v>0</v>
      </c>
      <c r="N26" s="542">
        <f t="shared" si="6"/>
        <v>100</v>
      </c>
      <c r="O26" s="543">
        <f t="shared" si="0"/>
        <v>9000</v>
      </c>
      <c r="P26" s="201">
        <f t="shared" si="7"/>
        <v>0</v>
      </c>
      <c r="Q26" s="201">
        <f t="shared" si="1"/>
        <v>0</v>
      </c>
      <c r="R26" s="201">
        <f t="shared" si="8"/>
        <v>0</v>
      </c>
      <c r="S26" s="541">
        <f t="shared" si="9"/>
        <v>0</v>
      </c>
      <c r="T26" s="541" t="e" vm="1">
        <f t="shared" si="10"/>
        <v>#VALUE!</v>
      </c>
      <c r="U26" s="201">
        <f t="shared" si="11"/>
        <v>0</v>
      </c>
      <c r="V26" s="374">
        <f t="shared" si="12"/>
        <v>0</v>
      </c>
      <c r="W26" s="201">
        <f t="shared" si="13"/>
        <v>0</v>
      </c>
      <c r="X26" s="201">
        <f t="shared" si="21"/>
        <v>0</v>
      </c>
      <c r="Y26" s="201">
        <f t="shared" si="14"/>
        <v>0</v>
      </c>
      <c r="Z26" s="201">
        <f t="shared" si="15"/>
        <v>0</v>
      </c>
      <c r="AA26" s="201">
        <f t="shared" si="16"/>
        <v>0</v>
      </c>
      <c r="AB26" s="375">
        <f t="shared" si="17"/>
        <v>0</v>
      </c>
      <c r="AC26" s="202">
        <f t="shared" si="18"/>
        <v>0</v>
      </c>
      <c r="AD26" s="376">
        <f t="shared" si="19"/>
        <v>0</v>
      </c>
      <c r="AE26" s="549">
        <f t="shared" si="20"/>
        <v>0</v>
      </c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</row>
    <row r="27" spans="1:72" s="377" customFormat="1">
      <c r="A27" s="192">
        <v>14</v>
      </c>
      <c r="B27" s="470"/>
      <c r="C27" s="192"/>
      <c r="D27" s="192"/>
      <c r="E27" s="373"/>
      <c r="F27" s="373"/>
      <c r="G27" s="192"/>
      <c r="H27" s="192"/>
      <c r="I27" s="192"/>
      <c r="J27" s="201">
        <f t="shared" si="2"/>
        <v>0</v>
      </c>
      <c r="K27" s="541">
        <f t="shared" si="3"/>
        <v>0.3</v>
      </c>
      <c r="L27" s="165">
        <f t="shared" si="4"/>
        <v>0</v>
      </c>
      <c r="M27" s="201">
        <f t="shared" si="5"/>
        <v>0</v>
      </c>
      <c r="N27" s="542">
        <f t="shared" si="6"/>
        <v>100</v>
      </c>
      <c r="O27" s="543">
        <f t="shared" si="0"/>
        <v>9000</v>
      </c>
      <c r="P27" s="201">
        <f t="shared" si="7"/>
        <v>0</v>
      </c>
      <c r="Q27" s="201">
        <f t="shared" si="1"/>
        <v>0</v>
      </c>
      <c r="R27" s="201">
        <f t="shared" si="8"/>
        <v>0</v>
      </c>
      <c r="S27" s="541">
        <f t="shared" si="9"/>
        <v>0</v>
      </c>
      <c r="T27" s="541" t="e" vm="1">
        <f t="shared" si="10"/>
        <v>#VALUE!</v>
      </c>
      <c r="U27" s="201">
        <f t="shared" si="11"/>
        <v>0</v>
      </c>
      <c r="V27" s="374">
        <f t="shared" si="12"/>
        <v>0</v>
      </c>
      <c r="W27" s="201">
        <f t="shared" si="13"/>
        <v>0</v>
      </c>
      <c r="X27" s="201">
        <f t="shared" si="21"/>
        <v>0</v>
      </c>
      <c r="Y27" s="201">
        <f t="shared" si="14"/>
        <v>0</v>
      </c>
      <c r="Z27" s="201">
        <f t="shared" si="15"/>
        <v>0</v>
      </c>
      <c r="AA27" s="201">
        <f t="shared" si="16"/>
        <v>0</v>
      </c>
      <c r="AB27" s="375">
        <f t="shared" si="17"/>
        <v>0</v>
      </c>
      <c r="AC27" s="202">
        <f t="shared" si="18"/>
        <v>0</v>
      </c>
      <c r="AD27" s="376">
        <f t="shared" si="19"/>
        <v>0</v>
      </c>
      <c r="AE27" s="549">
        <f t="shared" si="20"/>
        <v>0</v>
      </c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</row>
    <row r="28" spans="1:72" s="377" customFormat="1">
      <c r="A28" s="192">
        <v>15</v>
      </c>
      <c r="B28" s="470"/>
      <c r="C28" s="192"/>
      <c r="D28" s="192"/>
      <c r="E28" s="373"/>
      <c r="F28" s="373"/>
      <c r="G28" s="192"/>
      <c r="H28" s="192"/>
      <c r="I28" s="192"/>
      <c r="J28" s="201">
        <f t="shared" si="2"/>
        <v>0</v>
      </c>
      <c r="K28" s="541">
        <f t="shared" si="3"/>
        <v>0.3</v>
      </c>
      <c r="L28" s="165">
        <f t="shared" si="4"/>
        <v>0</v>
      </c>
      <c r="M28" s="201">
        <f t="shared" si="5"/>
        <v>0</v>
      </c>
      <c r="N28" s="542">
        <f t="shared" si="6"/>
        <v>100</v>
      </c>
      <c r="O28" s="543">
        <f t="shared" si="0"/>
        <v>9000</v>
      </c>
      <c r="P28" s="201">
        <f t="shared" si="7"/>
        <v>0</v>
      </c>
      <c r="Q28" s="201">
        <f t="shared" si="1"/>
        <v>0</v>
      </c>
      <c r="R28" s="201">
        <f t="shared" si="8"/>
        <v>0</v>
      </c>
      <c r="S28" s="541">
        <f t="shared" si="9"/>
        <v>0</v>
      </c>
      <c r="T28" s="541" t="e" vm="1">
        <f t="shared" si="10"/>
        <v>#VALUE!</v>
      </c>
      <c r="U28" s="201">
        <f t="shared" si="11"/>
        <v>0</v>
      </c>
      <c r="V28" s="374">
        <f t="shared" si="12"/>
        <v>0</v>
      </c>
      <c r="W28" s="201">
        <f t="shared" si="13"/>
        <v>0</v>
      </c>
      <c r="X28" s="201">
        <f t="shared" si="21"/>
        <v>0</v>
      </c>
      <c r="Y28" s="201">
        <f t="shared" si="14"/>
        <v>0</v>
      </c>
      <c r="Z28" s="201">
        <f t="shared" si="15"/>
        <v>0</v>
      </c>
      <c r="AA28" s="201">
        <f t="shared" si="16"/>
        <v>0</v>
      </c>
      <c r="AB28" s="375">
        <f t="shared" si="17"/>
        <v>0</v>
      </c>
      <c r="AC28" s="202">
        <f t="shared" si="18"/>
        <v>0</v>
      </c>
      <c r="AD28" s="376">
        <f t="shared" si="19"/>
        <v>0</v>
      </c>
      <c r="AE28" s="549">
        <f t="shared" si="20"/>
        <v>0</v>
      </c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</row>
    <row r="29" spans="1:72" s="377" customFormat="1">
      <c r="A29" s="192">
        <v>16</v>
      </c>
      <c r="B29" s="470"/>
      <c r="C29" s="192"/>
      <c r="D29" s="192"/>
      <c r="E29" s="373"/>
      <c r="F29" s="373"/>
      <c r="G29" s="192"/>
      <c r="H29" s="192"/>
      <c r="I29" s="192"/>
      <c r="J29" s="201">
        <f t="shared" si="2"/>
        <v>0</v>
      </c>
      <c r="K29" s="541">
        <f t="shared" si="3"/>
        <v>0.3</v>
      </c>
      <c r="L29" s="165">
        <f t="shared" si="4"/>
        <v>0</v>
      </c>
      <c r="M29" s="201">
        <f t="shared" si="5"/>
        <v>0</v>
      </c>
      <c r="N29" s="542">
        <f t="shared" si="6"/>
        <v>100</v>
      </c>
      <c r="O29" s="543">
        <f t="shared" si="0"/>
        <v>9000</v>
      </c>
      <c r="P29" s="201">
        <f t="shared" si="7"/>
        <v>0</v>
      </c>
      <c r="Q29" s="201">
        <f t="shared" si="1"/>
        <v>0</v>
      </c>
      <c r="R29" s="201">
        <f t="shared" si="8"/>
        <v>0</v>
      </c>
      <c r="S29" s="541">
        <f t="shared" si="9"/>
        <v>0</v>
      </c>
      <c r="T29" s="541" t="e" vm="1">
        <f t="shared" si="10"/>
        <v>#VALUE!</v>
      </c>
      <c r="U29" s="201">
        <f t="shared" si="11"/>
        <v>0</v>
      </c>
      <c r="V29" s="374">
        <f t="shared" si="12"/>
        <v>0</v>
      </c>
      <c r="W29" s="201">
        <f t="shared" si="13"/>
        <v>0</v>
      </c>
      <c r="X29" s="201">
        <f t="shared" si="21"/>
        <v>0</v>
      </c>
      <c r="Y29" s="201">
        <f t="shared" si="14"/>
        <v>0</v>
      </c>
      <c r="Z29" s="201">
        <f t="shared" si="15"/>
        <v>0</v>
      </c>
      <c r="AA29" s="201">
        <f t="shared" si="16"/>
        <v>0</v>
      </c>
      <c r="AB29" s="375">
        <f t="shared" si="17"/>
        <v>0</v>
      </c>
      <c r="AC29" s="202">
        <f t="shared" si="18"/>
        <v>0</v>
      </c>
      <c r="AD29" s="376">
        <f t="shared" si="19"/>
        <v>0</v>
      </c>
      <c r="AE29" s="549">
        <f t="shared" si="20"/>
        <v>0</v>
      </c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</row>
    <row r="30" spans="1:72" s="377" customFormat="1">
      <c r="A30" s="192">
        <v>17</v>
      </c>
      <c r="B30" s="470"/>
      <c r="C30" s="192"/>
      <c r="D30" s="192"/>
      <c r="E30" s="373"/>
      <c r="F30" s="373"/>
      <c r="G30" s="192"/>
      <c r="H30" s="192"/>
      <c r="I30" s="192"/>
      <c r="J30" s="201">
        <f t="shared" si="2"/>
        <v>0</v>
      </c>
      <c r="K30" s="541">
        <f t="shared" si="3"/>
        <v>0.3</v>
      </c>
      <c r="L30" s="165">
        <f t="shared" si="4"/>
        <v>0</v>
      </c>
      <c r="M30" s="201">
        <f t="shared" si="5"/>
        <v>0</v>
      </c>
      <c r="N30" s="542">
        <f t="shared" si="6"/>
        <v>100</v>
      </c>
      <c r="O30" s="543">
        <f t="shared" si="0"/>
        <v>9000</v>
      </c>
      <c r="P30" s="201">
        <f t="shared" si="7"/>
        <v>0</v>
      </c>
      <c r="Q30" s="201">
        <f t="shared" si="1"/>
        <v>0</v>
      </c>
      <c r="R30" s="201">
        <f t="shared" si="8"/>
        <v>0</v>
      </c>
      <c r="S30" s="541">
        <f t="shared" si="9"/>
        <v>0</v>
      </c>
      <c r="T30" s="541" t="e" vm="1">
        <f t="shared" si="10"/>
        <v>#VALUE!</v>
      </c>
      <c r="U30" s="201">
        <f t="shared" si="11"/>
        <v>0</v>
      </c>
      <c r="V30" s="374">
        <f t="shared" si="12"/>
        <v>0</v>
      </c>
      <c r="W30" s="201">
        <f t="shared" si="13"/>
        <v>0</v>
      </c>
      <c r="X30" s="201">
        <f t="shared" si="21"/>
        <v>0</v>
      </c>
      <c r="Y30" s="201">
        <f t="shared" si="14"/>
        <v>0</v>
      </c>
      <c r="Z30" s="201">
        <f t="shared" si="15"/>
        <v>0</v>
      </c>
      <c r="AA30" s="201">
        <f t="shared" si="16"/>
        <v>0</v>
      </c>
      <c r="AB30" s="375">
        <f t="shared" si="17"/>
        <v>0</v>
      </c>
      <c r="AC30" s="202">
        <f t="shared" si="18"/>
        <v>0</v>
      </c>
      <c r="AD30" s="376">
        <f t="shared" si="19"/>
        <v>0</v>
      </c>
      <c r="AE30" s="549">
        <f t="shared" si="20"/>
        <v>0</v>
      </c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</row>
    <row r="31" spans="1:72" s="377" customFormat="1">
      <c r="A31" s="192">
        <v>18</v>
      </c>
      <c r="B31" s="470"/>
      <c r="C31" s="192"/>
      <c r="D31" s="192"/>
      <c r="E31" s="373"/>
      <c r="F31" s="373"/>
      <c r="G31" s="192"/>
      <c r="H31" s="192"/>
      <c r="I31" s="192"/>
      <c r="J31" s="201">
        <f t="shared" si="2"/>
        <v>0</v>
      </c>
      <c r="K31" s="541">
        <f t="shared" si="3"/>
        <v>0.3</v>
      </c>
      <c r="L31" s="165">
        <f t="shared" si="4"/>
        <v>0</v>
      </c>
      <c r="M31" s="201">
        <f t="shared" si="5"/>
        <v>0</v>
      </c>
      <c r="N31" s="542">
        <f t="shared" si="6"/>
        <v>100</v>
      </c>
      <c r="O31" s="543">
        <f t="shared" si="0"/>
        <v>9000</v>
      </c>
      <c r="P31" s="201">
        <f t="shared" si="7"/>
        <v>0</v>
      </c>
      <c r="Q31" s="201">
        <f t="shared" si="1"/>
        <v>0</v>
      </c>
      <c r="R31" s="201">
        <f t="shared" si="8"/>
        <v>0</v>
      </c>
      <c r="S31" s="541">
        <f t="shared" si="9"/>
        <v>0</v>
      </c>
      <c r="T31" s="541" t="e" vm="1">
        <f t="shared" si="10"/>
        <v>#VALUE!</v>
      </c>
      <c r="U31" s="201">
        <f t="shared" si="11"/>
        <v>0</v>
      </c>
      <c r="V31" s="374">
        <f t="shared" si="12"/>
        <v>0</v>
      </c>
      <c r="W31" s="201">
        <f t="shared" si="13"/>
        <v>0</v>
      </c>
      <c r="X31" s="201">
        <f t="shared" si="21"/>
        <v>0</v>
      </c>
      <c r="Y31" s="201">
        <f t="shared" si="14"/>
        <v>0</v>
      </c>
      <c r="Z31" s="201">
        <f t="shared" si="15"/>
        <v>0</v>
      </c>
      <c r="AA31" s="201">
        <f t="shared" si="16"/>
        <v>0</v>
      </c>
      <c r="AB31" s="375">
        <f t="shared" si="17"/>
        <v>0</v>
      </c>
      <c r="AC31" s="202">
        <f t="shared" si="18"/>
        <v>0</v>
      </c>
      <c r="AD31" s="376">
        <f t="shared" si="19"/>
        <v>0</v>
      </c>
      <c r="AE31" s="549">
        <f t="shared" si="20"/>
        <v>0</v>
      </c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</row>
    <row r="32" spans="1:72" s="377" customFormat="1">
      <c r="A32" s="192">
        <v>19</v>
      </c>
      <c r="B32" s="470"/>
      <c r="C32" s="192"/>
      <c r="D32" s="192"/>
      <c r="E32" s="373"/>
      <c r="F32" s="373"/>
      <c r="G32" s="192"/>
      <c r="H32" s="192"/>
      <c r="I32" s="192"/>
      <c r="J32" s="201">
        <f t="shared" si="2"/>
        <v>0</v>
      </c>
      <c r="K32" s="541">
        <f t="shared" si="3"/>
        <v>0.3</v>
      </c>
      <c r="L32" s="165">
        <f t="shared" si="4"/>
        <v>0</v>
      </c>
      <c r="M32" s="201">
        <f t="shared" si="5"/>
        <v>0</v>
      </c>
      <c r="N32" s="542">
        <f t="shared" si="6"/>
        <v>100</v>
      </c>
      <c r="O32" s="543">
        <f t="shared" si="0"/>
        <v>9000</v>
      </c>
      <c r="P32" s="201">
        <f t="shared" si="7"/>
        <v>0</v>
      </c>
      <c r="Q32" s="201">
        <f t="shared" si="1"/>
        <v>0</v>
      </c>
      <c r="R32" s="201">
        <f t="shared" si="8"/>
        <v>0</v>
      </c>
      <c r="S32" s="541">
        <f t="shared" si="9"/>
        <v>0</v>
      </c>
      <c r="T32" s="541" t="e" vm="1">
        <f t="shared" si="10"/>
        <v>#VALUE!</v>
      </c>
      <c r="U32" s="201">
        <f t="shared" si="11"/>
        <v>0</v>
      </c>
      <c r="V32" s="374">
        <f t="shared" si="12"/>
        <v>0</v>
      </c>
      <c r="W32" s="201">
        <f t="shared" si="13"/>
        <v>0</v>
      </c>
      <c r="X32" s="201">
        <f t="shared" si="21"/>
        <v>0</v>
      </c>
      <c r="Y32" s="201">
        <f t="shared" si="14"/>
        <v>0</v>
      </c>
      <c r="Z32" s="201">
        <f t="shared" si="15"/>
        <v>0</v>
      </c>
      <c r="AA32" s="201">
        <f t="shared" si="16"/>
        <v>0</v>
      </c>
      <c r="AB32" s="375">
        <f t="shared" si="17"/>
        <v>0</v>
      </c>
      <c r="AC32" s="202">
        <f t="shared" si="18"/>
        <v>0</v>
      </c>
      <c r="AD32" s="376">
        <f t="shared" si="19"/>
        <v>0</v>
      </c>
      <c r="AE32" s="549">
        <f>AB32*$P$5</f>
        <v>0</v>
      </c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</row>
    <row r="33" spans="1:72" s="377" customFormat="1">
      <c r="A33" s="192">
        <v>20</v>
      </c>
      <c r="B33" s="470"/>
      <c r="C33" s="192"/>
      <c r="D33" s="192"/>
      <c r="E33" s="373"/>
      <c r="F33" s="373"/>
      <c r="G33" s="192"/>
      <c r="H33" s="192"/>
      <c r="I33" s="192"/>
      <c r="J33" s="201">
        <f t="shared" si="2"/>
        <v>0</v>
      </c>
      <c r="K33" s="541">
        <f t="shared" si="3"/>
        <v>0.3</v>
      </c>
      <c r="L33" s="165">
        <f t="shared" si="4"/>
        <v>0</v>
      </c>
      <c r="M33" s="201">
        <f t="shared" si="5"/>
        <v>0</v>
      </c>
      <c r="N33" s="542">
        <f t="shared" si="6"/>
        <v>100</v>
      </c>
      <c r="O33" s="543">
        <f t="shared" si="0"/>
        <v>9000</v>
      </c>
      <c r="P33" s="201">
        <f t="shared" si="7"/>
        <v>0</v>
      </c>
      <c r="Q33" s="201">
        <f t="shared" si="1"/>
        <v>0</v>
      </c>
      <c r="R33" s="201">
        <f t="shared" si="8"/>
        <v>0</v>
      </c>
      <c r="S33" s="541">
        <f t="shared" si="9"/>
        <v>0</v>
      </c>
      <c r="T33" s="541" t="e" vm="1">
        <f t="shared" si="10"/>
        <v>#VALUE!</v>
      </c>
      <c r="U33" s="201">
        <f t="shared" si="11"/>
        <v>0</v>
      </c>
      <c r="V33" s="374">
        <f t="shared" si="12"/>
        <v>0</v>
      </c>
      <c r="W33" s="201">
        <f t="shared" si="13"/>
        <v>0</v>
      </c>
      <c r="X33" s="201">
        <f t="shared" si="21"/>
        <v>0</v>
      </c>
      <c r="Y33" s="201">
        <f t="shared" si="14"/>
        <v>0</v>
      </c>
      <c r="Z33" s="201">
        <f t="shared" si="15"/>
        <v>0</v>
      </c>
      <c r="AA33" s="201">
        <f t="shared" si="16"/>
        <v>0</v>
      </c>
      <c r="AB33" s="375">
        <f t="shared" si="17"/>
        <v>0</v>
      </c>
      <c r="AC33" s="202">
        <f t="shared" si="18"/>
        <v>0</v>
      </c>
      <c r="AD33" s="376">
        <f t="shared" si="19"/>
        <v>0</v>
      </c>
      <c r="AE33" s="549">
        <f t="shared" si="20"/>
        <v>0</v>
      </c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</row>
    <row r="34" spans="1:72" s="377" customFormat="1">
      <c r="A34" s="192">
        <v>21</v>
      </c>
      <c r="B34" s="470"/>
      <c r="C34" s="192"/>
      <c r="D34" s="192"/>
      <c r="E34" s="373"/>
      <c r="F34" s="373"/>
      <c r="G34" s="192"/>
      <c r="H34" s="192"/>
      <c r="I34" s="192"/>
      <c r="J34" s="201">
        <f t="shared" si="2"/>
        <v>0</v>
      </c>
      <c r="K34" s="541">
        <f t="shared" si="3"/>
        <v>0.3</v>
      </c>
      <c r="L34" s="165">
        <f t="shared" si="4"/>
        <v>0</v>
      </c>
      <c r="M34" s="201">
        <f>(F34=1.1)*IF((J34+2*P$9)&lt;F$3,F$3,J34+2*P$9)+(F34=1.2)*(J34+P$9+P$7/2)+(F34=2.1)*IF(L34&lt;F$3,F$3,L34)+(F34=2.2)*L34</f>
        <v>0</v>
      </c>
      <c r="N34" s="542">
        <f t="shared" si="6"/>
        <v>100</v>
      </c>
      <c r="O34" s="543">
        <f t="shared" si="0"/>
        <v>9000</v>
      </c>
      <c r="P34" s="201">
        <f t="shared" si="7"/>
        <v>0</v>
      </c>
      <c r="Q34" s="201">
        <f t="shared" si="1"/>
        <v>0</v>
      </c>
      <c r="R34" s="201">
        <f t="shared" si="8"/>
        <v>0</v>
      </c>
      <c r="S34" s="541">
        <f t="shared" si="9"/>
        <v>0</v>
      </c>
      <c r="T34" s="541" t="e" vm="1">
        <f t="shared" si="10"/>
        <v>#VALUE!</v>
      </c>
      <c r="U34" s="201">
        <f t="shared" si="11"/>
        <v>0</v>
      </c>
      <c r="V34" s="374">
        <f t="shared" si="12"/>
        <v>0</v>
      </c>
      <c r="W34" s="201">
        <f t="shared" si="13"/>
        <v>0</v>
      </c>
      <c r="X34" s="201">
        <f t="shared" si="21"/>
        <v>0</v>
      </c>
      <c r="Y34" s="201">
        <f t="shared" si="14"/>
        <v>0</v>
      </c>
      <c r="Z34" s="201">
        <f t="shared" si="15"/>
        <v>0</v>
      </c>
      <c r="AA34" s="201">
        <f t="shared" si="16"/>
        <v>0</v>
      </c>
      <c r="AB34" s="375">
        <f t="shared" si="17"/>
        <v>0</v>
      </c>
      <c r="AC34" s="202">
        <f t="shared" si="18"/>
        <v>0</v>
      </c>
      <c r="AD34" s="376">
        <f t="shared" si="19"/>
        <v>0</v>
      </c>
      <c r="AE34" s="549">
        <f t="shared" si="20"/>
        <v>0</v>
      </c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</row>
    <row r="35" spans="1:72" s="377" customFormat="1">
      <c r="A35" s="192">
        <v>22</v>
      </c>
      <c r="B35" s="470"/>
      <c r="C35" s="192"/>
      <c r="D35" s="192"/>
      <c r="E35" s="373"/>
      <c r="F35" s="373"/>
      <c r="G35" s="192"/>
      <c r="H35" s="192"/>
      <c r="I35" s="192"/>
      <c r="J35" s="201">
        <f t="shared" si="2"/>
        <v>0</v>
      </c>
      <c r="K35" s="541">
        <f t="shared" si="3"/>
        <v>0.3</v>
      </c>
      <c r="L35" s="165">
        <f t="shared" si="4"/>
        <v>0</v>
      </c>
      <c r="M35" s="201">
        <f t="shared" si="5"/>
        <v>0</v>
      </c>
      <c r="N35" s="542">
        <f t="shared" si="6"/>
        <v>100</v>
      </c>
      <c r="O35" s="543">
        <f t="shared" si="0"/>
        <v>9000</v>
      </c>
      <c r="P35" s="201">
        <f t="shared" si="7"/>
        <v>0</v>
      </c>
      <c r="Q35" s="201">
        <f t="shared" si="1"/>
        <v>0</v>
      </c>
      <c r="R35" s="201">
        <f t="shared" si="8"/>
        <v>0</v>
      </c>
      <c r="S35" s="541">
        <f t="shared" si="9"/>
        <v>0</v>
      </c>
      <c r="T35" s="541" t="e" vm="1">
        <f t="shared" si="10"/>
        <v>#VALUE!</v>
      </c>
      <c r="U35" s="201">
        <f t="shared" si="11"/>
        <v>0</v>
      </c>
      <c r="V35" s="374">
        <f t="shared" si="12"/>
        <v>0</v>
      </c>
      <c r="W35" s="201">
        <f t="shared" si="13"/>
        <v>0</v>
      </c>
      <c r="X35" s="201">
        <f t="shared" si="21"/>
        <v>0</v>
      </c>
      <c r="Y35" s="201">
        <f t="shared" si="14"/>
        <v>0</v>
      </c>
      <c r="Z35" s="201">
        <f t="shared" si="15"/>
        <v>0</v>
      </c>
      <c r="AA35" s="201">
        <f t="shared" si="16"/>
        <v>0</v>
      </c>
      <c r="AB35" s="375">
        <f t="shared" si="17"/>
        <v>0</v>
      </c>
      <c r="AC35" s="202">
        <f t="shared" si="18"/>
        <v>0</v>
      </c>
      <c r="AD35" s="376">
        <f t="shared" si="19"/>
        <v>0</v>
      </c>
      <c r="AE35" s="549">
        <f t="shared" si="20"/>
        <v>0</v>
      </c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</row>
    <row r="36" spans="1:72" s="377" customFormat="1">
      <c r="A36" s="192">
        <v>23</v>
      </c>
      <c r="B36" s="470"/>
      <c r="C36" s="192"/>
      <c r="D36" s="192"/>
      <c r="E36" s="373"/>
      <c r="F36" s="373"/>
      <c r="G36" s="192"/>
      <c r="H36" s="192"/>
      <c r="I36" s="192"/>
      <c r="J36" s="201">
        <f t="shared" si="2"/>
        <v>0</v>
      </c>
      <c r="K36" s="541">
        <f t="shared" si="3"/>
        <v>0.3</v>
      </c>
      <c r="L36" s="165">
        <f t="shared" si="4"/>
        <v>0</v>
      </c>
      <c r="M36" s="201">
        <f t="shared" si="5"/>
        <v>0</v>
      </c>
      <c r="N36" s="542">
        <f t="shared" si="6"/>
        <v>100</v>
      </c>
      <c r="O36" s="543">
        <f t="shared" si="0"/>
        <v>9000</v>
      </c>
      <c r="P36" s="201">
        <f t="shared" si="7"/>
        <v>0</v>
      </c>
      <c r="Q36" s="201">
        <f t="shared" si="1"/>
        <v>0</v>
      </c>
      <c r="R36" s="201">
        <f t="shared" si="8"/>
        <v>0</v>
      </c>
      <c r="S36" s="541">
        <f t="shared" si="9"/>
        <v>0</v>
      </c>
      <c r="T36" s="541" t="e" vm="1">
        <f t="shared" si="10"/>
        <v>#VALUE!</v>
      </c>
      <c r="U36" s="201">
        <f t="shared" si="11"/>
        <v>0</v>
      </c>
      <c r="V36" s="374">
        <f t="shared" si="12"/>
        <v>0</v>
      </c>
      <c r="W36" s="201">
        <f t="shared" si="13"/>
        <v>0</v>
      </c>
      <c r="X36" s="201">
        <f t="shared" si="21"/>
        <v>0</v>
      </c>
      <c r="Y36" s="201">
        <f t="shared" si="14"/>
        <v>0</v>
      </c>
      <c r="Z36" s="201">
        <f t="shared" si="15"/>
        <v>0</v>
      </c>
      <c r="AA36" s="201">
        <f t="shared" si="16"/>
        <v>0</v>
      </c>
      <c r="AB36" s="375">
        <f t="shared" si="17"/>
        <v>0</v>
      </c>
      <c r="AC36" s="202">
        <f t="shared" si="18"/>
        <v>0</v>
      </c>
      <c r="AD36" s="376">
        <f t="shared" si="19"/>
        <v>0</v>
      </c>
      <c r="AE36" s="549">
        <f t="shared" si="20"/>
        <v>0</v>
      </c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</row>
    <row r="37" spans="1:72" s="377" customFormat="1">
      <c r="A37" s="192">
        <v>24</v>
      </c>
      <c r="B37" s="471"/>
      <c r="C37" s="192"/>
      <c r="D37" s="192"/>
      <c r="E37" s="373"/>
      <c r="F37" s="373"/>
      <c r="G37" s="192"/>
      <c r="H37" s="192"/>
      <c r="I37" s="192"/>
      <c r="J37" s="201">
        <f t="shared" si="2"/>
        <v>0</v>
      </c>
      <c r="K37" s="541">
        <f t="shared" si="3"/>
        <v>0.3</v>
      </c>
      <c r="L37" s="165">
        <f t="shared" si="4"/>
        <v>0</v>
      </c>
      <c r="M37" s="201">
        <f t="shared" si="5"/>
        <v>0</v>
      </c>
      <c r="N37" s="542">
        <f t="shared" si="6"/>
        <v>100</v>
      </c>
      <c r="O37" s="543">
        <f t="shared" si="0"/>
        <v>9000</v>
      </c>
      <c r="P37" s="201">
        <f t="shared" si="7"/>
        <v>0</v>
      </c>
      <c r="Q37" s="201">
        <f t="shared" si="1"/>
        <v>0</v>
      </c>
      <c r="R37" s="201">
        <f t="shared" si="8"/>
        <v>0</v>
      </c>
      <c r="S37" s="541">
        <f t="shared" si="9"/>
        <v>0</v>
      </c>
      <c r="T37" s="541" t="e" vm="1">
        <f t="shared" si="10"/>
        <v>#VALUE!</v>
      </c>
      <c r="U37" s="201">
        <f t="shared" si="11"/>
        <v>0</v>
      </c>
      <c r="V37" s="374">
        <f t="shared" si="12"/>
        <v>0</v>
      </c>
      <c r="W37" s="201">
        <f t="shared" si="13"/>
        <v>0</v>
      </c>
      <c r="X37" s="201">
        <f t="shared" si="21"/>
        <v>0</v>
      </c>
      <c r="Y37" s="201">
        <f t="shared" si="14"/>
        <v>0</v>
      </c>
      <c r="Z37" s="201">
        <f t="shared" si="15"/>
        <v>0</v>
      </c>
      <c r="AA37" s="201">
        <f t="shared" si="16"/>
        <v>0</v>
      </c>
      <c r="AB37" s="375">
        <f t="shared" si="17"/>
        <v>0</v>
      </c>
      <c r="AC37" s="202">
        <f t="shared" si="18"/>
        <v>0</v>
      </c>
      <c r="AD37" s="376">
        <f t="shared" si="19"/>
        <v>0</v>
      </c>
      <c r="AE37" s="549">
        <f t="shared" si="20"/>
        <v>0</v>
      </c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</row>
    <row r="38" spans="1:72" s="377" customFormat="1">
      <c r="A38" s="192">
        <v>25</v>
      </c>
      <c r="B38" s="470"/>
      <c r="C38" s="192"/>
      <c r="D38" s="192"/>
      <c r="E38" s="373"/>
      <c r="F38" s="373"/>
      <c r="G38" s="192"/>
      <c r="H38" s="192"/>
      <c r="I38" s="192"/>
      <c r="J38" s="201">
        <f t="shared" si="2"/>
        <v>0</v>
      </c>
      <c r="K38" s="541">
        <f t="shared" si="3"/>
        <v>0.3</v>
      </c>
      <c r="L38" s="165">
        <f t="shared" si="4"/>
        <v>0</v>
      </c>
      <c r="M38" s="201">
        <f t="shared" si="5"/>
        <v>0</v>
      </c>
      <c r="N38" s="542">
        <f t="shared" si="6"/>
        <v>100</v>
      </c>
      <c r="O38" s="543">
        <f t="shared" si="0"/>
        <v>9000</v>
      </c>
      <c r="P38" s="201">
        <f t="shared" si="7"/>
        <v>0</v>
      </c>
      <c r="Q38" s="201">
        <f t="shared" si="1"/>
        <v>0</v>
      </c>
      <c r="R38" s="201">
        <f t="shared" si="8"/>
        <v>0</v>
      </c>
      <c r="S38" s="541">
        <f t="shared" si="9"/>
        <v>0</v>
      </c>
      <c r="T38" s="541" t="e" vm="1">
        <f t="shared" si="10"/>
        <v>#VALUE!</v>
      </c>
      <c r="U38" s="201">
        <f t="shared" si="11"/>
        <v>0</v>
      </c>
      <c r="V38" s="374">
        <f t="shared" si="12"/>
        <v>0</v>
      </c>
      <c r="W38" s="201">
        <f t="shared" si="13"/>
        <v>0</v>
      </c>
      <c r="X38" s="201">
        <f t="shared" si="21"/>
        <v>0</v>
      </c>
      <c r="Y38" s="201">
        <f t="shared" si="14"/>
        <v>0</v>
      </c>
      <c r="Z38" s="201">
        <f t="shared" si="15"/>
        <v>0</v>
      </c>
      <c r="AA38" s="201">
        <f t="shared" si="16"/>
        <v>0</v>
      </c>
      <c r="AB38" s="375">
        <f t="shared" si="17"/>
        <v>0</v>
      </c>
      <c r="AC38" s="202">
        <f t="shared" si="18"/>
        <v>0</v>
      </c>
      <c r="AD38" s="376">
        <f t="shared" si="19"/>
        <v>0</v>
      </c>
      <c r="AE38" s="549">
        <f t="shared" si="20"/>
        <v>0</v>
      </c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</row>
    <row r="39" spans="1:72" s="377" customFormat="1">
      <c r="A39" s="192">
        <v>26</v>
      </c>
      <c r="B39" s="470"/>
      <c r="C39" s="192"/>
      <c r="D39" s="192"/>
      <c r="E39" s="373"/>
      <c r="F39" s="373"/>
      <c r="G39" s="192"/>
      <c r="H39" s="192"/>
      <c r="I39" s="192"/>
      <c r="J39" s="201">
        <f t="shared" si="2"/>
        <v>0</v>
      </c>
      <c r="K39" s="541">
        <f t="shared" si="3"/>
        <v>0.3</v>
      </c>
      <c r="L39" s="165">
        <f t="shared" si="4"/>
        <v>0</v>
      </c>
      <c r="M39" s="201">
        <f t="shared" si="5"/>
        <v>0</v>
      </c>
      <c r="N39" s="542">
        <f t="shared" si="6"/>
        <v>100</v>
      </c>
      <c r="O39" s="543">
        <f t="shared" si="0"/>
        <v>9000</v>
      </c>
      <c r="P39" s="201">
        <f t="shared" si="7"/>
        <v>0</v>
      </c>
      <c r="Q39" s="201">
        <f t="shared" si="1"/>
        <v>0</v>
      </c>
      <c r="R39" s="201">
        <f t="shared" si="8"/>
        <v>0</v>
      </c>
      <c r="S39" s="541">
        <f t="shared" si="9"/>
        <v>0</v>
      </c>
      <c r="T39" s="541" t="e" vm="1">
        <f t="shared" si="10"/>
        <v>#VALUE!</v>
      </c>
      <c r="U39" s="201">
        <f t="shared" si="11"/>
        <v>0</v>
      </c>
      <c r="V39" s="374">
        <f t="shared" si="12"/>
        <v>0</v>
      </c>
      <c r="W39" s="201">
        <f t="shared" si="13"/>
        <v>0</v>
      </c>
      <c r="X39" s="201">
        <f t="shared" si="21"/>
        <v>0</v>
      </c>
      <c r="Y39" s="201">
        <f t="shared" si="14"/>
        <v>0</v>
      </c>
      <c r="Z39" s="201">
        <f t="shared" si="15"/>
        <v>0</v>
      </c>
      <c r="AA39" s="201">
        <f t="shared" si="16"/>
        <v>0</v>
      </c>
      <c r="AB39" s="375">
        <f t="shared" si="17"/>
        <v>0</v>
      </c>
      <c r="AC39" s="202">
        <f t="shared" si="18"/>
        <v>0</v>
      </c>
      <c r="AD39" s="376">
        <f t="shared" si="19"/>
        <v>0</v>
      </c>
      <c r="AE39" s="549">
        <f t="shared" si="20"/>
        <v>0</v>
      </c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</row>
    <row r="40" spans="1:72" s="377" customFormat="1">
      <c r="A40" s="192">
        <v>27</v>
      </c>
      <c r="B40" s="470"/>
      <c r="C40" s="192"/>
      <c r="D40" s="192"/>
      <c r="E40" s="373"/>
      <c r="F40" s="373"/>
      <c r="G40" s="192"/>
      <c r="H40" s="192"/>
      <c r="I40" s="192"/>
      <c r="J40" s="201">
        <f t="shared" si="2"/>
        <v>0</v>
      </c>
      <c r="K40" s="541">
        <f t="shared" si="3"/>
        <v>0.3</v>
      </c>
      <c r="L40" s="165">
        <f t="shared" si="4"/>
        <v>0</v>
      </c>
      <c r="M40" s="201">
        <f t="shared" si="5"/>
        <v>0</v>
      </c>
      <c r="N40" s="542">
        <f t="shared" si="6"/>
        <v>100</v>
      </c>
      <c r="O40" s="543">
        <f t="shared" si="0"/>
        <v>9000</v>
      </c>
      <c r="P40" s="201">
        <f t="shared" si="7"/>
        <v>0</v>
      </c>
      <c r="Q40" s="201">
        <f t="shared" si="1"/>
        <v>0</v>
      </c>
      <c r="R40" s="201">
        <f t="shared" si="8"/>
        <v>0</v>
      </c>
      <c r="S40" s="541">
        <f t="shared" si="9"/>
        <v>0</v>
      </c>
      <c r="T40" s="541" t="e" vm="1">
        <f t="shared" si="10"/>
        <v>#VALUE!</v>
      </c>
      <c r="U40" s="201">
        <f t="shared" si="11"/>
        <v>0</v>
      </c>
      <c r="V40" s="374">
        <f t="shared" si="12"/>
        <v>0</v>
      </c>
      <c r="W40" s="201">
        <f t="shared" si="13"/>
        <v>0</v>
      </c>
      <c r="X40" s="201">
        <f t="shared" si="21"/>
        <v>0</v>
      </c>
      <c r="Y40" s="201">
        <f t="shared" si="14"/>
        <v>0</v>
      </c>
      <c r="Z40" s="201">
        <f t="shared" si="15"/>
        <v>0</v>
      </c>
      <c r="AA40" s="201">
        <f t="shared" si="16"/>
        <v>0</v>
      </c>
      <c r="AB40" s="375">
        <f t="shared" si="17"/>
        <v>0</v>
      </c>
      <c r="AC40" s="202">
        <f t="shared" si="18"/>
        <v>0</v>
      </c>
      <c r="AD40" s="376">
        <f t="shared" si="19"/>
        <v>0</v>
      </c>
      <c r="AE40" s="549">
        <f t="shared" si="20"/>
        <v>0</v>
      </c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</row>
    <row r="41" spans="1:72" s="377" customFormat="1">
      <c r="A41" s="192">
        <v>28</v>
      </c>
      <c r="B41" s="470"/>
      <c r="C41" s="192"/>
      <c r="D41" s="192"/>
      <c r="E41" s="373"/>
      <c r="F41" s="373"/>
      <c r="G41" s="192"/>
      <c r="H41" s="192"/>
      <c r="I41" s="192"/>
      <c r="J41" s="201">
        <f t="shared" si="2"/>
        <v>0</v>
      </c>
      <c r="K41" s="541">
        <f t="shared" si="3"/>
        <v>0.3</v>
      </c>
      <c r="L41" s="165">
        <f t="shared" si="4"/>
        <v>0</v>
      </c>
      <c r="M41" s="201">
        <f t="shared" si="5"/>
        <v>0</v>
      </c>
      <c r="N41" s="542">
        <f t="shared" si="6"/>
        <v>100</v>
      </c>
      <c r="O41" s="543">
        <f t="shared" si="0"/>
        <v>9000</v>
      </c>
      <c r="P41" s="201">
        <f t="shared" si="7"/>
        <v>0</v>
      </c>
      <c r="Q41" s="201">
        <f t="shared" si="1"/>
        <v>0</v>
      </c>
      <c r="R41" s="201">
        <f t="shared" si="8"/>
        <v>0</v>
      </c>
      <c r="S41" s="541">
        <f t="shared" si="9"/>
        <v>0</v>
      </c>
      <c r="T41" s="541" t="e" vm="1">
        <f t="shared" si="10"/>
        <v>#VALUE!</v>
      </c>
      <c r="U41" s="201">
        <f t="shared" si="11"/>
        <v>0</v>
      </c>
      <c r="V41" s="374">
        <f t="shared" si="12"/>
        <v>0</v>
      </c>
      <c r="W41" s="201">
        <f t="shared" si="13"/>
        <v>0</v>
      </c>
      <c r="X41" s="201">
        <f t="shared" si="21"/>
        <v>0</v>
      </c>
      <c r="Y41" s="201">
        <f t="shared" si="14"/>
        <v>0</v>
      </c>
      <c r="Z41" s="201">
        <f t="shared" si="15"/>
        <v>0</v>
      </c>
      <c r="AA41" s="201">
        <f t="shared" si="16"/>
        <v>0</v>
      </c>
      <c r="AB41" s="375">
        <f t="shared" si="17"/>
        <v>0</v>
      </c>
      <c r="AC41" s="202">
        <f t="shared" si="18"/>
        <v>0</v>
      </c>
      <c r="AD41" s="376">
        <f t="shared" si="19"/>
        <v>0</v>
      </c>
      <c r="AE41" s="549">
        <f t="shared" si="20"/>
        <v>0</v>
      </c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</row>
    <row r="42" spans="1:72" s="377" customFormat="1">
      <c r="A42" s="192">
        <v>29</v>
      </c>
      <c r="B42" s="470"/>
      <c r="C42" s="192"/>
      <c r="D42" s="192"/>
      <c r="E42" s="373"/>
      <c r="F42" s="373"/>
      <c r="G42" s="192"/>
      <c r="H42" s="192"/>
      <c r="I42" s="192"/>
      <c r="J42" s="201">
        <f t="shared" si="2"/>
        <v>0</v>
      </c>
      <c r="K42" s="541">
        <f t="shared" si="3"/>
        <v>0.3</v>
      </c>
      <c r="L42" s="165">
        <f t="shared" si="4"/>
        <v>0</v>
      </c>
      <c r="M42" s="201">
        <f t="shared" si="5"/>
        <v>0</v>
      </c>
      <c r="N42" s="542">
        <f t="shared" si="6"/>
        <v>100</v>
      </c>
      <c r="O42" s="543">
        <f t="shared" si="0"/>
        <v>9000</v>
      </c>
      <c r="P42" s="201">
        <f t="shared" si="7"/>
        <v>0</v>
      </c>
      <c r="Q42" s="201">
        <f t="shared" si="1"/>
        <v>0</v>
      </c>
      <c r="R42" s="201">
        <f t="shared" si="8"/>
        <v>0</v>
      </c>
      <c r="S42" s="541">
        <f t="shared" si="9"/>
        <v>0</v>
      </c>
      <c r="T42" s="541" t="e" vm="1">
        <f t="shared" si="10"/>
        <v>#VALUE!</v>
      </c>
      <c r="U42" s="201">
        <f t="shared" si="11"/>
        <v>0</v>
      </c>
      <c r="V42" s="374">
        <f t="shared" si="12"/>
        <v>0</v>
      </c>
      <c r="W42" s="201">
        <f t="shared" si="13"/>
        <v>0</v>
      </c>
      <c r="X42" s="201">
        <f t="shared" si="21"/>
        <v>0</v>
      </c>
      <c r="Y42" s="201">
        <f t="shared" si="14"/>
        <v>0</v>
      </c>
      <c r="Z42" s="201">
        <f t="shared" si="15"/>
        <v>0</v>
      </c>
      <c r="AA42" s="201">
        <f t="shared" si="16"/>
        <v>0</v>
      </c>
      <c r="AB42" s="375">
        <f t="shared" si="17"/>
        <v>0</v>
      </c>
      <c r="AC42" s="202">
        <f t="shared" si="18"/>
        <v>0</v>
      </c>
      <c r="AD42" s="376">
        <f t="shared" si="19"/>
        <v>0</v>
      </c>
      <c r="AE42" s="549">
        <f t="shared" si="20"/>
        <v>0</v>
      </c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</row>
    <row r="43" spans="1:72" s="377" customFormat="1">
      <c r="A43" s="192">
        <v>30</v>
      </c>
      <c r="B43" s="470"/>
      <c r="C43" s="192"/>
      <c r="D43" s="192"/>
      <c r="E43" s="373"/>
      <c r="F43" s="373"/>
      <c r="G43" s="192"/>
      <c r="H43" s="192"/>
      <c r="I43" s="192"/>
      <c r="J43" s="201">
        <f t="shared" si="2"/>
        <v>0</v>
      </c>
      <c r="K43" s="541">
        <f t="shared" si="3"/>
        <v>0.3</v>
      </c>
      <c r="L43" s="165">
        <f t="shared" si="4"/>
        <v>0</v>
      </c>
      <c r="M43" s="201">
        <f t="shared" si="5"/>
        <v>0</v>
      </c>
      <c r="N43" s="542">
        <f t="shared" si="6"/>
        <v>100</v>
      </c>
      <c r="O43" s="543">
        <f t="shared" si="0"/>
        <v>9000</v>
      </c>
      <c r="P43" s="201">
        <f t="shared" si="7"/>
        <v>0</v>
      </c>
      <c r="Q43" s="201">
        <f t="shared" si="1"/>
        <v>0</v>
      </c>
      <c r="R43" s="201">
        <f t="shared" si="8"/>
        <v>0</v>
      </c>
      <c r="S43" s="541">
        <f t="shared" si="9"/>
        <v>0</v>
      </c>
      <c r="T43" s="541" t="e" vm="1">
        <f t="shared" si="10"/>
        <v>#VALUE!</v>
      </c>
      <c r="U43" s="201">
        <f t="shared" si="11"/>
        <v>0</v>
      </c>
      <c r="V43" s="374">
        <f t="shared" si="12"/>
        <v>0</v>
      </c>
      <c r="W43" s="201">
        <f t="shared" si="13"/>
        <v>0</v>
      </c>
      <c r="X43" s="201">
        <f t="shared" si="21"/>
        <v>0</v>
      </c>
      <c r="Y43" s="201">
        <f t="shared" si="14"/>
        <v>0</v>
      </c>
      <c r="Z43" s="201">
        <f t="shared" si="15"/>
        <v>0</v>
      </c>
      <c r="AA43" s="201">
        <f t="shared" si="16"/>
        <v>0</v>
      </c>
      <c r="AB43" s="375">
        <f t="shared" si="17"/>
        <v>0</v>
      </c>
      <c r="AC43" s="202">
        <f t="shared" si="18"/>
        <v>0</v>
      </c>
      <c r="AD43" s="376">
        <f t="shared" si="19"/>
        <v>0</v>
      </c>
      <c r="AE43" s="549">
        <f t="shared" si="20"/>
        <v>0</v>
      </c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</row>
    <row r="44" spans="1:72" s="377" customFormat="1">
      <c r="A44" s="192">
        <v>31</v>
      </c>
      <c r="B44" s="470"/>
      <c r="C44" s="192"/>
      <c r="D44" s="192"/>
      <c r="E44" s="373"/>
      <c r="F44" s="373"/>
      <c r="G44" s="192"/>
      <c r="H44" s="192"/>
      <c r="I44" s="192"/>
      <c r="J44" s="201">
        <f t="shared" si="2"/>
        <v>0</v>
      </c>
      <c r="K44" s="541">
        <f t="shared" si="3"/>
        <v>0.3</v>
      </c>
      <c r="L44" s="165">
        <f t="shared" si="4"/>
        <v>0</v>
      </c>
      <c r="M44" s="201">
        <f t="shared" si="5"/>
        <v>0</v>
      </c>
      <c r="N44" s="542">
        <f t="shared" si="6"/>
        <v>100</v>
      </c>
      <c r="O44" s="543">
        <f t="shared" si="0"/>
        <v>9000</v>
      </c>
      <c r="P44" s="201">
        <f t="shared" si="7"/>
        <v>0</v>
      </c>
      <c r="Q44" s="201">
        <f t="shared" si="1"/>
        <v>0</v>
      </c>
      <c r="R44" s="201">
        <f t="shared" si="8"/>
        <v>0</v>
      </c>
      <c r="S44" s="541">
        <f t="shared" si="9"/>
        <v>0</v>
      </c>
      <c r="T44" s="541" t="e" vm="1">
        <f t="shared" si="10"/>
        <v>#VALUE!</v>
      </c>
      <c r="U44" s="201">
        <f t="shared" si="11"/>
        <v>0</v>
      </c>
      <c r="V44" s="374">
        <f t="shared" si="12"/>
        <v>0</v>
      </c>
      <c r="W44" s="201">
        <f t="shared" si="13"/>
        <v>0</v>
      </c>
      <c r="X44" s="201">
        <f t="shared" si="21"/>
        <v>0</v>
      </c>
      <c r="Y44" s="201">
        <f t="shared" si="14"/>
        <v>0</v>
      </c>
      <c r="Z44" s="201">
        <f t="shared" si="15"/>
        <v>0</v>
      </c>
      <c r="AA44" s="201">
        <f t="shared" si="16"/>
        <v>0</v>
      </c>
      <c r="AB44" s="375">
        <f t="shared" si="17"/>
        <v>0</v>
      </c>
      <c r="AC44" s="202">
        <f t="shared" si="18"/>
        <v>0</v>
      </c>
      <c r="AD44" s="376">
        <f t="shared" si="19"/>
        <v>0</v>
      </c>
      <c r="AE44" s="549">
        <f t="shared" si="20"/>
        <v>0</v>
      </c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</row>
    <row r="45" spans="1:72" s="377" customFormat="1">
      <c r="A45" s="192">
        <v>32</v>
      </c>
      <c r="B45" s="470"/>
      <c r="C45" s="192"/>
      <c r="D45" s="192"/>
      <c r="E45" s="373"/>
      <c r="F45" s="373"/>
      <c r="G45" s="192"/>
      <c r="H45" s="192"/>
      <c r="I45" s="192"/>
      <c r="J45" s="201">
        <f t="shared" si="2"/>
        <v>0</v>
      </c>
      <c r="K45" s="541">
        <f t="shared" si="3"/>
        <v>0.3</v>
      </c>
      <c r="L45" s="165">
        <f t="shared" si="4"/>
        <v>0</v>
      </c>
      <c r="M45" s="201">
        <f t="shared" si="5"/>
        <v>0</v>
      </c>
      <c r="N45" s="542">
        <f t="shared" si="6"/>
        <v>100</v>
      </c>
      <c r="O45" s="543">
        <f t="shared" si="0"/>
        <v>9000</v>
      </c>
      <c r="P45" s="201">
        <f t="shared" si="7"/>
        <v>0</v>
      </c>
      <c r="Q45" s="201">
        <f t="shared" si="1"/>
        <v>0</v>
      </c>
      <c r="R45" s="201">
        <f t="shared" si="8"/>
        <v>0</v>
      </c>
      <c r="S45" s="541">
        <f t="shared" si="9"/>
        <v>0</v>
      </c>
      <c r="T45" s="541" t="e" vm="1">
        <f t="shared" si="10"/>
        <v>#VALUE!</v>
      </c>
      <c r="U45" s="201">
        <f t="shared" si="11"/>
        <v>0</v>
      </c>
      <c r="V45" s="374">
        <f t="shared" si="12"/>
        <v>0</v>
      </c>
      <c r="W45" s="201">
        <f t="shared" si="13"/>
        <v>0</v>
      </c>
      <c r="X45" s="201">
        <f t="shared" si="21"/>
        <v>0</v>
      </c>
      <c r="Y45" s="201">
        <f t="shared" si="14"/>
        <v>0</v>
      </c>
      <c r="Z45" s="201">
        <f t="shared" si="15"/>
        <v>0</v>
      </c>
      <c r="AA45" s="201">
        <f t="shared" si="16"/>
        <v>0</v>
      </c>
      <c r="AB45" s="375">
        <f t="shared" si="17"/>
        <v>0</v>
      </c>
      <c r="AC45" s="202">
        <f t="shared" si="18"/>
        <v>0</v>
      </c>
      <c r="AD45" s="376">
        <f t="shared" si="19"/>
        <v>0</v>
      </c>
      <c r="AE45" s="549">
        <f t="shared" si="20"/>
        <v>0</v>
      </c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</row>
    <row r="46" spans="1:72" s="377" customFormat="1">
      <c r="A46" s="192">
        <v>33</v>
      </c>
      <c r="B46" s="470"/>
      <c r="C46" s="192"/>
      <c r="D46" s="192"/>
      <c r="E46" s="373"/>
      <c r="F46" s="373"/>
      <c r="G46" s="192"/>
      <c r="H46" s="192"/>
      <c r="I46" s="192"/>
      <c r="J46" s="201">
        <f t="shared" si="2"/>
        <v>0</v>
      </c>
      <c r="K46" s="541">
        <f t="shared" si="3"/>
        <v>0.3</v>
      </c>
      <c r="L46" s="165">
        <f t="shared" si="4"/>
        <v>0</v>
      </c>
      <c r="M46" s="201">
        <f t="shared" si="5"/>
        <v>0</v>
      </c>
      <c r="N46" s="542">
        <f t="shared" si="6"/>
        <v>100</v>
      </c>
      <c r="O46" s="543">
        <f t="shared" si="0"/>
        <v>9000</v>
      </c>
      <c r="P46" s="201">
        <f t="shared" si="7"/>
        <v>0</v>
      </c>
      <c r="Q46" s="201">
        <f t="shared" si="1"/>
        <v>0</v>
      </c>
      <c r="R46" s="201">
        <f t="shared" si="8"/>
        <v>0</v>
      </c>
      <c r="S46" s="541">
        <f t="shared" si="9"/>
        <v>0</v>
      </c>
      <c r="T46" s="541" t="e" vm="1">
        <f t="shared" si="10"/>
        <v>#VALUE!</v>
      </c>
      <c r="U46" s="201">
        <f t="shared" si="11"/>
        <v>0</v>
      </c>
      <c r="V46" s="374">
        <f t="shared" si="12"/>
        <v>0</v>
      </c>
      <c r="W46" s="201">
        <f t="shared" si="13"/>
        <v>0</v>
      </c>
      <c r="X46" s="201">
        <f t="shared" si="21"/>
        <v>0</v>
      </c>
      <c r="Y46" s="201">
        <f t="shared" si="14"/>
        <v>0</v>
      </c>
      <c r="Z46" s="201">
        <f t="shared" si="15"/>
        <v>0</v>
      </c>
      <c r="AA46" s="201">
        <f t="shared" si="16"/>
        <v>0</v>
      </c>
      <c r="AB46" s="375">
        <f t="shared" si="17"/>
        <v>0</v>
      </c>
      <c r="AC46" s="202">
        <f t="shared" si="18"/>
        <v>0</v>
      </c>
      <c r="AD46" s="376">
        <f t="shared" si="19"/>
        <v>0</v>
      </c>
      <c r="AE46" s="549">
        <f t="shared" si="20"/>
        <v>0</v>
      </c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</row>
    <row r="47" spans="1:72" s="377" customFormat="1">
      <c r="A47" s="192">
        <v>34</v>
      </c>
      <c r="B47" s="470"/>
      <c r="C47" s="192"/>
      <c r="D47" s="192"/>
      <c r="E47" s="373"/>
      <c r="F47" s="373"/>
      <c r="G47" s="192"/>
      <c r="H47" s="192"/>
      <c r="I47" s="192"/>
      <c r="J47" s="201">
        <f t="shared" si="2"/>
        <v>0</v>
      </c>
      <c r="K47" s="541">
        <f t="shared" si="3"/>
        <v>0.3</v>
      </c>
      <c r="L47" s="165">
        <f t="shared" si="4"/>
        <v>0</v>
      </c>
      <c r="M47" s="201">
        <f>(F47=1.1)*IF((J47+2*P$9)&lt;F$3,F$3,J47+2*P$9)+(F47=1.2)*(J47+P$9+P$7/2)+(F47=2.1)*IF(L47&lt;F$3,F$3,L47)+(F47=2.2)*L47</f>
        <v>0</v>
      </c>
      <c r="N47" s="542">
        <f t="shared" si="6"/>
        <v>100</v>
      </c>
      <c r="O47" s="543">
        <f t="shared" si="0"/>
        <v>9000</v>
      </c>
      <c r="P47" s="201">
        <f t="shared" si="7"/>
        <v>0</v>
      </c>
      <c r="Q47" s="201">
        <f t="shared" si="1"/>
        <v>0</v>
      </c>
      <c r="R47" s="201">
        <f t="shared" si="8"/>
        <v>0</v>
      </c>
      <c r="S47" s="541">
        <f t="shared" si="9"/>
        <v>0</v>
      </c>
      <c r="T47" s="541" t="e" vm="1">
        <f t="shared" si="10"/>
        <v>#VALUE!</v>
      </c>
      <c r="U47" s="201">
        <f t="shared" si="11"/>
        <v>0</v>
      </c>
      <c r="V47" s="374">
        <f t="shared" si="12"/>
        <v>0</v>
      </c>
      <c r="W47" s="201">
        <f t="shared" si="13"/>
        <v>0</v>
      </c>
      <c r="X47" s="201">
        <f t="shared" si="21"/>
        <v>0</v>
      </c>
      <c r="Y47" s="201">
        <f t="shared" si="14"/>
        <v>0</v>
      </c>
      <c r="Z47" s="201">
        <f t="shared" si="15"/>
        <v>0</v>
      </c>
      <c r="AA47" s="201">
        <f t="shared" si="16"/>
        <v>0</v>
      </c>
      <c r="AB47" s="375">
        <f t="shared" si="17"/>
        <v>0</v>
      </c>
      <c r="AC47" s="202">
        <f t="shared" si="18"/>
        <v>0</v>
      </c>
      <c r="AD47" s="376">
        <f t="shared" si="19"/>
        <v>0</v>
      </c>
      <c r="AE47" s="549">
        <f t="shared" si="20"/>
        <v>0</v>
      </c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</row>
    <row r="48" spans="1:72" s="377" customFormat="1">
      <c r="A48" s="192">
        <v>35</v>
      </c>
      <c r="B48" s="470"/>
      <c r="C48" s="192"/>
      <c r="D48" s="192"/>
      <c r="E48" s="373"/>
      <c r="F48" s="373"/>
      <c r="G48" s="192"/>
      <c r="H48" s="192"/>
      <c r="I48" s="192"/>
      <c r="J48" s="201">
        <f t="shared" si="2"/>
        <v>0</v>
      </c>
      <c r="K48" s="541">
        <f t="shared" si="3"/>
        <v>0.3</v>
      </c>
      <c r="L48" s="165">
        <f t="shared" si="4"/>
        <v>0</v>
      </c>
      <c r="M48" s="201">
        <f t="shared" si="5"/>
        <v>0</v>
      </c>
      <c r="N48" s="542">
        <f t="shared" si="6"/>
        <v>100</v>
      </c>
      <c r="O48" s="543">
        <f t="shared" si="0"/>
        <v>9000</v>
      </c>
      <c r="P48" s="201">
        <f t="shared" si="7"/>
        <v>0</v>
      </c>
      <c r="Q48" s="201">
        <f t="shared" si="1"/>
        <v>0</v>
      </c>
      <c r="R48" s="201">
        <f t="shared" si="8"/>
        <v>0</v>
      </c>
      <c r="S48" s="541">
        <f t="shared" si="9"/>
        <v>0</v>
      </c>
      <c r="T48" s="541" t="e" vm="1">
        <f>IF(TRUNC(E48)&gt;1,HLOOKUP(D48,C$86:I$87,2),IF(D48&lt;=980,HLOOKUP(D48+10*(E48-1),B$74:AG$75,2),HLOOKUP(D48+10*(E48-1),B$76:AG$77,2)))</f>
        <v>#VALUE!</v>
      </c>
      <c r="U48" s="201">
        <f t="shared" si="11"/>
        <v>0</v>
      </c>
      <c r="V48" s="374">
        <f t="shared" si="12"/>
        <v>0</v>
      </c>
      <c r="W48" s="201">
        <f t="shared" si="13"/>
        <v>0</v>
      </c>
      <c r="X48" s="201">
        <f t="shared" si="21"/>
        <v>0</v>
      </c>
      <c r="Y48" s="201">
        <f t="shared" si="14"/>
        <v>0</v>
      </c>
      <c r="Z48" s="201">
        <f t="shared" si="15"/>
        <v>0</v>
      </c>
      <c r="AA48" s="201">
        <f t="shared" si="16"/>
        <v>0</v>
      </c>
      <c r="AB48" s="375">
        <f t="shared" si="17"/>
        <v>0</v>
      </c>
      <c r="AC48" s="202">
        <f t="shared" si="18"/>
        <v>0</v>
      </c>
      <c r="AD48" s="376">
        <f t="shared" si="19"/>
        <v>0</v>
      </c>
      <c r="AE48" s="549">
        <f t="shared" si="20"/>
        <v>0</v>
      </c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</row>
    <row r="49" spans="1:72" s="377" customFormat="1">
      <c r="A49" s="192">
        <v>36</v>
      </c>
      <c r="B49" s="470"/>
      <c r="C49" s="192"/>
      <c r="D49" s="192"/>
      <c r="E49" s="373"/>
      <c r="F49" s="373"/>
      <c r="G49" s="192"/>
      <c r="H49" s="192"/>
      <c r="I49" s="192"/>
      <c r="J49" s="201">
        <f t="shared" si="2"/>
        <v>0</v>
      </c>
      <c r="K49" s="541">
        <f t="shared" si="3"/>
        <v>0.3</v>
      </c>
      <c r="L49" s="165">
        <f t="shared" si="4"/>
        <v>0</v>
      </c>
      <c r="M49" s="201">
        <f t="shared" si="5"/>
        <v>0</v>
      </c>
      <c r="N49" s="542">
        <f t="shared" si="6"/>
        <v>100</v>
      </c>
      <c r="O49" s="543">
        <f t="shared" si="0"/>
        <v>9000</v>
      </c>
      <c r="P49" s="201">
        <f t="shared" si="7"/>
        <v>0</v>
      </c>
      <c r="Q49" s="201">
        <f t="shared" si="1"/>
        <v>0</v>
      </c>
      <c r="R49" s="201">
        <f t="shared" si="8"/>
        <v>0</v>
      </c>
      <c r="S49" s="541">
        <f t="shared" si="9"/>
        <v>0</v>
      </c>
      <c r="T49" s="541" t="e" vm="1">
        <f t="shared" si="10"/>
        <v>#VALUE!</v>
      </c>
      <c r="U49" s="201">
        <f t="shared" si="11"/>
        <v>0</v>
      </c>
      <c r="V49" s="374">
        <f t="shared" si="12"/>
        <v>0</v>
      </c>
      <c r="W49" s="201">
        <f t="shared" si="13"/>
        <v>0</v>
      </c>
      <c r="X49" s="201">
        <f t="shared" si="21"/>
        <v>0</v>
      </c>
      <c r="Y49" s="201">
        <f t="shared" si="14"/>
        <v>0</v>
      </c>
      <c r="Z49" s="201">
        <f t="shared" si="15"/>
        <v>0</v>
      </c>
      <c r="AA49" s="201">
        <f t="shared" si="16"/>
        <v>0</v>
      </c>
      <c r="AB49" s="375">
        <f t="shared" si="17"/>
        <v>0</v>
      </c>
      <c r="AC49" s="202">
        <f t="shared" si="18"/>
        <v>0</v>
      </c>
      <c r="AD49" s="376">
        <f t="shared" si="19"/>
        <v>0</v>
      </c>
      <c r="AE49" s="549">
        <f t="shared" si="20"/>
        <v>0</v>
      </c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</row>
    <row r="50" spans="1:72" s="377" customFormat="1">
      <c r="A50" s="192">
        <v>37</v>
      </c>
      <c r="B50" s="470"/>
      <c r="C50" s="192"/>
      <c r="D50" s="192"/>
      <c r="E50" s="373"/>
      <c r="F50" s="373"/>
      <c r="G50" s="192"/>
      <c r="H50" s="192"/>
      <c r="I50" s="192"/>
      <c r="J50" s="201">
        <f t="shared" si="2"/>
        <v>0</v>
      </c>
      <c r="K50" s="541">
        <f t="shared" si="3"/>
        <v>0.3</v>
      </c>
      <c r="L50" s="165">
        <f t="shared" si="4"/>
        <v>0</v>
      </c>
      <c r="M50" s="201">
        <f t="shared" si="5"/>
        <v>0</v>
      </c>
      <c r="N50" s="542">
        <f t="shared" si="6"/>
        <v>100</v>
      </c>
      <c r="O50" s="543">
        <f t="shared" si="0"/>
        <v>9000</v>
      </c>
      <c r="P50" s="201">
        <f t="shared" si="7"/>
        <v>0</v>
      </c>
      <c r="Q50" s="201">
        <f t="shared" si="1"/>
        <v>0</v>
      </c>
      <c r="R50" s="201">
        <f t="shared" si="8"/>
        <v>0</v>
      </c>
      <c r="S50" s="541">
        <f t="shared" si="9"/>
        <v>0</v>
      </c>
      <c r="T50" s="541" t="e" vm="1">
        <f t="shared" si="10"/>
        <v>#VALUE!</v>
      </c>
      <c r="U50" s="201">
        <f t="shared" si="11"/>
        <v>0</v>
      </c>
      <c r="V50" s="374">
        <f t="shared" si="12"/>
        <v>0</v>
      </c>
      <c r="W50" s="201">
        <f t="shared" si="13"/>
        <v>0</v>
      </c>
      <c r="X50" s="201">
        <f t="shared" si="21"/>
        <v>0</v>
      </c>
      <c r="Y50" s="201">
        <f t="shared" si="14"/>
        <v>0</v>
      </c>
      <c r="Z50" s="201">
        <f t="shared" si="15"/>
        <v>0</v>
      </c>
      <c r="AA50" s="201">
        <f t="shared" si="16"/>
        <v>0</v>
      </c>
      <c r="AB50" s="375">
        <f t="shared" si="17"/>
        <v>0</v>
      </c>
      <c r="AC50" s="202">
        <f t="shared" si="18"/>
        <v>0</v>
      </c>
      <c r="AD50" s="376">
        <f t="shared" si="19"/>
        <v>0</v>
      </c>
      <c r="AE50" s="549">
        <f t="shared" si="20"/>
        <v>0</v>
      </c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</row>
    <row r="51" spans="1:72" s="377" customFormat="1">
      <c r="A51" s="192">
        <v>38</v>
      </c>
      <c r="B51" s="470"/>
      <c r="C51" s="192"/>
      <c r="D51" s="192"/>
      <c r="E51" s="373"/>
      <c r="F51" s="373"/>
      <c r="G51" s="192"/>
      <c r="H51" s="192"/>
      <c r="I51" s="192"/>
      <c r="J51" s="201">
        <f t="shared" si="2"/>
        <v>0</v>
      </c>
      <c r="K51" s="541">
        <f t="shared" si="3"/>
        <v>0.3</v>
      </c>
      <c r="L51" s="165">
        <f t="shared" si="4"/>
        <v>0</v>
      </c>
      <c r="M51" s="201">
        <f t="shared" si="5"/>
        <v>0</v>
      </c>
      <c r="N51" s="542">
        <f t="shared" si="6"/>
        <v>100</v>
      </c>
      <c r="O51" s="543">
        <f t="shared" si="0"/>
        <v>9000</v>
      </c>
      <c r="P51" s="201">
        <f t="shared" si="7"/>
        <v>0</v>
      </c>
      <c r="Q51" s="201">
        <f t="shared" si="1"/>
        <v>0</v>
      </c>
      <c r="R51" s="201">
        <f t="shared" si="8"/>
        <v>0</v>
      </c>
      <c r="S51" s="541">
        <f t="shared" si="9"/>
        <v>0</v>
      </c>
      <c r="T51" s="541" t="e" vm="1">
        <f t="shared" si="10"/>
        <v>#VALUE!</v>
      </c>
      <c r="U51" s="201">
        <f t="shared" si="11"/>
        <v>0</v>
      </c>
      <c r="V51" s="374">
        <f t="shared" si="12"/>
        <v>0</v>
      </c>
      <c r="W51" s="201">
        <f t="shared" si="13"/>
        <v>0</v>
      </c>
      <c r="X51" s="201">
        <f t="shared" si="21"/>
        <v>0</v>
      </c>
      <c r="Y51" s="201">
        <f t="shared" si="14"/>
        <v>0</v>
      </c>
      <c r="Z51" s="201">
        <f t="shared" si="15"/>
        <v>0</v>
      </c>
      <c r="AA51" s="201">
        <f t="shared" si="16"/>
        <v>0</v>
      </c>
      <c r="AB51" s="375">
        <f t="shared" si="17"/>
        <v>0</v>
      </c>
      <c r="AC51" s="202">
        <f t="shared" si="18"/>
        <v>0</v>
      </c>
      <c r="AD51" s="376">
        <f t="shared" si="19"/>
        <v>0</v>
      </c>
      <c r="AE51" s="549">
        <f t="shared" si="20"/>
        <v>0</v>
      </c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</row>
    <row r="52" spans="1:72" s="377" customFormat="1">
      <c r="A52" s="192">
        <v>39</v>
      </c>
      <c r="B52" s="470"/>
      <c r="C52" s="192"/>
      <c r="D52" s="192"/>
      <c r="E52" s="373"/>
      <c r="F52" s="373"/>
      <c r="G52" s="192"/>
      <c r="H52" s="192"/>
      <c r="I52" s="192"/>
      <c r="J52" s="201">
        <f t="shared" si="2"/>
        <v>0</v>
      </c>
      <c r="K52" s="541">
        <f t="shared" si="3"/>
        <v>0.3</v>
      </c>
      <c r="L52" s="165">
        <f t="shared" si="4"/>
        <v>0</v>
      </c>
      <c r="M52" s="201">
        <f t="shared" si="5"/>
        <v>0</v>
      </c>
      <c r="N52" s="542">
        <f t="shared" si="6"/>
        <v>100</v>
      </c>
      <c r="O52" s="543">
        <f t="shared" si="0"/>
        <v>9000</v>
      </c>
      <c r="P52" s="201">
        <f t="shared" si="7"/>
        <v>0</v>
      </c>
      <c r="Q52" s="201">
        <f t="shared" si="1"/>
        <v>0</v>
      </c>
      <c r="R52" s="201">
        <f t="shared" si="8"/>
        <v>0</v>
      </c>
      <c r="S52" s="541">
        <f t="shared" si="9"/>
        <v>0</v>
      </c>
      <c r="T52" s="541" t="e" vm="1">
        <f t="shared" si="10"/>
        <v>#VALUE!</v>
      </c>
      <c r="U52" s="201">
        <f t="shared" si="11"/>
        <v>0</v>
      </c>
      <c r="V52" s="374">
        <f t="shared" si="12"/>
        <v>0</v>
      </c>
      <c r="W52" s="201">
        <f t="shared" si="13"/>
        <v>0</v>
      </c>
      <c r="X52" s="201">
        <f t="shared" si="21"/>
        <v>0</v>
      </c>
      <c r="Y52" s="201">
        <f t="shared" si="14"/>
        <v>0</v>
      </c>
      <c r="Z52" s="201">
        <f t="shared" si="15"/>
        <v>0</v>
      </c>
      <c r="AA52" s="201">
        <f t="shared" si="16"/>
        <v>0</v>
      </c>
      <c r="AB52" s="375">
        <f t="shared" si="17"/>
        <v>0</v>
      </c>
      <c r="AC52" s="202">
        <f t="shared" si="18"/>
        <v>0</v>
      </c>
      <c r="AD52" s="376">
        <f t="shared" si="19"/>
        <v>0</v>
      </c>
      <c r="AE52" s="549">
        <f t="shared" si="20"/>
        <v>0</v>
      </c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</row>
    <row r="53" spans="1:72" s="377" customFormat="1">
      <c r="A53" s="192">
        <v>40</v>
      </c>
      <c r="B53" s="470"/>
      <c r="C53" s="192"/>
      <c r="D53" s="192"/>
      <c r="E53" s="373"/>
      <c r="F53" s="373"/>
      <c r="G53" s="192"/>
      <c r="H53" s="192"/>
      <c r="I53" s="192"/>
      <c r="J53" s="201">
        <f t="shared" si="2"/>
        <v>0</v>
      </c>
      <c r="K53" s="541">
        <f t="shared" si="3"/>
        <v>0.3</v>
      </c>
      <c r="L53" s="165">
        <f t="shared" si="4"/>
        <v>0</v>
      </c>
      <c r="M53" s="201">
        <f t="shared" si="5"/>
        <v>0</v>
      </c>
      <c r="N53" s="542">
        <f t="shared" si="6"/>
        <v>100</v>
      </c>
      <c r="O53" s="543">
        <f t="shared" si="0"/>
        <v>9000</v>
      </c>
      <c r="P53" s="201">
        <f t="shared" si="7"/>
        <v>0</v>
      </c>
      <c r="Q53" s="201">
        <f t="shared" si="1"/>
        <v>0</v>
      </c>
      <c r="R53" s="201">
        <f t="shared" si="8"/>
        <v>0</v>
      </c>
      <c r="S53" s="541">
        <f t="shared" si="9"/>
        <v>0</v>
      </c>
      <c r="T53" s="541" t="e" vm="1">
        <f t="shared" si="10"/>
        <v>#VALUE!</v>
      </c>
      <c r="U53" s="201">
        <f t="shared" si="11"/>
        <v>0</v>
      </c>
      <c r="V53" s="374">
        <f t="shared" si="12"/>
        <v>0</v>
      </c>
      <c r="W53" s="201">
        <f t="shared" si="13"/>
        <v>0</v>
      </c>
      <c r="X53" s="201">
        <f t="shared" si="21"/>
        <v>0</v>
      </c>
      <c r="Y53" s="201">
        <f t="shared" si="14"/>
        <v>0</v>
      </c>
      <c r="Z53" s="201">
        <f t="shared" si="15"/>
        <v>0</v>
      </c>
      <c r="AA53" s="201">
        <f t="shared" si="16"/>
        <v>0</v>
      </c>
      <c r="AB53" s="375">
        <f t="shared" si="17"/>
        <v>0</v>
      </c>
      <c r="AC53" s="202">
        <f t="shared" si="18"/>
        <v>0</v>
      </c>
      <c r="AD53" s="376">
        <f t="shared" si="19"/>
        <v>0</v>
      </c>
      <c r="AE53" s="549">
        <f t="shared" si="20"/>
        <v>0</v>
      </c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</row>
    <row r="54" spans="1:72" s="464" customFormat="1" ht="17.25" thickBot="1">
      <c r="A54" s="209">
        <v>41</v>
      </c>
      <c r="B54" s="472"/>
      <c r="C54" s="209"/>
      <c r="D54" s="209"/>
      <c r="E54" s="378"/>
      <c r="F54" s="378"/>
      <c r="G54" s="209"/>
      <c r="H54" s="209"/>
      <c r="I54" s="209"/>
      <c r="J54" s="214">
        <f t="shared" si="2"/>
        <v>0</v>
      </c>
      <c r="K54" s="544">
        <f t="shared" si="3"/>
        <v>0.3</v>
      </c>
      <c r="L54" s="379">
        <f t="shared" si="4"/>
        <v>0</v>
      </c>
      <c r="M54" s="201">
        <f t="shared" si="5"/>
        <v>0</v>
      </c>
      <c r="N54" s="545">
        <f t="shared" si="6"/>
        <v>100</v>
      </c>
      <c r="O54" s="546">
        <f t="shared" si="0"/>
        <v>9000</v>
      </c>
      <c r="P54" s="214">
        <f t="shared" si="7"/>
        <v>0</v>
      </c>
      <c r="Q54" s="214">
        <f t="shared" si="1"/>
        <v>0</v>
      </c>
      <c r="R54" s="214">
        <f t="shared" si="8"/>
        <v>0</v>
      </c>
      <c r="S54" s="544">
        <f t="shared" si="9"/>
        <v>0</v>
      </c>
      <c r="T54" s="544" t="e" vm="1">
        <f t="shared" ref="T54" si="22">IF(TRUNC(E54)&gt;1,HLOOKUP(D54,C$86:I$87,2),IF(D54&lt;=980,HLOOKUP(D54+10*(E54-1),B$74:AF$75,2),HLOOKUP(D54+10*(E54-1),B$76:AF$77,2)))</f>
        <v>#VALUE!</v>
      </c>
      <c r="U54" s="214">
        <f t="shared" si="11"/>
        <v>0</v>
      </c>
      <c r="V54" s="380">
        <f t="shared" si="12"/>
        <v>0</v>
      </c>
      <c r="W54" s="214">
        <f t="shared" si="13"/>
        <v>0</v>
      </c>
      <c r="X54" s="214">
        <f t="shared" si="21"/>
        <v>0</v>
      </c>
      <c r="Y54" s="214">
        <f t="shared" si="14"/>
        <v>0</v>
      </c>
      <c r="Z54" s="214">
        <f t="shared" si="15"/>
        <v>0</v>
      </c>
      <c r="AA54" s="214">
        <f t="shared" si="16"/>
        <v>0</v>
      </c>
      <c r="AB54" s="381">
        <f t="shared" si="17"/>
        <v>0</v>
      </c>
      <c r="AC54" s="215">
        <f t="shared" si="18"/>
        <v>0</v>
      </c>
      <c r="AD54" s="382">
        <f t="shared" si="19"/>
        <v>0</v>
      </c>
      <c r="AE54" s="550">
        <f t="shared" si="20"/>
        <v>0</v>
      </c>
      <c r="AF54" s="281"/>
      <c r="AG54" s="281"/>
      <c r="AH54" s="281"/>
      <c r="AI54" s="281"/>
      <c r="AJ54" s="281"/>
      <c r="AK54" s="281"/>
      <c r="AL54" s="281"/>
      <c r="AM54" s="281"/>
      <c r="AN54" s="281"/>
      <c r="AO54" s="281"/>
      <c r="AP54" s="281"/>
      <c r="AQ54" s="281"/>
      <c r="AR54" s="281"/>
      <c r="AS54" s="281"/>
      <c r="AT54" s="281"/>
      <c r="AU54" s="281"/>
      <c r="AV54" s="281"/>
      <c r="AW54" s="281"/>
      <c r="AX54" s="281"/>
      <c r="AY54" s="281"/>
      <c r="AZ54" s="281"/>
      <c r="BA54" s="281"/>
      <c r="BB54" s="281"/>
      <c r="BC54" s="281"/>
      <c r="BD54" s="281"/>
      <c r="BE54" s="281"/>
      <c r="BF54" s="281"/>
      <c r="BG54" s="281"/>
      <c r="BH54" s="281"/>
      <c r="BI54" s="281"/>
      <c r="BJ54" s="281"/>
      <c r="BK54" s="281"/>
      <c r="BL54" s="281"/>
      <c r="BM54" s="281"/>
      <c r="BN54" s="281"/>
      <c r="BO54" s="281"/>
      <c r="BP54" s="281"/>
      <c r="BQ54" s="281"/>
      <c r="BR54" s="281"/>
      <c r="BS54" s="281"/>
      <c r="BT54" s="281"/>
    </row>
    <row r="55" spans="1:72">
      <c r="A55" s="184"/>
      <c r="AE55" s="551"/>
    </row>
    <row r="56" spans="1:72" s="389" customFormat="1">
      <c r="A56" s="383"/>
      <c r="B56" s="384" t="s">
        <v>154</v>
      </c>
      <c r="C56" s="385"/>
      <c r="D56" s="385"/>
      <c r="E56" s="385"/>
      <c r="F56" s="385"/>
      <c r="G56" s="385"/>
      <c r="H56" s="386">
        <f>SUM(H13:H55)</f>
        <v>0</v>
      </c>
      <c r="I56" s="386">
        <f>SUM(I13:I55)</f>
        <v>0</v>
      </c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7">
        <f>SUM(U14:U54)</f>
        <v>0</v>
      </c>
      <c r="V56" s="387">
        <f>SUM(V13:V54)</f>
        <v>0</v>
      </c>
      <c r="W56" s="387">
        <f>SUM(W13:W55)</f>
        <v>0</v>
      </c>
      <c r="X56" s="387">
        <f>SUM(X14:X54)</f>
        <v>0</v>
      </c>
      <c r="Y56" s="387">
        <f>SUM(Y13:Y55)</f>
        <v>0</v>
      </c>
      <c r="Z56" s="387">
        <f>SUM(Z14:Z54)</f>
        <v>0</v>
      </c>
      <c r="AA56" s="385"/>
      <c r="AB56" s="388">
        <f>SUM(AB14:AB54)</f>
        <v>0</v>
      </c>
      <c r="AC56" s="384"/>
      <c r="AD56" s="384"/>
      <c r="AE56" s="552">
        <f>SUM(AE14:AE54)</f>
        <v>0</v>
      </c>
      <c r="AF56" s="385"/>
      <c r="AG56" s="385"/>
      <c r="AH56" s="385"/>
      <c r="AI56" s="385"/>
      <c r="AJ56" s="385"/>
      <c r="AK56" s="385"/>
      <c r="AL56" s="385"/>
      <c r="AM56" s="385"/>
      <c r="AN56" s="385"/>
      <c r="AO56" s="385"/>
      <c r="AP56" s="385"/>
      <c r="AQ56" s="385"/>
      <c r="AR56" s="385"/>
      <c r="AS56" s="385"/>
      <c r="AT56" s="385"/>
      <c r="AU56" s="385"/>
      <c r="AV56" s="385"/>
      <c r="AW56" s="385"/>
      <c r="AX56" s="385"/>
      <c r="AY56" s="385"/>
      <c r="AZ56" s="385"/>
      <c r="BA56" s="385"/>
      <c r="BB56" s="385"/>
      <c r="BC56" s="385"/>
      <c r="BD56" s="385"/>
      <c r="BE56" s="385"/>
      <c r="BF56" s="385"/>
      <c r="BG56" s="385"/>
      <c r="BH56" s="385"/>
      <c r="BI56" s="385"/>
      <c r="BJ56" s="385"/>
      <c r="BK56" s="385"/>
      <c r="BL56" s="385"/>
      <c r="BM56" s="385"/>
      <c r="BN56" s="385"/>
      <c r="BO56" s="385"/>
      <c r="BP56" s="385"/>
      <c r="BQ56" s="385"/>
      <c r="BR56" s="385"/>
      <c r="BS56" s="385"/>
      <c r="BT56" s="385"/>
    </row>
    <row r="57" spans="1:72" s="389" customFormat="1">
      <c r="A57" s="390"/>
      <c r="B57" s="220" t="s">
        <v>155</v>
      </c>
      <c r="C57" s="384">
        <f>SUM(C14:C54)</f>
        <v>0</v>
      </c>
      <c r="D57" s="391" t="str">
        <f>IF(P4=1,"METERS","FEET")</f>
        <v>METERS</v>
      </c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92">
        <f>V56/I$4</f>
        <v>0</v>
      </c>
      <c r="W57" s="393">
        <f>W56/I$6</f>
        <v>0</v>
      </c>
      <c r="X57" s="385"/>
      <c r="Y57" s="385"/>
      <c r="Z57" s="394">
        <f>Z56/I$7</f>
        <v>0</v>
      </c>
      <c r="AA57" s="385"/>
      <c r="AB57" s="385"/>
      <c r="AC57" s="384">
        <f>SUM(AC13:AC54)</f>
        <v>0</v>
      </c>
      <c r="AD57" s="386">
        <f>SUM(AD13:AD54)</f>
        <v>0</v>
      </c>
      <c r="AE57" s="392"/>
      <c r="AF57" s="385"/>
      <c r="AG57" s="385"/>
      <c r="AH57" s="385"/>
      <c r="AI57" s="385"/>
      <c r="AJ57" s="385"/>
      <c r="AK57" s="385"/>
      <c r="AL57" s="385"/>
      <c r="AM57" s="385"/>
      <c r="AN57" s="385"/>
      <c r="AO57" s="385"/>
      <c r="AP57" s="385"/>
      <c r="AQ57" s="385"/>
      <c r="AR57" s="385"/>
      <c r="AS57" s="385"/>
      <c r="AT57" s="385"/>
      <c r="AU57" s="385"/>
      <c r="AV57" s="385"/>
      <c r="AW57" s="385"/>
      <c r="AX57" s="385"/>
      <c r="AY57" s="385"/>
      <c r="AZ57" s="385"/>
      <c r="BA57" s="385"/>
      <c r="BB57" s="385"/>
      <c r="BC57" s="385"/>
      <c r="BD57" s="385"/>
      <c r="BE57" s="385"/>
      <c r="BF57" s="385"/>
      <c r="BG57" s="385"/>
      <c r="BH57" s="385"/>
      <c r="BI57" s="385"/>
      <c r="BJ57" s="385"/>
      <c r="BK57" s="385"/>
      <c r="BL57" s="385"/>
      <c r="BM57" s="385"/>
      <c r="BN57" s="385"/>
      <c r="BO57" s="385"/>
      <c r="BP57" s="385"/>
      <c r="BQ57" s="385"/>
      <c r="BR57" s="385"/>
      <c r="BS57" s="385"/>
      <c r="BT57" s="385"/>
    </row>
    <row r="58" spans="1:72" ht="17.25" thickBot="1">
      <c r="A58" s="184"/>
    </row>
    <row r="59" spans="1:72" ht="17.25" thickBot="1">
      <c r="A59" s="184"/>
      <c r="Y59" s="395"/>
      <c r="Z59" s="396"/>
      <c r="AA59" s="396"/>
      <c r="AB59" s="372"/>
    </row>
    <row r="60" spans="1:72" ht="17.25" thickBot="1">
      <c r="B60" s="397" t="s">
        <v>156</v>
      </c>
      <c r="C60" s="398">
        <f>SUMIFS(U14:U54,E14:E54,"&gt;1",E14:E54,"&lt;2")</f>
        <v>0</v>
      </c>
      <c r="D60" s="216"/>
      <c r="G60" s="147" t="s">
        <v>157</v>
      </c>
      <c r="H60" s="319"/>
      <c r="I60" s="399">
        <f>AC57</f>
        <v>0</v>
      </c>
      <c r="K60" s="277"/>
      <c r="M60" s="151" t="s">
        <v>158</v>
      </c>
      <c r="N60" s="319"/>
      <c r="O60" s="400">
        <f>IF(AC57=0,0,Y56/AC57)</f>
        <v>0</v>
      </c>
      <c r="X60" s="277"/>
      <c r="Y60" s="401" t="s">
        <v>56</v>
      </c>
      <c r="Z60" s="402" t="s">
        <v>57</v>
      </c>
      <c r="AA60" s="402" t="s">
        <v>159</v>
      </c>
      <c r="AB60" s="403" t="s">
        <v>160</v>
      </c>
    </row>
    <row r="61" spans="1:72">
      <c r="B61" s="404" t="s">
        <v>161</v>
      </c>
      <c r="C61" s="398">
        <f>SUMIFS(U14:U54,E14:E54,"&gt;=2",E14:E54,"&lt;3")</f>
        <v>0</v>
      </c>
      <c r="D61" s="216"/>
      <c r="G61" s="156" t="s">
        <v>162</v>
      </c>
      <c r="H61" s="327"/>
      <c r="I61" s="406">
        <f>AD57</f>
        <v>0</v>
      </c>
      <c r="K61" s="277"/>
      <c r="M61" s="158" t="s">
        <v>163</v>
      </c>
      <c r="N61" s="327"/>
      <c r="O61" s="407">
        <f>Y56/F6</f>
        <v>0</v>
      </c>
      <c r="X61" s="277"/>
      <c r="Y61" s="408"/>
      <c r="Z61" s="409"/>
      <c r="AA61" s="409"/>
      <c r="AB61" s="410"/>
    </row>
    <row r="62" spans="1:72">
      <c r="B62" s="404" t="s">
        <v>164</v>
      </c>
      <c r="C62" s="405">
        <f>V56</f>
        <v>0</v>
      </c>
      <c r="D62" s="216"/>
      <c r="G62" s="156" t="s">
        <v>165</v>
      </c>
      <c r="H62" s="327"/>
      <c r="I62" s="406">
        <f>AD57*3.28</f>
        <v>0</v>
      </c>
      <c r="K62" s="277"/>
      <c r="M62" s="158" t="s">
        <v>166</v>
      </c>
      <c r="N62" s="327"/>
      <c r="O62" s="407">
        <f>IF(O61=0,0,AC57/O61)</f>
        <v>0</v>
      </c>
      <c r="X62" s="277"/>
      <c r="Y62" s="332" t="s">
        <v>167</v>
      </c>
      <c r="Z62" s="411">
        <f>X56</f>
        <v>0</v>
      </c>
      <c r="AA62" s="411">
        <f>(P5-TRUNC(P5))*Z62</f>
        <v>0</v>
      </c>
      <c r="AB62" s="412">
        <f>Z62+AA62</f>
        <v>0</v>
      </c>
    </row>
    <row r="63" spans="1:72">
      <c r="B63" s="404" t="s">
        <v>168</v>
      </c>
      <c r="C63" s="405">
        <f>H56</f>
        <v>0</v>
      </c>
      <c r="D63" s="216"/>
      <c r="G63" s="156" t="s">
        <v>169</v>
      </c>
      <c r="H63" s="327"/>
      <c r="I63" s="406">
        <f>IF(P4=1,C57,C57*1/3.28)</f>
        <v>0</v>
      </c>
      <c r="K63" s="277"/>
      <c r="M63" s="158" t="s">
        <v>170</v>
      </c>
      <c r="N63" s="327"/>
      <c r="O63" s="407">
        <f>IF(O61=0,0,I61/O61)</f>
        <v>0</v>
      </c>
      <c r="X63" s="277"/>
      <c r="Y63" s="332" t="s">
        <v>171</v>
      </c>
      <c r="Z63" s="411">
        <f>Y56</f>
        <v>0</v>
      </c>
      <c r="AA63" s="411">
        <f>(P5-TRUNC(P5))*Z63</f>
        <v>0</v>
      </c>
      <c r="AB63" s="412">
        <f>Z63+AA63</f>
        <v>0</v>
      </c>
    </row>
    <row r="64" spans="1:72">
      <c r="B64" s="404" t="s">
        <v>172</v>
      </c>
      <c r="C64" s="405">
        <f>X56</f>
        <v>0</v>
      </c>
      <c r="D64" s="216"/>
      <c r="G64" s="156" t="s">
        <v>173</v>
      </c>
      <c r="H64" s="327"/>
      <c r="I64" s="406">
        <f>IF(P4=0,C57,C57*3.28)</f>
        <v>0</v>
      </c>
      <c r="K64" s="277"/>
      <c r="M64" s="158" t="s">
        <v>174</v>
      </c>
      <c r="N64" s="327"/>
      <c r="O64" s="407">
        <f>O63*3.28</f>
        <v>0</v>
      </c>
      <c r="X64" s="277"/>
      <c r="Y64" s="332" t="s">
        <v>175</v>
      </c>
      <c r="Z64" s="411">
        <f>Z56</f>
        <v>0</v>
      </c>
      <c r="AA64" s="411">
        <f>(P5-TRUNC(P5))*Z64</f>
        <v>0</v>
      </c>
      <c r="AB64" s="412">
        <f>Z64+AA64</f>
        <v>0</v>
      </c>
    </row>
    <row r="65" spans="1:33" ht="17.25" thickBot="1">
      <c r="B65" s="404" t="s">
        <v>176</v>
      </c>
      <c r="C65" s="405">
        <f>0.7*Y56</f>
        <v>0</v>
      </c>
      <c r="D65" s="216"/>
      <c r="G65" s="156" t="s">
        <v>177</v>
      </c>
      <c r="H65" s="327"/>
      <c r="I65" s="406">
        <f>IF(AB56=0,0,X56/AB56*100)</f>
        <v>0</v>
      </c>
      <c r="K65" s="277"/>
      <c r="M65" s="158" t="s">
        <v>178</v>
      </c>
      <c r="N65" s="327"/>
      <c r="O65" s="407">
        <f>IF(O61=0,0,I63/O61)</f>
        <v>0</v>
      </c>
      <c r="X65" s="277"/>
      <c r="Y65" s="413"/>
      <c r="Z65" s="414"/>
      <c r="AA65" s="415"/>
      <c r="AB65" s="416"/>
    </row>
    <row r="66" spans="1:33">
      <c r="B66" s="404" t="s">
        <v>179</v>
      </c>
      <c r="C66" s="405">
        <f>0.3*Y56</f>
        <v>0</v>
      </c>
      <c r="D66" s="216"/>
      <c r="G66" s="156" t="s">
        <v>180</v>
      </c>
      <c r="H66" s="327"/>
      <c r="I66" s="406">
        <f>IF(AB56=0,0,Y56/AB56*100)</f>
        <v>0</v>
      </c>
      <c r="K66" s="277"/>
      <c r="M66" s="158" t="s">
        <v>181</v>
      </c>
      <c r="N66" s="327"/>
      <c r="O66" s="407">
        <f>IF(O61=0,0,I64/O61)</f>
        <v>0</v>
      </c>
      <c r="X66" s="277"/>
      <c r="Y66" s="417"/>
      <c r="Z66" s="418"/>
      <c r="AA66" s="419"/>
      <c r="AB66" s="420"/>
    </row>
    <row r="67" spans="1:33" ht="17.25" thickBot="1">
      <c r="B67" s="404" t="s">
        <v>182</v>
      </c>
      <c r="C67" s="405">
        <f>Y56</f>
        <v>0</v>
      </c>
      <c r="D67" s="216"/>
      <c r="G67" s="178" t="s">
        <v>183</v>
      </c>
      <c r="H67" s="345"/>
      <c r="I67" s="421">
        <f>IF(I65=0,0,100-I65-I66)</f>
        <v>0</v>
      </c>
      <c r="K67" s="277"/>
      <c r="M67" s="158" t="s">
        <v>184</v>
      </c>
      <c r="N67" s="327"/>
      <c r="O67" s="422">
        <f>IF(I63=0,0,Y56/I63)</f>
        <v>0</v>
      </c>
      <c r="X67" s="277"/>
      <c r="Y67" s="423" t="s">
        <v>185</v>
      </c>
      <c r="Z67" s="424">
        <f>SUM(Z61:Z65)</f>
        <v>0</v>
      </c>
      <c r="AA67" s="424">
        <f>SUM(AA61:AA65)</f>
        <v>0</v>
      </c>
      <c r="AB67" s="425">
        <f>SUM(AB61:AB65)</f>
        <v>0</v>
      </c>
    </row>
    <row r="68" spans="1:33" ht="17.25" thickBot="1">
      <c r="B68" s="426" t="s">
        <v>186</v>
      </c>
      <c r="C68" s="427">
        <f>Z56</f>
        <v>0</v>
      </c>
      <c r="D68" s="216"/>
      <c r="I68" s="360"/>
      <c r="K68" s="277"/>
      <c r="M68" s="350" t="s">
        <v>187</v>
      </c>
      <c r="N68" s="345"/>
      <c r="O68" s="428">
        <f>IF(I61=0,0,Y56/I61)</f>
        <v>0</v>
      </c>
      <c r="X68" s="277"/>
      <c r="Y68" s="429"/>
      <c r="Z68" s="430"/>
      <c r="AA68" s="430"/>
      <c r="AB68" s="431"/>
    </row>
    <row r="69" spans="1:33">
      <c r="A69" s="184"/>
      <c r="B69" s="216"/>
    </row>
    <row r="70" spans="1:33">
      <c r="A70" s="184"/>
      <c r="B70" s="216"/>
    </row>
    <row r="71" spans="1:33">
      <c r="A71" s="184"/>
      <c r="B71" s="216"/>
    </row>
    <row r="72" spans="1:33">
      <c r="A72" s="184"/>
      <c r="B72" s="216"/>
    </row>
    <row r="73" spans="1:33" ht="17.25" thickBot="1">
      <c r="A73" s="216" t="s">
        <v>371</v>
      </c>
      <c r="B73" s="432"/>
    </row>
    <row r="74" spans="1:33">
      <c r="A74" s="433" t="s">
        <v>188</v>
      </c>
      <c r="B74" s="297">
        <v>151</v>
      </c>
      <c r="C74" s="297">
        <v>201</v>
      </c>
      <c r="D74" s="297">
        <v>251</v>
      </c>
      <c r="E74" s="297">
        <v>301</v>
      </c>
      <c r="F74" s="309">
        <v>302</v>
      </c>
      <c r="G74" s="297">
        <v>376</v>
      </c>
      <c r="H74" s="297">
        <v>377</v>
      </c>
      <c r="I74" s="297">
        <v>451</v>
      </c>
      <c r="J74" s="297">
        <v>452</v>
      </c>
      <c r="K74" s="297">
        <v>455</v>
      </c>
      <c r="L74" s="297">
        <v>527</v>
      </c>
      <c r="M74" s="297">
        <v>529</v>
      </c>
      <c r="N74" s="297">
        <v>530</v>
      </c>
      <c r="O74" s="297">
        <v>602</v>
      </c>
      <c r="P74" s="297">
        <v>604</v>
      </c>
      <c r="Q74" s="297">
        <v>605</v>
      </c>
      <c r="R74" s="297">
        <v>677</v>
      </c>
      <c r="S74" s="297">
        <v>679</v>
      </c>
      <c r="T74" s="297">
        <v>680</v>
      </c>
      <c r="U74" s="297">
        <v>752</v>
      </c>
      <c r="V74" s="297">
        <v>754</v>
      </c>
      <c r="W74" s="297">
        <v>755</v>
      </c>
      <c r="X74" s="297">
        <v>827</v>
      </c>
      <c r="Y74" s="297">
        <v>829</v>
      </c>
      <c r="Z74" s="297">
        <v>830</v>
      </c>
      <c r="AA74" s="297">
        <v>902</v>
      </c>
      <c r="AB74" s="297">
        <v>904</v>
      </c>
      <c r="AC74" s="297">
        <v>905</v>
      </c>
      <c r="AD74" s="297">
        <v>977</v>
      </c>
      <c r="AE74" s="297">
        <v>978</v>
      </c>
      <c r="AF74" s="142">
        <v>979</v>
      </c>
      <c r="AG74" s="142">
        <v>980</v>
      </c>
    </row>
    <row r="75" spans="1:33">
      <c r="A75" s="434" t="s">
        <v>189</v>
      </c>
      <c r="B75" s="309">
        <v>0</v>
      </c>
      <c r="C75" s="309">
        <v>0</v>
      </c>
      <c r="D75" s="309">
        <v>0</v>
      </c>
      <c r="E75" s="309">
        <v>0</v>
      </c>
      <c r="F75" s="309">
        <v>125.6</v>
      </c>
      <c r="G75" s="309">
        <v>0</v>
      </c>
      <c r="H75" s="309">
        <v>154.9</v>
      </c>
      <c r="I75" s="309">
        <v>0</v>
      </c>
      <c r="J75" s="302">
        <v>159.5</v>
      </c>
      <c r="K75" s="302">
        <v>199.6</v>
      </c>
      <c r="L75" s="309">
        <v>174.1</v>
      </c>
      <c r="M75" s="302">
        <v>203.4</v>
      </c>
      <c r="N75" s="309">
        <v>240.1</v>
      </c>
      <c r="O75" s="309">
        <v>234.4</v>
      </c>
      <c r="P75" s="302">
        <v>269</v>
      </c>
      <c r="Q75" s="435">
        <v>316.60000000000002</v>
      </c>
      <c r="R75" s="302">
        <v>359.2</v>
      </c>
      <c r="S75" s="302">
        <v>408.8</v>
      </c>
      <c r="T75" s="302">
        <v>479</v>
      </c>
      <c r="U75" s="302">
        <v>473.4</v>
      </c>
      <c r="V75" s="302">
        <v>541.1</v>
      </c>
      <c r="W75" s="302">
        <v>632.4</v>
      </c>
      <c r="X75" s="302">
        <v>549.1</v>
      </c>
      <c r="Y75" s="302">
        <v>698.3</v>
      </c>
      <c r="Z75" s="302">
        <v>733.9</v>
      </c>
      <c r="AA75" s="302">
        <v>658.8</v>
      </c>
      <c r="AB75" s="436">
        <v>753.6</v>
      </c>
      <c r="AC75" s="435">
        <v>879.9</v>
      </c>
      <c r="AD75" s="435">
        <v>722.8</v>
      </c>
      <c r="AE75" s="302">
        <v>760.9</v>
      </c>
      <c r="AF75" s="142">
        <v>865.8</v>
      </c>
      <c r="AG75" s="142">
        <v>1013.4</v>
      </c>
    </row>
    <row r="76" spans="1:33">
      <c r="A76" s="437">
        <v>42064</v>
      </c>
      <c r="B76" s="309">
        <v>1052</v>
      </c>
      <c r="C76" s="309">
        <v>1053</v>
      </c>
      <c r="D76" s="309">
        <v>1054</v>
      </c>
      <c r="E76" s="309">
        <v>1055</v>
      </c>
      <c r="F76" s="309">
        <v>1202</v>
      </c>
      <c r="G76" s="309">
        <v>1203</v>
      </c>
      <c r="H76" s="309">
        <v>1204</v>
      </c>
      <c r="I76" s="309">
        <v>1205</v>
      </c>
      <c r="J76" s="309">
        <v>1352</v>
      </c>
      <c r="K76" s="309">
        <v>1353</v>
      </c>
      <c r="L76" s="309">
        <v>1354</v>
      </c>
      <c r="M76" s="309">
        <v>1355</v>
      </c>
      <c r="N76" s="309">
        <v>1502</v>
      </c>
      <c r="O76" s="309">
        <v>1503</v>
      </c>
      <c r="P76" s="309">
        <v>1504</v>
      </c>
      <c r="Q76" s="309">
        <v>1505</v>
      </c>
      <c r="R76" s="309">
        <v>1652</v>
      </c>
      <c r="S76" s="309">
        <v>1653</v>
      </c>
      <c r="T76" s="309">
        <v>1654</v>
      </c>
      <c r="U76" s="309">
        <v>1655</v>
      </c>
      <c r="V76" s="309">
        <v>1802</v>
      </c>
      <c r="W76" s="309">
        <v>1803</v>
      </c>
      <c r="X76" s="309">
        <v>1804</v>
      </c>
      <c r="Y76" s="309">
        <v>1805</v>
      </c>
      <c r="Z76" s="309">
        <v>1952</v>
      </c>
      <c r="AA76" s="309">
        <v>1953</v>
      </c>
      <c r="AB76" s="309">
        <v>1954</v>
      </c>
      <c r="AC76" s="309">
        <v>1955</v>
      </c>
      <c r="AD76" s="309">
        <v>2102</v>
      </c>
      <c r="AE76" s="309">
        <v>2103</v>
      </c>
      <c r="AF76" s="142">
        <v>2104</v>
      </c>
      <c r="AG76" s="142">
        <v>2105</v>
      </c>
    </row>
    <row r="77" spans="1:33" ht="17.25" thickBot="1">
      <c r="A77" s="438" t="s">
        <v>190</v>
      </c>
      <c r="B77" s="313">
        <v>827.8</v>
      </c>
      <c r="C77" s="313">
        <v>869.3</v>
      </c>
      <c r="D77" s="313">
        <v>995.3</v>
      </c>
      <c r="E77" s="313">
        <v>1159.5</v>
      </c>
      <c r="F77" s="313">
        <v>1037.5</v>
      </c>
      <c r="G77" s="313">
        <v>1089.8</v>
      </c>
      <c r="H77" s="313">
        <v>1246.7</v>
      </c>
      <c r="I77" s="313">
        <v>1452.7</v>
      </c>
      <c r="J77" s="439">
        <v>1334.2</v>
      </c>
      <c r="K77" s="439">
        <v>1400.8</v>
      </c>
      <c r="L77" s="313">
        <v>1602.5</v>
      </c>
      <c r="M77" s="439">
        <v>1866.2</v>
      </c>
      <c r="N77" s="313">
        <v>1631.9</v>
      </c>
      <c r="O77" s="313">
        <v>1712.7</v>
      </c>
      <c r="P77" s="439">
        <v>1958.1</v>
      </c>
      <c r="Q77" s="440">
        <v>2284.6</v>
      </c>
      <c r="R77" s="439">
        <v>1954.2</v>
      </c>
      <c r="S77" s="439">
        <v>2053.4</v>
      </c>
      <c r="T77" s="439">
        <v>2346.9</v>
      </c>
      <c r="U77" s="439">
        <v>2736.1</v>
      </c>
      <c r="V77" s="439">
        <v>2361.3000000000002</v>
      </c>
      <c r="W77" s="439">
        <v>2482.6999999999998</v>
      </c>
      <c r="X77" s="439">
        <v>2834.3</v>
      </c>
      <c r="Y77" s="439">
        <v>3307.4</v>
      </c>
      <c r="Z77" s="439">
        <v>2738.5</v>
      </c>
      <c r="AA77" s="439">
        <v>2878.7</v>
      </c>
      <c r="AB77" s="313">
        <v>3285.5</v>
      </c>
      <c r="AC77" s="440">
        <v>3835.3</v>
      </c>
      <c r="AD77" s="440">
        <v>3142.4</v>
      </c>
      <c r="AE77" s="439">
        <v>3296.3</v>
      </c>
      <c r="AF77" s="142">
        <v>3769.8</v>
      </c>
      <c r="AG77" s="142">
        <v>4396.8</v>
      </c>
    </row>
    <row r="78" spans="1:33">
      <c r="A78" s="216"/>
      <c r="J78" s="441"/>
      <c r="K78" s="441"/>
      <c r="M78" s="441"/>
      <c r="P78" s="441"/>
      <c r="Q78" s="442"/>
      <c r="R78" s="441"/>
      <c r="S78" s="441"/>
      <c r="T78" s="441"/>
      <c r="U78" s="441"/>
      <c r="V78" s="441"/>
      <c r="W78" s="441"/>
      <c r="X78" s="441"/>
      <c r="Y78" s="441"/>
      <c r="Z78" s="441"/>
      <c r="AA78" s="441"/>
      <c r="AC78" s="442"/>
      <c r="AD78" s="442"/>
      <c r="AE78" s="441"/>
    </row>
    <row r="79" spans="1:33" ht="17.25" thickBot="1">
      <c r="A79" s="216" t="s">
        <v>191</v>
      </c>
      <c r="J79" s="441"/>
      <c r="K79" s="441"/>
      <c r="M79" s="441"/>
      <c r="P79" s="441"/>
      <c r="Q79" s="442"/>
      <c r="R79" s="441"/>
      <c r="S79" s="441"/>
      <c r="T79" s="441"/>
      <c r="U79" s="441"/>
      <c r="V79" s="441"/>
      <c r="W79" s="441"/>
      <c r="X79" s="441"/>
      <c r="Y79" s="441"/>
      <c r="Z79" s="441"/>
      <c r="AA79" s="441"/>
      <c r="AC79" s="442"/>
      <c r="AD79" s="442"/>
      <c r="AE79" s="441"/>
    </row>
    <row r="80" spans="1:33">
      <c r="A80" s="443" t="s">
        <v>192</v>
      </c>
      <c r="B80" s="289"/>
      <c r="C80" s="289">
        <v>1</v>
      </c>
      <c r="D80" s="289">
        <v>1.2</v>
      </c>
      <c r="E80" s="289">
        <v>1.4</v>
      </c>
      <c r="F80" s="289">
        <v>1.6</v>
      </c>
      <c r="G80" s="289">
        <v>1.8</v>
      </c>
      <c r="H80" s="289">
        <v>2</v>
      </c>
      <c r="I80" s="289">
        <v>2.2000000000000002</v>
      </c>
      <c r="J80" s="289">
        <v>2.2999999999999998</v>
      </c>
      <c r="K80" s="289">
        <v>2.4</v>
      </c>
      <c r="L80" s="289">
        <v>2.6</v>
      </c>
      <c r="M80" s="289">
        <v>2.8</v>
      </c>
      <c r="N80" s="289">
        <v>3</v>
      </c>
      <c r="O80" s="289">
        <v>3.2</v>
      </c>
      <c r="P80" s="289">
        <v>3.4</v>
      </c>
      <c r="Q80" s="289">
        <v>3.6</v>
      </c>
      <c r="R80" s="289">
        <v>3.8</v>
      </c>
      <c r="S80" s="289">
        <v>4</v>
      </c>
      <c r="T80" s="289">
        <v>4.2</v>
      </c>
      <c r="U80" s="289">
        <v>4.4000000000000004</v>
      </c>
      <c r="V80" s="289">
        <v>4.5999999999999996</v>
      </c>
      <c r="W80" s="289">
        <v>4.8</v>
      </c>
      <c r="X80" s="289">
        <v>5</v>
      </c>
      <c r="Y80" s="289">
        <v>5.2</v>
      </c>
      <c r="Z80" s="289">
        <v>5.4</v>
      </c>
      <c r="AA80" s="289">
        <v>5.6</v>
      </c>
      <c r="AB80" s="289">
        <v>5.8</v>
      </c>
      <c r="AC80" s="291">
        <v>6</v>
      </c>
    </row>
    <row r="81" spans="1:32">
      <c r="A81" s="444" t="s">
        <v>193</v>
      </c>
      <c r="B81" s="445"/>
      <c r="C81" s="445">
        <v>120</v>
      </c>
      <c r="D81" s="445">
        <v>135</v>
      </c>
      <c r="E81" s="445">
        <v>160</v>
      </c>
      <c r="F81" s="445">
        <v>180</v>
      </c>
      <c r="G81" s="445">
        <v>240</v>
      </c>
      <c r="H81" s="445">
        <v>270</v>
      </c>
      <c r="I81" s="445">
        <v>325</v>
      </c>
      <c r="J81" s="445">
        <v>350</v>
      </c>
      <c r="K81" s="445">
        <v>380</v>
      </c>
      <c r="L81" s="445">
        <v>440</v>
      </c>
      <c r="M81" s="445">
        <v>500</v>
      </c>
      <c r="N81" s="445">
        <v>550</v>
      </c>
      <c r="O81" s="445">
        <v>605</v>
      </c>
      <c r="P81" s="445">
        <v>665</v>
      </c>
      <c r="Q81" s="445">
        <v>710</v>
      </c>
      <c r="R81" s="445">
        <v>760</v>
      </c>
      <c r="S81" s="445">
        <v>800</v>
      </c>
      <c r="T81" s="445">
        <v>850</v>
      </c>
      <c r="U81" s="445">
        <v>900</v>
      </c>
      <c r="V81" s="445">
        <v>920</v>
      </c>
      <c r="W81" s="445">
        <v>925</v>
      </c>
      <c r="X81" s="445">
        <v>925</v>
      </c>
      <c r="Y81" s="445">
        <v>920</v>
      </c>
      <c r="Z81" s="445">
        <v>900</v>
      </c>
      <c r="AA81" s="445">
        <v>830</v>
      </c>
      <c r="AB81" s="445">
        <v>750</v>
      </c>
      <c r="AC81" s="446">
        <v>710</v>
      </c>
    </row>
    <row r="82" spans="1:32">
      <c r="A82" s="444" t="s">
        <v>194</v>
      </c>
      <c r="B82" s="445"/>
      <c r="C82" s="445">
        <v>1</v>
      </c>
      <c r="D82" s="445">
        <v>1.2</v>
      </c>
      <c r="E82" s="445">
        <v>1.4</v>
      </c>
      <c r="F82" s="445">
        <v>1.6</v>
      </c>
      <c r="G82" s="445">
        <v>1.8</v>
      </c>
      <c r="H82" s="445">
        <v>2</v>
      </c>
      <c r="I82" s="445">
        <v>2.2000000000000002</v>
      </c>
      <c r="J82" s="445">
        <v>2.2999999999999998</v>
      </c>
      <c r="K82" s="445">
        <v>2.4</v>
      </c>
      <c r="L82" s="445">
        <v>2.6</v>
      </c>
      <c r="M82" s="445">
        <v>2.8</v>
      </c>
      <c r="N82" s="445">
        <v>3</v>
      </c>
      <c r="O82" s="445">
        <v>3.2</v>
      </c>
      <c r="P82" s="445">
        <v>3.4</v>
      </c>
      <c r="Q82" s="445">
        <v>3.6</v>
      </c>
      <c r="R82" s="445">
        <v>3.8</v>
      </c>
      <c r="S82" s="445">
        <v>4</v>
      </c>
      <c r="T82" s="445">
        <v>4.2</v>
      </c>
      <c r="U82" s="445">
        <v>4.4000000000000004</v>
      </c>
      <c r="V82" s="445">
        <v>4.5999999999999996</v>
      </c>
      <c r="W82" s="445">
        <v>4.8</v>
      </c>
      <c r="X82" s="445">
        <v>5</v>
      </c>
      <c r="Y82" s="445">
        <v>5.2</v>
      </c>
      <c r="Z82" s="445">
        <v>5.4</v>
      </c>
      <c r="AA82" s="445">
        <v>5.6</v>
      </c>
      <c r="AB82" s="445">
        <v>5.8</v>
      </c>
      <c r="AC82" s="446">
        <v>6</v>
      </c>
    </row>
    <row r="83" spans="1:32" ht="17.25" thickBot="1">
      <c r="A83" s="447" t="s">
        <v>195</v>
      </c>
      <c r="B83" s="293"/>
      <c r="C83" s="293">
        <v>74</v>
      </c>
      <c r="D83" s="293">
        <v>98</v>
      </c>
      <c r="E83" s="293">
        <v>119</v>
      </c>
      <c r="F83" s="293">
        <v>145</v>
      </c>
      <c r="G83" s="293">
        <v>165</v>
      </c>
      <c r="H83" s="293">
        <v>175</v>
      </c>
      <c r="I83" s="293">
        <v>180</v>
      </c>
      <c r="J83" s="293">
        <v>183</v>
      </c>
      <c r="K83" s="293">
        <v>185</v>
      </c>
      <c r="L83" s="293">
        <v>190</v>
      </c>
      <c r="M83" s="293">
        <v>195</v>
      </c>
      <c r="N83" s="293">
        <v>200</v>
      </c>
      <c r="O83" s="293">
        <v>203</v>
      </c>
      <c r="P83" s="293">
        <v>203</v>
      </c>
      <c r="Q83" s="293">
        <v>203</v>
      </c>
      <c r="R83" s="293">
        <v>203</v>
      </c>
      <c r="S83" s="293">
        <v>203</v>
      </c>
      <c r="T83" s="293">
        <v>203</v>
      </c>
      <c r="U83" s="293">
        <v>203</v>
      </c>
      <c r="V83" s="293">
        <v>203</v>
      </c>
      <c r="W83" s="293">
        <v>203</v>
      </c>
      <c r="X83" s="293">
        <v>203</v>
      </c>
      <c r="Y83" s="293">
        <v>203</v>
      </c>
      <c r="Z83" s="293">
        <v>203</v>
      </c>
      <c r="AA83" s="293">
        <v>203</v>
      </c>
      <c r="AB83" s="293">
        <v>203</v>
      </c>
      <c r="AC83" s="295">
        <v>196</v>
      </c>
    </row>
    <row r="84" spans="1:32">
      <c r="A84" s="216"/>
    </row>
    <row r="85" spans="1:32" ht="17.25" thickBot="1">
      <c r="A85" s="216" t="s">
        <v>196</v>
      </c>
    </row>
    <row r="86" spans="1:32">
      <c r="A86" s="448" t="s">
        <v>197</v>
      </c>
      <c r="B86" s="449"/>
      <c r="C86" s="449">
        <v>100</v>
      </c>
      <c r="D86" s="449">
        <v>150</v>
      </c>
      <c r="E86" s="449">
        <v>200</v>
      </c>
      <c r="F86" s="449">
        <v>250</v>
      </c>
      <c r="G86" s="449">
        <v>300</v>
      </c>
      <c r="H86" s="450">
        <v>375</v>
      </c>
      <c r="I86" s="450">
        <v>450</v>
      </c>
      <c r="J86" s="449">
        <v>0</v>
      </c>
      <c r="K86" s="449">
        <v>0</v>
      </c>
      <c r="L86" s="449">
        <v>2.4</v>
      </c>
      <c r="M86" s="451">
        <v>3</v>
      </c>
      <c r="N86" s="449">
        <v>3.7</v>
      </c>
      <c r="O86" s="449">
        <v>4.3</v>
      </c>
      <c r="P86" s="451">
        <v>4.9000000000000004</v>
      </c>
      <c r="Q86" s="452">
        <v>5.5</v>
      </c>
      <c r="R86" s="451">
        <v>6.1</v>
      </c>
      <c r="S86" s="451">
        <v>6.7</v>
      </c>
      <c r="T86" s="451">
        <v>7.3</v>
      </c>
      <c r="U86" s="453">
        <v>7.6</v>
      </c>
    </row>
    <row r="87" spans="1:32" ht="17.25" thickBot="1">
      <c r="A87" s="454" t="s">
        <v>146</v>
      </c>
      <c r="B87" s="455" t="s">
        <v>370</v>
      </c>
      <c r="C87" s="456">
        <v>18</v>
      </c>
      <c r="D87" s="456">
        <v>31</v>
      </c>
      <c r="E87" s="456">
        <v>46</v>
      </c>
      <c r="F87" s="456">
        <v>70</v>
      </c>
      <c r="G87" s="457">
        <v>99</v>
      </c>
      <c r="H87" s="457">
        <v>133</v>
      </c>
      <c r="I87" s="457">
        <v>219</v>
      </c>
      <c r="J87" s="458">
        <v>0</v>
      </c>
      <c r="K87" s="458">
        <v>0</v>
      </c>
      <c r="L87" s="458">
        <v>0.1</v>
      </c>
      <c r="M87" s="459">
        <v>0.2</v>
      </c>
      <c r="N87" s="458">
        <v>0.4</v>
      </c>
      <c r="O87" s="458">
        <v>0.7</v>
      </c>
      <c r="P87" s="459">
        <v>0.9</v>
      </c>
      <c r="Q87" s="460">
        <v>1.2</v>
      </c>
      <c r="R87" s="459">
        <v>1.5</v>
      </c>
      <c r="S87" s="459">
        <v>1.6</v>
      </c>
      <c r="T87" s="458">
        <v>1.8</v>
      </c>
      <c r="U87" s="461">
        <v>2</v>
      </c>
      <c r="AF87" s="216"/>
    </row>
    <row r="88" spans="1:32">
      <c r="C88" s="142" t="s">
        <v>198</v>
      </c>
      <c r="D88" s="142" t="s">
        <v>198</v>
      </c>
      <c r="E88" s="142" t="s">
        <v>369</v>
      </c>
      <c r="F88" s="142" t="s">
        <v>369</v>
      </c>
      <c r="G88" s="142" t="s">
        <v>369</v>
      </c>
      <c r="H88" s="142" t="s">
        <v>369</v>
      </c>
      <c r="I88" s="142" t="s">
        <v>369</v>
      </c>
    </row>
  </sheetData>
  <mergeCells count="1">
    <mergeCell ref="A1:AE1"/>
  </mergeCells>
  <printOptions horizontalCentered="1" verticalCentered="1" gridLines="1"/>
  <pageMargins left="0.5" right="0.25" top="0.25" bottom="0.25" header="0.25" footer="0.25"/>
  <pageSetup paperSize="3" scale="61" orientation="landscape" horizontalDpi="4294967295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BT88"/>
  <sheetViews>
    <sheetView view="pageBreakPreview" zoomScale="70" zoomScaleNormal="100" zoomScaleSheetLayoutView="70" workbookViewId="0">
      <selection activeCell="S8" sqref="S8"/>
    </sheetView>
  </sheetViews>
  <sheetFormatPr defaultColWidth="12.42578125" defaultRowHeight="16.5"/>
  <cols>
    <col min="1" max="1" width="6.7109375" style="142" customWidth="1"/>
    <col min="2" max="2" width="25.28515625" style="142" customWidth="1"/>
    <col min="3" max="3" width="10" style="142" customWidth="1"/>
    <col min="4" max="5" width="7.5703125" style="142" customWidth="1"/>
    <col min="6" max="6" width="9" style="142" customWidth="1"/>
    <col min="7" max="7" width="7.140625" style="142" customWidth="1"/>
    <col min="8" max="8" width="10.5703125" style="142" bestFit="1" customWidth="1"/>
    <col min="9" max="9" width="9.85546875" style="142" customWidth="1"/>
    <col min="10" max="10" width="7.7109375" style="142" customWidth="1"/>
    <col min="11" max="11" width="9.85546875" style="142" customWidth="1"/>
    <col min="12" max="12" width="7.42578125" style="142" bestFit="1" customWidth="1"/>
    <col min="13" max="13" width="9.85546875" style="142" customWidth="1"/>
    <col min="14" max="14" width="8.85546875" style="142" customWidth="1"/>
    <col min="15" max="15" width="11.140625" style="142" bestFit="1" customWidth="1"/>
    <col min="16" max="17" width="9" style="142" customWidth="1"/>
    <col min="18" max="18" width="9.140625" style="142" customWidth="1"/>
    <col min="19" max="19" width="9.85546875" style="142" customWidth="1"/>
    <col min="20" max="20" width="10.5703125" style="142" customWidth="1"/>
    <col min="21" max="21" width="12.140625" style="142" customWidth="1"/>
    <col min="22" max="22" width="11.140625" style="142" customWidth="1"/>
    <col min="23" max="23" width="11.5703125" style="142" bestFit="1" customWidth="1"/>
    <col min="24" max="24" width="12" style="142" bestFit="1" customWidth="1"/>
    <col min="25" max="25" width="16.28515625" style="142" bestFit="1" customWidth="1"/>
    <col min="26" max="26" width="13.42578125" style="142" customWidth="1"/>
    <col min="27" max="27" width="14.42578125" style="142" customWidth="1"/>
    <col min="28" max="28" width="18.7109375" style="142" bestFit="1" customWidth="1"/>
    <col min="29" max="29" width="8.7109375" style="142" bestFit="1" customWidth="1"/>
    <col min="30" max="30" width="12.5703125" style="142" bestFit="1" customWidth="1"/>
    <col min="31" max="31" width="16.7109375" style="142" bestFit="1" customWidth="1"/>
    <col min="32" max="32" width="11.140625" style="142" bestFit="1" customWidth="1"/>
    <col min="33" max="72" width="12.42578125" style="142"/>
    <col min="73" max="255" width="12.42578125" style="145"/>
    <col min="256" max="256" width="6.7109375" style="145" customWidth="1"/>
    <col min="257" max="257" width="25.28515625" style="145" customWidth="1"/>
    <col min="258" max="258" width="10" style="145" customWidth="1"/>
    <col min="259" max="260" width="7.5703125" style="145" customWidth="1"/>
    <col min="261" max="261" width="9" style="145" customWidth="1"/>
    <col min="262" max="262" width="7.140625" style="145" customWidth="1"/>
    <col min="263" max="263" width="10.5703125" style="145" bestFit="1" customWidth="1"/>
    <col min="264" max="264" width="9.85546875" style="145" customWidth="1"/>
    <col min="265" max="265" width="7.7109375" style="145" customWidth="1"/>
    <col min="266" max="266" width="9.85546875" style="145" customWidth="1"/>
    <col min="267" max="267" width="7.42578125" style="145" bestFit="1" customWidth="1"/>
    <col min="268" max="268" width="9.85546875" style="145" customWidth="1"/>
    <col min="269" max="269" width="8.85546875" style="145" customWidth="1"/>
    <col min="270" max="270" width="11.140625" style="145" bestFit="1" customWidth="1"/>
    <col min="271" max="272" width="9" style="145" customWidth="1"/>
    <col min="273" max="273" width="9.140625" style="145" customWidth="1"/>
    <col min="274" max="274" width="9.85546875" style="145" customWidth="1"/>
    <col min="275" max="275" width="10.5703125" style="145" customWidth="1"/>
    <col min="276" max="276" width="12.140625" style="145" customWidth="1"/>
    <col min="277" max="277" width="11.140625" style="145" customWidth="1"/>
    <col min="278" max="278" width="11.5703125" style="145" bestFit="1" customWidth="1"/>
    <col min="279" max="279" width="12" style="145" bestFit="1" customWidth="1"/>
    <col min="280" max="280" width="16.28515625" style="145" bestFit="1" customWidth="1"/>
    <col min="281" max="281" width="13.42578125" style="145" customWidth="1"/>
    <col min="282" max="282" width="14.42578125" style="145" customWidth="1"/>
    <col min="283" max="283" width="18.7109375" style="145" bestFit="1" customWidth="1"/>
    <col min="284" max="284" width="7.85546875" style="145" customWidth="1"/>
    <col min="285" max="285" width="9.85546875" style="145" customWidth="1"/>
    <col min="286" max="287" width="11" style="145" bestFit="1" customWidth="1"/>
    <col min="288" max="288" width="11.140625" style="145" bestFit="1" customWidth="1"/>
    <col min="289" max="511" width="12.42578125" style="145"/>
    <col min="512" max="512" width="6.7109375" style="145" customWidth="1"/>
    <col min="513" max="513" width="25.28515625" style="145" customWidth="1"/>
    <col min="514" max="514" width="10" style="145" customWidth="1"/>
    <col min="515" max="516" width="7.5703125" style="145" customWidth="1"/>
    <col min="517" max="517" width="9" style="145" customWidth="1"/>
    <col min="518" max="518" width="7.140625" style="145" customWidth="1"/>
    <col min="519" max="519" width="10.5703125" style="145" bestFit="1" customWidth="1"/>
    <col min="520" max="520" width="9.85546875" style="145" customWidth="1"/>
    <col min="521" max="521" width="7.7109375" style="145" customWidth="1"/>
    <col min="522" max="522" width="9.85546875" style="145" customWidth="1"/>
    <col min="523" max="523" width="7.42578125" style="145" bestFit="1" customWidth="1"/>
    <col min="524" max="524" width="9.85546875" style="145" customWidth="1"/>
    <col min="525" max="525" width="8.85546875" style="145" customWidth="1"/>
    <col min="526" max="526" width="11.140625" style="145" bestFit="1" customWidth="1"/>
    <col min="527" max="528" width="9" style="145" customWidth="1"/>
    <col min="529" max="529" width="9.140625" style="145" customWidth="1"/>
    <col min="530" max="530" width="9.85546875" style="145" customWidth="1"/>
    <col min="531" max="531" width="10.5703125" style="145" customWidth="1"/>
    <col min="532" max="532" width="12.140625" style="145" customWidth="1"/>
    <col min="533" max="533" width="11.140625" style="145" customWidth="1"/>
    <col min="534" max="534" width="11.5703125" style="145" bestFit="1" customWidth="1"/>
    <col min="535" max="535" width="12" style="145" bestFit="1" customWidth="1"/>
    <col min="536" max="536" width="16.28515625" style="145" bestFit="1" customWidth="1"/>
    <col min="537" max="537" width="13.42578125" style="145" customWidth="1"/>
    <col min="538" max="538" width="14.42578125" style="145" customWidth="1"/>
    <col min="539" max="539" width="18.7109375" style="145" bestFit="1" customWidth="1"/>
    <col min="540" max="540" width="7.85546875" style="145" customWidth="1"/>
    <col min="541" max="541" width="9.85546875" style="145" customWidth="1"/>
    <col min="542" max="543" width="11" style="145" bestFit="1" customWidth="1"/>
    <col min="544" max="544" width="11.140625" style="145" bestFit="1" customWidth="1"/>
    <col min="545" max="767" width="12.42578125" style="145"/>
    <col min="768" max="768" width="6.7109375" style="145" customWidth="1"/>
    <col min="769" max="769" width="25.28515625" style="145" customWidth="1"/>
    <col min="770" max="770" width="10" style="145" customWidth="1"/>
    <col min="771" max="772" width="7.5703125" style="145" customWidth="1"/>
    <col min="773" max="773" width="9" style="145" customWidth="1"/>
    <col min="774" max="774" width="7.140625" style="145" customWidth="1"/>
    <col min="775" max="775" width="10.5703125" style="145" bestFit="1" customWidth="1"/>
    <col min="776" max="776" width="9.85546875" style="145" customWidth="1"/>
    <col min="777" max="777" width="7.7109375" style="145" customWidth="1"/>
    <col min="778" max="778" width="9.85546875" style="145" customWidth="1"/>
    <col min="779" max="779" width="7.42578125" style="145" bestFit="1" customWidth="1"/>
    <col min="780" max="780" width="9.85546875" style="145" customWidth="1"/>
    <col min="781" max="781" width="8.85546875" style="145" customWidth="1"/>
    <col min="782" max="782" width="11.140625" style="145" bestFit="1" customWidth="1"/>
    <col min="783" max="784" width="9" style="145" customWidth="1"/>
    <col min="785" max="785" width="9.140625" style="145" customWidth="1"/>
    <col min="786" max="786" width="9.85546875" style="145" customWidth="1"/>
    <col min="787" max="787" width="10.5703125" style="145" customWidth="1"/>
    <col min="788" max="788" width="12.140625" style="145" customWidth="1"/>
    <col min="789" max="789" width="11.140625" style="145" customWidth="1"/>
    <col min="790" max="790" width="11.5703125" style="145" bestFit="1" customWidth="1"/>
    <col min="791" max="791" width="12" style="145" bestFit="1" customWidth="1"/>
    <col min="792" max="792" width="16.28515625" style="145" bestFit="1" customWidth="1"/>
    <col min="793" max="793" width="13.42578125" style="145" customWidth="1"/>
    <col min="794" max="794" width="14.42578125" style="145" customWidth="1"/>
    <col min="795" max="795" width="18.7109375" style="145" bestFit="1" customWidth="1"/>
    <col min="796" max="796" width="7.85546875" style="145" customWidth="1"/>
    <col min="797" max="797" width="9.85546875" style="145" customWidth="1"/>
    <col min="798" max="799" width="11" style="145" bestFit="1" customWidth="1"/>
    <col min="800" max="800" width="11.140625" style="145" bestFit="1" customWidth="1"/>
    <col min="801" max="1023" width="12.42578125" style="145"/>
    <col min="1024" max="1024" width="6.7109375" style="145" customWidth="1"/>
    <col min="1025" max="1025" width="25.28515625" style="145" customWidth="1"/>
    <col min="1026" max="1026" width="10" style="145" customWidth="1"/>
    <col min="1027" max="1028" width="7.5703125" style="145" customWidth="1"/>
    <col min="1029" max="1029" width="9" style="145" customWidth="1"/>
    <col min="1030" max="1030" width="7.140625" style="145" customWidth="1"/>
    <col min="1031" max="1031" width="10.5703125" style="145" bestFit="1" customWidth="1"/>
    <col min="1032" max="1032" width="9.85546875" style="145" customWidth="1"/>
    <col min="1033" max="1033" width="7.7109375" style="145" customWidth="1"/>
    <col min="1034" max="1034" width="9.85546875" style="145" customWidth="1"/>
    <col min="1035" max="1035" width="7.42578125" style="145" bestFit="1" customWidth="1"/>
    <col min="1036" max="1036" width="9.85546875" style="145" customWidth="1"/>
    <col min="1037" max="1037" width="8.85546875" style="145" customWidth="1"/>
    <col min="1038" max="1038" width="11.140625" style="145" bestFit="1" customWidth="1"/>
    <col min="1039" max="1040" width="9" style="145" customWidth="1"/>
    <col min="1041" max="1041" width="9.140625" style="145" customWidth="1"/>
    <col min="1042" max="1042" width="9.85546875" style="145" customWidth="1"/>
    <col min="1043" max="1043" width="10.5703125" style="145" customWidth="1"/>
    <col min="1044" max="1044" width="12.140625" style="145" customWidth="1"/>
    <col min="1045" max="1045" width="11.140625" style="145" customWidth="1"/>
    <col min="1046" max="1046" width="11.5703125" style="145" bestFit="1" customWidth="1"/>
    <col min="1047" max="1047" width="12" style="145" bestFit="1" customWidth="1"/>
    <col min="1048" max="1048" width="16.28515625" style="145" bestFit="1" customWidth="1"/>
    <col min="1049" max="1049" width="13.42578125" style="145" customWidth="1"/>
    <col min="1050" max="1050" width="14.42578125" style="145" customWidth="1"/>
    <col min="1051" max="1051" width="18.7109375" style="145" bestFit="1" customWidth="1"/>
    <col min="1052" max="1052" width="7.85546875" style="145" customWidth="1"/>
    <col min="1053" max="1053" width="9.85546875" style="145" customWidth="1"/>
    <col min="1054" max="1055" width="11" style="145" bestFit="1" customWidth="1"/>
    <col min="1056" max="1056" width="11.140625" style="145" bestFit="1" customWidth="1"/>
    <col min="1057" max="1279" width="12.42578125" style="145"/>
    <col min="1280" max="1280" width="6.7109375" style="145" customWidth="1"/>
    <col min="1281" max="1281" width="25.28515625" style="145" customWidth="1"/>
    <col min="1282" max="1282" width="10" style="145" customWidth="1"/>
    <col min="1283" max="1284" width="7.5703125" style="145" customWidth="1"/>
    <col min="1285" max="1285" width="9" style="145" customWidth="1"/>
    <col min="1286" max="1286" width="7.140625" style="145" customWidth="1"/>
    <col min="1287" max="1287" width="10.5703125" style="145" bestFit="1" customWidth="1"/>
    <col min="1288" max="1288" width="9.85546875" style="145" customWidth="1"/>
    <col min="1289" max="1289" width="7.7109375" style="145" customWidth="1"/>
    <col min="1290" max="1290" width="9.85546875" style="145" customWidth="1"/>
    <col min="1291" max="1291" width="7.42578125" style="145" bestFit="1" customWidth="1"/>
    <col min="1292" max="1292" width="9.85546875" style="145" customWidth="1"/>
    <col min="1293" max="1293" width="8.85546875" style="145" customWidth="1"/>
    <col min="1294" max="1294" width="11.140625" style="145" bestFit="1" customWidth="1"/>
    <col min="1295" max="1296" width="9" style="145" customWidth="1"/>
    <col min="1297" max="1297" width="9.140625" style="145" customWidth="1"/>
    <col min="1298" max="1298" width="9.85546875" style="145" customWidth="1"/>
    <col min="1299" max="1299" width="10.5703125" style="145" customWidth="1"/>
    <col min="1300" max="1300" width="12.140625" style="145" customWidth="1"/>
    <col min="1301" max="1301" width="11.140625" style="145" customWidth="1"/>
    <col min="1302" max="1302" width="11.5703125" style="145" bestFit="1" customWidth="1"/>
    <col min="1303" max="1303" width="12" style="145" bestFit="1" customWidth="1"/>
    <col min="1304" max="1304" width="16.28515625" style="145" bestFit="1" customWidth="1"/>
    <col min="1305" max="1305" width="13.42578125" style="145" customWidth="1"/>
    <col min="1306" max="1306" width="14.42578125" style="145" customWidth="1"/>
    <col min="1307" max="1307" width="18.7109375" style="145" bestFit="1" customWidth="1"/>
    <col min="1308" max="1308" width="7.85546875" style="145" customWidth="1"/>
    <col min="1309" max="1309" width="9.85546875" style="145" customWidth="1"/>
    <col min="1310" max="1311" width="11" style="145" bestFit="1" customWidth="1"/>
    <col min="1312" max="1312" width="11.140625" style="145" bestFit="1" customWidth="1"/>
    <col min="1313" max="1535" width="12.42578125" style="145"/>
    <col min="1536" max="1536" width="6.7109375" style="145" customWidth="1"/>
    <col min="1537" max="1537" width="25.28515625" style="145" customWidth="1"/>
    <col min="1538" max="1538" width="10" style="145" customWidth="1"/>
    <col min="1539" max="1540" width="7.5703125" style="145" customWidth="1"/>
    <col min="1541" max="1541" width="9" style="145" customWidth="1"/>
    <col min="1542" max="1542" width="7.140625" style="145" customWidth="1"/>
    <col min="1543" max="1543" width="10.5703125" style="145" bestFit="1" customWidth="1"/>
    <col min="1544" max="1544" width="9.85546875" style="145" customWidth="1"/>
    <col min="1545" max="1545" width="7.7109375" style="145" customWidth="1"/>
    <col min="1546" max="1546" width="9.85546875" style="145" customWidth="1"/>
    <col min="1547" max="1547" width="7.42578125" style="145" bestFit="1" customWidth="1"/>
    <col min="1548" max="1548" width="9.85546875" style="145" customWidth="1"/>
    <col min="1549" max="1549" width="8.85546875" style="145" customWidth="1"/>
    <col min="1550" max="1550" width="11.140625" style="145" bestFit="1" customWidth="1"/>
    <col min="1551" max="1552" width="9" style="145" customWidth="1"/>
    <col min="1553" max="1553" width="9.140625" style="145" customWidth="1"/>
    <col min="1554" max="1554" width="9.85546875" style="145" customWidth="1"/>
    <col min="1555" max="1555" width="10.5703125" style="145" customWidth="1"/>
    <col min="1556" max="1556" width="12.140625" style="145" customWidth="1"/>
    <col min="1557" max="1557" width="11.140625" style="145" customWidth="1"/>
    <col min="1558" max="1558" width="11.5703125" style="145" bestFit="1" customWidth="1"/>
    <col min="1559" max="1559" width="12" style="145" bestFit="1" customWidth="1"/>
    <col min="1560" max="1560" width="16.28515625" style="145" bestFit="1" customWidth="1"/>
    <col min="1561" max="1561" width="13.42578125" style="145" customWidth="1"/>
    <col min="1562" max="1562" width="14.42578125" style="145" customWidth="1"/>
    <col min="1563" max="1563" width="18.7109375" style="145" bestFit="1" customWidth="1"/>
    <col min="1564" max="1564" width="7.85546875" style="145" customWidth="1"/>
    <col min="1565" max="1565" width="9.85546875" style="145" customWidth="1"/>
    <col min="1566" max="1567" width="11" style="145" bestFit="1" customWidth="1"/>
    <col min="1568" max="1568" width="11.140625" style="145" bestFit="1" customWidth="1"/>
    <col min="1569" max="1791" width="12.42578125" style="145"/>
    <col min="1792" max="1792" width="6.7109375" style="145" customWidth="1"/>
    <col min="1793" max="1793" width="25.28515625" style="145" customWidth="1"/>
    <col min="1794" max="1794" width="10" style="145" customWidth="1"/>
    <col min="1795" max="1796" width="7.5703125" style="145" customWidth="1"/>
    <col min="1797" max="1797" width="9" style="145" customWidth="1"/>
    <col min="1798" max="1798" width="7.140625" style="145" customWidth="1"/>
    <col min="1799" max="1799" width="10.5703125" style="145" bestFit="1" customWidth="1"/>
    <col min="1800" max="1800" width="9.85546875" style="145" customWidth="1"/>
    <col min="1801" max="1801" width="7.7109375" style="145" customWidth="1"/>
    <col min="1802" max="1802" width="9.85546875" style="145" customWidth="1"/>
    <col min="1803" max="1803" width="7.42578125" style="145" bestFit="1" customWidth="1"/>
    <col min="1804" max="1804" width="9.85546875" style="145" customWidth="1"/>
    <col min="1805" max="1805" width="8.85546875" style="145" customWidth="1"/>
    <col min="1806" max="1806" width="11.140625" style="145" bestFit="1" customWidth="1"/>
    <col min="1807" max="1808" width="9" style="145" customWidth="1"/>
    <col min="1809" max="1809" width="9.140625" style="145" customWidth="1"/>
    <col min="1810" max="1810" width="9.85546875" style="145" customWidth="1"/>
    <col min="1811" max="1811" width="10.5703125" style="145" customWidth="1"/>
    <col min="1812" max="1812" width="12.140625" style="145" customWidth="1"/>
    <col min="1813" max="1813" width="11.140625" style="145" customWidth="1"/>
    <col min="1814" max="1814" width="11.5703125" style="145" bestFit="1" customWidth="1"/>
    <col min="1815" max="1815" width="12" style="145" bestFit="1" customWidth="1"/>
    <col min="1816" max="1816" width="16.28515625" style="145" bestFit="1" customWidth="1"/>
    <col min="1817" max="1817" width="13.42578125" style="145" customWidth="1"/>
    <col min="1818" max="1818" width="14.42578125" style="145" customWidth="1"/>
    <col min="1819" max="1819" width="18.7109375" style="145" bestFit="1" customWidth="1"/>
    <col min="1820" max="1820" width="7.85546875" style="145" customWidth="1"/>
    <col min="1821" max="1821" width="9.85546875" style="145" customWidth="1"/>
    <col min="1822" max="1823" width="11" style="145" bestFit="1" customWidth="1"/>
    <col min="1824" max="1824" width="11.140625" style="145" bestFit="1" customWidth="1"/>
    <col min="1825" max="2047" width="12.42578125" style="145"/>
    <col min="2048" max="2048" width="6.7109375" style="145" customWidth="1"/>
    <col min="2049" max="2049" width="25.28515625" style="145" customWidth="1"/>
    <col min="2050" max="2050" width="10" style="145" customWidth="1"/>
    <col min="2051" max="2052" width="7.5703125" style="145" customWidth="1"/>
    <col min="2053" max="2053" width="9" style="145" customWidth="1"/>
    <col min="2054" max="2054" width="7.140625" style="145" customWidth="1"/>
    <col min="2055" max="2055" width="10.5703125" style="145" bestFit="1" customWidth="1"/>
    <col min="2056" max="2056" width="9.85546875" style="145" customWidth="1"/>
    <col min="2057" max="2057" width="7.7109375" style="145" customWidth="1"/>
    <col min="2058" max="2058" width="9.85546875" style="145" customWidth="1"/>
    <col min="2059" max="2059" width="7.42578125" style="145" bestFit="1" customWidth="1"/>
    <col min="2060" max="2060" width="9.85546875" style="145" customWidth="1"/>
    <col min="2061" max="2061" width="8.85546875" style="145" customWidth="1"/>
    <col min="2062" max="2062" width="11.140625" style="145" bestFit="1" customWidth="1"/>
    <col min="2063" max="2064" width="9" style="145" customWidth="1"/>
    <col min="2065" max="2065" width="9.140625" style="145" customWidth="1"/>
    <col min="2066" max="2066" width="9.85546875" style="145" customWidth="1"/>
    <col min="2067" max="2067" width="10.5703125" style="145" customWidth="1"/>
    <col min="2068" max="2068" width="12.140625" style="145" customWidth="1"/>
    <col min="2069" max="2069" width="11.140625" style="145" customWidth="1"/>
    <col min="2070" max="2070" width="11.5703125" style="145" bestFit="1" customWidth="1"/>
    <col min="2071" max="2071" width="12" style="145" bestFit="1" customWidth="1"/>
    <col min="2072" max="2072" width="16.28515625" style="145" bestFit="1" customWidth="1"/>
    <col min="2073" max="2073" width="13.42578125" style="145" customWidth="1"/>
    <col min="2074" max="2074" width="14.42578125" style="145" customWidth="1"/>
    <col min="2075" max="2075" width="18.7109375" style="145" bestFit="1" customWidth="1"/>
    <col min="2076" max="2076" width="7.85546875" style="145" customWidth="1"/>
    <col min="2077" max="2077" width="9.85546875" style="145" customWidth="1"/>
    <col min="2078" max="2079" width="11" style="145" bestFit="1" customWidth="1"/>
    <col min="2080" max="2080" width="11.140625" style="145" bestFit="1" customWidth="1"/>
    <col min="2081" max="2303" width="12.42578125" style="145"/>
    <col min="2304" max="2304" width="6.7109375" style="145" customWidth="1"/>
    <col min="2305" max="2305" width="25.28515625" style="145" customWidth="1"/>
    <col min="2306" max="2306" width="10" style="145" customWidth="1"/>
    <col min="2307" max="2308" width="7.5703125" style="145" customWidth="1"/>
    <col min="2309" max="2309" width="9" style="145" customWidth="1"/>
    <col min="2310" max="2310" width="7.140625" style="145" customWidth="1"/>
    <col min="2311" max="2311" width="10.5703125" style="145" bestFit="1" customWidth="1"/>
    <col min="2312" max="2312" width="9.85546875" style="145" customWidth="1"/>
    <col min="2313" max="2313" width="7.7109375" style="145" customWidth="1"/>
    <col min="2314" max="2314" width="9.85546875" style="145" customWidth="1"/>
    <col min="2315" max="2315" width="7.42578125" style="145" bestFit="1" customWidth="1"/>
    <col min="2316" max="2316" width="9.85546875" style="145" customWidth="1"/>
    <col min="2317" max="2317" width="8.85546875" style="145" customWidth="1"/>
    <col min="2318" max="2318" width="11.140625" style="145" bestFit="1" customWidth="1"/>
    <col min="2319" max="2320" width="9" style="145" customWidth="1"/>
    <col min="2321" max="2321" width="9.140625" style="145" customWidth="1"/>
    <col min="2322" max="2322" width="9.85546875" style="145" customWidth="1"/>
    <col min="2323" max="2323" width="10.5703125" style="145" customWidth="1"/>
    <col min="2324" max="2324" width="12.140625" style="145" customWidth="1"/>
    <col min="2325" max="2325" width="11.140625" style="145" customWidth="1"/>
    <col min="2326" max="2326" width="11.5703125" style="145" bestFit="1" customWidth="1"/>
    <col min="2327" max="2327" width="12" style="145" bestFit="1" customWidth="1"/>
    <col min="2328" max="2328" width="16.28515625" style="145" bestFit="1" customWidth="1"/>
    <col min="2329" max="2329" width="13.42578125" style="145" customWidth="1"/>
    <col min="2330" max="2330" width="14.42578125" style="145" customWidth="1"/>
    <col min="2331" max="2331" width="18.7109375" style="145" bestFit="1" customWidth="1"/>
    <col min="2332" max="2332" width="7.85546875" style="145" customWidth="1"/>
    <col min="2333" max="2333" width="9.85546875" style="145" customWidth="1"/>
    <col min="2334" max="2335" width="11" style="145" bestFit="1" customWidth="1"/>
    <col min="2336" max="2336" width="11.140625" style="145" bestFit="1" customWidth="1"/>
    <col min="2337" max="2559" width="12.42578125" style="145"/>
    <col min="2560" max="2560" width="6.7109375" style="145" customWidth="1"/>
    <col min="2561" max="2561" width="25.28515625" style="145" customWidth="1"/>
    <col min="2562" max="2562" width="10" style="145" customWidth="1"/>
    <col min="2563" max="2564" width="7.5703125" style="145" customWidth="1"/>
    <col min="2565" max="2565" width="9" style="145" customWidth="1"/>
    <col min="2566" max="2566" width="7.140625" style="145" customWidth="1"/>
    <col min="2567" max="2567" width="10.5703125" style="145" bestFit="1" customWidth="1"/>
    <col min="2568" max="2568" width="9.85546875" style="145" customWidth="1"/>
    <col min="2569" max="2569" width="7.7109375" style="145" customWidth="1"/>
    <col min="2570" max="2570" width="9.85546875" style="145" customWidth="1"/>
    <col min="2571" max="2571" width="7.42578125" style="145" bestFit="1" customWidth="1"/>
    <col min="2572" max="2572" width="9.85546875" style="145" customWidth="1"/>
    <col min="2573" max="2573" width="8.85546875" style="145" customWidth="1"/>
    <col min="2574" max="2574" width="11.140625" style="145" bestFit="1" customWidth="1"/>
    <col min="2575" max="2576" width="9" style="145" customWidth="1"/>
    <col min="2577" max="2577" width="9.140625" style="145" customWidth="1"/>
    <col min="2578" max="2578" width="9.85546875" style="145" customWidth="1"/>
    <col min="2579" max="2579" width="10.5703125" style="145" customWidth="1"/>
    <col min="2580" max="2580" width="12.140625" style="145" customWidth="1"/>
    <col min="2581" max="2581" width="11.140625" style="145" customWidth="1"/>
    <col min="2582" max="2582" width="11.5703125" style="145" bestFit="1" customWidth="1"/>
    <col min="2583" max="2583" width="12" style="145" bestFit="1" customWidth="1"/>
    <col min="2584" max="2584" width="16.28515625" style="145" bestFit="1" customWidth="1"/>
    <col min="2585" max="2585" width="13.42578125" style="145" customWidth="1"/>
    <col min="2586" max="2586" width="14.42578125" style="145" customWidth="1"/>
    <col min="2587" max="2587" width="18.7109375" style="145" bestFit="1" customWidth="1"/>
    <col min="2588" max="2588" width="7.85546875" style="145" customWidth="1"/>
    <col min="2589" max="2589" width="9.85546875" style="145" customWidth="1"/>
    <col min="2590" max="2591" width="11" style="145" bestFit="1" customWidth="1"/>
    <col min="2592" max="2592" width="11.140625" style="145" bestFit="1" customWidth="1"/>
    <col min="2593" max="2815" width="12.42578125" style="145"/>
    <col min="2816" max="2816" width="6.7109375" style="145" customWidth="1"/>
    <col min="2817" max="2817" width="25.28515625" style="145" customWidth="1"/>
    <col min="2818" max="2818" width="10" style="145" customWidth="1"/>
    <col min="2819" max="2820" width="7.5703125" style="145" customWidth="1"/>
    <col min="2821" max="2821" width="9" style="145" customWidth="1"/>
    <col min="2822" max="2822" width="7.140625" style="145" customWidth="1"/>
    <col min="2823" max="2823" width="10.5703125" style="145" bestFit="1" customWidth="1"/>
    <col min="2824" max="2824" width="9.85546875" style="145" customWidth="1"/>
    <col min="2825" max="2825" width="7.7109375" style="145" customWidth="1"/>
    <col min="2826" max="2826" width="9.85546875" style="145" customWidth="1"/>
    <col min="2827" max="2827" width="7.42578125" style="145" bestFit="1" customWidth="1"/>
    <col min="2828" max="2828" width="9.85546875" style="145" customWidth="1"/>
    <col min="2829" max="2829" width="8.85546875" style="145" customWidth="1"/>
    <col min="2830" max="2830" width="11.140625" style="145" bestFit="1" customWidth="1"/>
    <col min="2831" max="2832" width="9" style="145" customWidth="1"/>
    <col min="2833" max="2833" width="9.140625" style="145" customWidth="1"/>
    <col min="2834" max="2834" width="9.85546875" style="145" customWidth="1"/>
    <col min="2835" max="2835" width="10.5703125" style="145" customWidth="1"/>
    <col min="2836" max="2836" width="12.140625" style="145" customWidth="1"/>
    <col min="2837" max="2837" width="11.140625" style="145" customWidth="1"/>
    <col min="2838" max="2838" width="11.5703125" style="145" bestFit="1" customWidth="1"/>
    <col min="2839" max="2839" width="12" style="145" bestFit="1" customWidth="1"/>
    <col min="2840" max="2840" width="16.28515625" style="145" bestFit="1" customWidth="1"/>
    <col min="2841" max="2841" width="13.42578125" style="145" customWidth="1"/>
    <col min="2842" max="2842" width="14.42578125" style="145" customWidth="1"/>
    <col min="2843" max="2843" width="18.7109375" style="145" bestFit="1" customWidth="1"/>
    <col min="2844" max="2844" width="7.85546875" style="145" customWidth="1"/>
    <col min="2845" max="2845" width="9.85546875" style="145" customWidth="1"/>
    <col min="2846" max="2847" width="11" style="145" bestFit="1" customWidth="1"/>
    <col min="2848" max="2848" width="11.140625" style="145" bestFit="1" customWidth="1"/>
    <col min="2849" max="3071" width="12.42578125" style="145"/>
    <col min="3072" max="3072" width="6.7109375" style="145" customWidth="1"/>
    <col min="3073" max="3073" width="25.28515625" style="145" customWidth="1"/>
    <col min="3074" max="3074" width="10" style="145" customWidth="1"/>
    <col min="3075" max="3076" width="7.5703125" style="145" customWidth="1"/>
    <col min="3077" max="3077" width="9" style="145" customWidth="1"/>
    <col min="3078" max="3078" width="7.140625" style="145" customWidth="1"/>
    <col min="3079" max="3079" width="10.5703125" style="145" bestFit="1" customWidth="1"/>
    <col min="3080" max="3080" width="9.85546875" style="145" customWidth="1"/>
    <col min="3081" max="3081" width="7.7109375" style="145" customWidth="1"/>
    <col min="3082" max="3082" width="9.85546875" style="145" customWidth="1"/>
    <col min="3083" max="3083" width="7.42578125" style="145" bestFit="1" customWidth="1"/>
    <col min="3084" max="3084" width="9.85546875" style="145" customWidth="1"/>
    <col min="3085" max="3085" width="8.85546875" style="145" customWidth="1"/>
    <col min="3086" max="3086" width="11.140625" style="145" bestFit="1" customWidth="1"/>
    <col min="3087" max="3088" width="9" style="145" customWidth="1"/>
    <col min="3089" max="3089" width="9.140625" style="145" customWidth="1"/>
    <col min="3090" max="3090" width="9.85546875" style="145" customWidth="1"/>
    <col min="3091" max="3091" width="10.5703125" style="145" customWidth="1"/>
    <col min="3092" max="3092" width="12.140625" style="145" customWidth="1"/>
    <col min="3093" max="3093" width="11.140625" style="145" customWidth="1"/>
    <col min="3094" max="3094" width="11.5703125" style="145" bestFit="1" customWidth="1"/>
    <col min="3095" max="3095" width="12" style="145" bestFit="1" customWidth="1"/>
    <col min="3096" max="3096" width="16.28515625" style="145" bestFit="1" customWidth="1"/>
    <col min="3097" max="3097" width="13.42578125" style="145" customWidth="1"/>
    <col min="3098" max="3098" width="14.42578125" style="145" customWidth="1"/>
    <col min="3099" max="3099" width="18.7109375" style="145" bestFit="1" customWidth="1"/>
    <col min="3100" max="3100" width="7.85546875" style="145" customWidth="1"/>
    <col min="3101" max="3101" width="9.85546875" style="145" customWidth="1"/>
    <col min="3102" max="3103" width="11" style="145" bestFit="1" customWidth="1"/>
    <col min="3104" max="3104" width="11.140625" style="145" bestFit="1" customWidth="1"/>
    <col min="3105" max="3327" width="12.42578125" style="145"/>
    <col min="3328" max="3328" width="6.7109375" style="145" customWidth="1"/>
    <col min="3329" max="3329" width="25.28515625" style="145" customWidth="1"/>
    <col min="3330" max="3330" width="10" style="145" customWidth="1"/>
    <col min="3331" max="3332" width="7.5703125" style="145" customWidth="1"/>
    <col min="3333" max="3333" width="9" style="145" customWidth="1"/>
    <col min="3334" max="3334" width="7.140625" style="145" customWidth="1"/>
    <col min="3335" max="3335" width="10.5703125" style="145" bestFit="1" customWidth="1"/>
    <col min="3336" max="3336" width="9.85546875" style="145" customWidth="1"/>
    <col min="3337" max="3337" width="7.7109375" style="145" customWidth="1"/>
    <col min="3338" max="3338" width="9.85546875" style="145" customWidth="1"/>
    <col min="3339" max="3339" width="7.42578125" style="145" bestFit="1" customWidth="1"/>
    <col min="3340" max="3340" width="9.85546875" style="145" customWidth="1"/>
    <col min="3341" max="3341" width="8.85546875" style="145" customWidth="1"/>
    <col min="3342" max="3342" width="11.140625" style="145" bestFit="1" customWidth="1"/>
    <col min="3343" max="3344" width="9" style="145" customWidth="1"/>
    <col min="3345" max="3345" width="9.140625" style="145" customWidth="1"/>
    <col min="3346" max="3346" width="9.85546875" style="145" customWidth="1"/>
    <col min="3347" max="3347" width="10.5703125" style="145" customWidth="1"/>
    <col min="3348" max="3348" width="12.140625" style="145" customWidth="1"/>
    <col min="3349" max="3349" width="11.140625" style="145" customWidth="1"/>
    <col min="3350" max="3350" width="11.5703125" style="145" bestFit="1" customWidth="1"/>
    <col min="3351" max="3351" width="12" style="145" bestFit="1" customWidth="1"/>
    <col min="3352" max="3352" width="16.28515625" style="145" bestFit="1" customWidth="1"/>
    <col min="3353" max="3353" width="13.42578125" style="145" customWidth="1"/>
    <col min="3354" max="3354" width="14.42578125" style="145" customWidth="1"/>
    <col min="3355" max="3355" width="18.7109375" style="145" bestFit="1" customWidth="1"/>
    <col min="3356" max="3356" width="7.85546875" style="145" customWidth="1"/>
    <col min="3357" max="3357" width="9.85546875" style="145" customWidth="1"/>
    <col min="3358" max="3359" width="11" style="145" bestFit="1" customWidth="1"/>
    <col min="3360" max="3360" width="11.140625" style="145" bestFit="1" customWidth="1"/>
    <col min="3361" max="3583" width="12.42578125" style="145"/>
    <col min="3584" max="3584" width="6.7109375" style="145" customWidth="1"/>
    <col min="3585" max="3585" width="25.28515625" style="145" customWidth="1"/>
    <col min="3586" max="3586" width="10" style="145" customWidth="1"/>
    <col min="3587" max="3588" width="7.5703125" style="145" customWidth="1"/>
    <col min="3589" max="3589" width="9" style="145" customWidth="1"/>
    <col min="3590" max="3590" width="7.140625" style="145" customWidth="1"/>
    <col min="3591" max="3591" width="10.5703125" style="145" bestFit="1" customWidth="1"/>
    <col min="3592" max="3592" width="9.85546875" style="145" customWidth="1"/>
    <col min="3593" max="3593" width="7.7109375" style="145" customWidth="1"/>
    <col min="3594" max="3594" width="9.85546875" style="145" customWidth="1"/>
    <col min="3595" max="3595" width="7.42578125" style="145" bestFit="1" customWidth="1"/>
    <col min="3596" max="3596" width="9.85546875" style="145" customWidth="1"/>
    <col min="3597" max="3597" width="8.85546875" style="145" customWidth="1"/>
    <col min="3598" max="3598" width="11.140625" style="145" bestFit="1" customWidth="1"/>
    <col min="3599" max="3600" width="9" style="145" customWidth="1"/>
    <col min="3601" max="3601" width="9.140625" style="145" customWidth="1"/>
    <col min="3602" max="3602" width="9.85546875" style="145" customWidth="1"/>
    <col min="3603" max="3603" width="10.5703125" style="145" customWidth="1"/>
    <col min="3604" max="3604" width="12.140625" style="145" customWidth="1"/>
    <col min="3605" max="3605" width="11.140625" style="145" customWidth="1"/>
    <col min="3606" max="3606" width="11.5703125" style="145" bestFit="1" customWidth="1"/>
    <col min="3607" max="3607" width="12" style="145" bestFit="1" customWidth="1"/>
    <col min="3608" max="3608" width="16.28515625" style="145" bestFit="1" customWidth="1"/>
    <col min="3609" max="3609" width="13.42578125" style="145" customWidth="1"/>
    <col min="3610" max="3610" width="14.42578125" style="145" customWidth="1"/>
    <col min="3611" max="3611" width="18.7109375" style="145" bestFit="1" customWidth="1"/>
    <col min="3612" max="3612" width="7.85546875" style="145" customWidth="1"/>
    <col min="3613" max="3613" width="9.85546875" style="145" customWidth="1"/>
    <col min="3614" max="3615" width="11" style="145" bestFit="1" customWidth="1"/>
    <col min="3616" max="3616" width="11.140625" style="145" bestFit="1" customWidth="1"/>
    <col min="3617" max="3839" width="12.42578125" style="145"/>
    <col min="3840" max="3840" width="6.7109375" style="145" customWidth="1"/>
    <col min="3841" max="3841" width="25.28515625" style="145" customWidth="1"/>
    <col min="3842" max="3842" width="10" style="145" customWidth="1"/>
    <col min="3843" max="3844" width="7.5703125" style="145" customWidth="1"/>
    <col min="3845" max="3845" width="9" style="145" customWidth="1"/>
    <col min="3846" max="3846" width="7.140625" style="145" customWidth="1"/>
    <col min="3847" max="3847" width="10.5703125" style="145" bestFit="1" customWidth="1"/>
    <col min="3848" max="3848" width="9.85546875" style="145" customWidth="1"/>
    <col min="3849" max="3849" width="7.7109375" style="145" customWidth="1"/>
    <col min="3850" max="3850" width="9.85546875" style="145" customWidth="1"/>
    <col min="3851" max="3851" width="7.42578125" style="145" bestFit="1" customWidth="1"/>
    <col min="3852" max="3852" width="9.85546875" style="145" customWidth="1"/>
    <col min="3853" max="3853" width="8.85546875" style="145" customWidth="1"/>
    <col min="3854" max="3854" width="11.140625" style="145" bestFit="1" customWidth="1"/>
    <col min="3855" max="3856" width="9" style="145" customWidth="1"/>
    <col min="3857" max="3857" width="9.140625" style="145" customWidth="1"/>
    <col min="3858" max="3858" width="9.85546875" style="145" customWidth="1"/>
    <col min="3859" max="3859" width="10.5703125" style="145" customWidth="1"/>
    <col min="3860" max="3860" width="12.140625" style="145" customWidth="1"/>
    <col min="3861" max="3861" width="11.140625" style="145" customWidth="1"/>
    <col min="3862" max="3862" width="11.5703125" style="145" bestFit="1" customWidth="1"/>
    <col min="3863" max="3863" width="12" style="145" bestFit="1" customWidth="1"/>
    <col min="3864" max="3864" width="16.28515625" style="145" bestFit="1" customWidth="1"/>
    <col min="3865" max="3865" width="13.42578125" style="145" customWidth="1"/>
    <col min="3866" max="3866" width="14.42578125" style="145" customWidth="1"/>
    <col min="3867" max="3867" width="18.7109375" style="145" bestFit="1" customWidth="1"/>
    <col min="3868" max="3868" width="7.85546875" style="145" customWidth="1"/>
    <col min="3869" max="3869" width="9.85546875" style="145" customWidth="1"/>
    <col min="3870" max="3871" width="11" style="145" bestFit="1" customWidth="1"/>
    <col min="3872" max="3872" width="11.140625" style="145" bestFit="1" customWidth="1"/>
    <col min="3873" max="4095" width="12.42578125" style="145"/>
    <col min="4096" max="4096" width="6.7109375" style="145" customWidth="1"/>
    <col min="4097" max="4097" width="25.28515625" style="145" customWidth="1"/>
    <col min="4098" max="4098" width="10" style="145" customWidth="1"/>
    <col min="4099" max="4100" width="7.5703125" style="145" customWidth="1"/>
    <col min="4101" max="4101" width="9" style="145" customWidth="1"/>
    <col min="4102" max="4102" width="7.140625" style="145" customWidth="1"/>
    <col min="4103" max="4103" width="10.5703125" style="145" bestFit="1" customWidth="1"/>
    <col min="4104" max="4104" width="9.85546875" style="145" customWidth="1"/>
    <col min="4105" max="4105" width="7.7109375" style="145" customWidth="1"/>
    <col min="4106" max="4106" width="9.85546875" style="145" customWidth="1"/>
    <col min="4107" max="4107" width="7.42578125" style="145" bestFit="1" customWidth="1"/>
    <col min="4108" max="4108" width="9.85546875" style="145" customWidth="1"/>
    <col min="4109" max="4109" width="8.85546875" style="145" customWidth="1"/>
    <col min="4110" max="4110" width="11.140625" style="145" bestFit="1" customWidth="1"/>
    <col min="4111" max="4112" width="9" style="145" customWidth="1"/>
    <col min="4113" max="4113" width="9.140625" style="145" customWidth="1"/>
    <col min="4114" max="4114" width="9.85546875" style="145" customWidth="1"/>
    <col min="4115" max="4115" width="10.5703125" style="145" customWidth="1"/>
    <col min="4116" max="4116" width="12.140625" style="145" customWidth="1"/>
    <col min="4117" max="4117" width="11.140625" style="145" customWidth="1"/>
    <col min="4118" max="4118" width="11.5703125" style="145" bestFit="1" customWidth="1"/>
    <col min="4119" max="4119" width="12" style="145" bestFit="1" customWidth="1"/>
    <col min="4120" max="4120" width="16.28515625" style="145" bestFit="1" customWidth="1"/>
    <col min="4121" max="4121" width="13.42578125" style="145" customWidth="1"/>
    <col min="4122" max="4122" width="14.42578125" style="145" customWidth="1"/>
    <col min="4123" max="4123" width="18.7109375" style="145" bestFit="1" customWidth="1"/>
    <col min="4124" max="4124" width="7.85546875" style="145" customWidth="1"/>
    <col min="4125" max="4125" width="9.85546875" style="145" customWidth="1"/>
    <col min="4126" max="4127" width="11" style="145" bestFit="1" customWidth="1"/>
    <col min="4128" max="4128" width="11.140625" style="145" bestFit="1" customWidth="1"/>
    <col min="4129" max="4351" width="12.42578125" style="145"/>
    <col min="4352" max="4352" width="6.7109375" style="145" customWidth="1"/>
    <col min="4353" max="4353" width="25.28515625" style="145" customWidth="1"/>
    <col min="4354" max="4354" width="10" style="145" customWidth="1"/>
    <col min="4355" max="4356" width="7.5703125" style="145" customWidth="1"/>
    <col min="4357" max="4357" width="9" style="145" customWidth="1"/>
    <col min="4358" max="4358" width="7.140625" style="145" customWidth="1"/>
    <col min="4359" max="4359" width="10.5703125" style="145" bestFit="1" customWidth="1"/>
    <col min="4360" max="4360" width="9.85546875" style="145" customWidth="1"/>
    <col min="4361" max="4361" width="7.7109375" style="145" customWidth="1"/>
    <col min="4362" max="4362" width="9.85546875" style="145" customWidth="1"/>
    <col min="4363" max="4363" width="7.42578125" style="145" bestFit="1" customWidth="1"/>
    <col min="4364" max="4364" width="9.85546875" style="145" customWidth="1"/>
    <col min="4365" max="4365" width="8.85546875" style="145" customWidth="1"/>
    <col min="4366" max="4366" width="11.140625" style="145" bestFit="1" customWidth="1"/>
    <col min="4367" max="4368" width="9" style="145" customWidth="1"/>
    <col min="4369" max="4369" width="9.140625" style="145" customWidth="1"/>
    <col min="4370" max="4370" width="9.85546875" style="145" customWidth="1"/>
    <col min="4371" max="4371" width="10.5703125" style="145" customWidth="1"/>
    <col min="4372" max="4372" width="12.140625" style="145" customWidth="1"/>
    <col min="4373" max="4373" width="11.140625" style="145" customWidth="1"/>
    <col min="4374" max="4374" width="11.5703125" style="145" bestFit="1" customWidth="1"/>
    <col min="4375" max="4375" width="12" style="145" bestFit="1" customWidth="1"/>
    <col min="4376" max="4376" width="16.28515625" style="145" bestFit="1" customWidth="1"/>
    <col min="4377" max="4377" width="13.42578125" style="145" customWidth="1"/>
    <col min="4378" max="4378" width="14.42578125" style="145" customWidth="1"/>
    <col min="4379" max="4379" width="18.7109375" style="145" bestFit="1" customWidth="1"/>
    <col min="4380" max="4380" width="7.85546875" style="145" customWidth="1"/>
    <col min="4381" max="4381" width="9.85546875" style="145" customWidth="1"/>
    <col min="4382" max="4383" width="11" style="145" bestFit="1" customWidth="1"/>
    <col min="4384" max="4384" width="11.140625" style="145" bestFit="1" customWidth="1"/>
    <col min="4385" max="4607" width="12.42578125" style="145"/>
    <col min="4608" max="4608" width="6.7109375" style="145" customWidth="1"/>
    <col min="4609" max="4609" width="25.28515625" style="145" customWidth="1"/>
    <col min="4610" max="4610" width="10" style="145" customWidth="1"/>
    <col min="4611" max="4612" width="7.5703125" style="145" customWidth="1"/>
    <col min="4613" max="4613" width="9" style="145" customWidth="1"/>
    <col min="4614" max="4614" width="7.140625" style="145" customWidth="1"/>
    <col min="4615" max="4615" width="10.5703125" style="145" bestFit="1" customWidth="1"/>
    <col min="4616" max="4616" width="9.85546875" style="145" customWidth="1"/>
    <col min="4617" max="4617" width="7.7109375" style="145" customWidth="1"/>
    <col min="4618" max="4618" width="9.85546875" style="145" customWidth="1"/>
    <col min="4619" max="4619" width="7.42578125" style="145" bestFit="1" customWidth="1"/>
    <col min="4620" max="4620" width="9.85546875" style="145" customWidth="1"/>
    <col min="4621" max="4621" width="8.85546875" style="145" customWidth="1"/>
    <col min="4622" max="4622" width="11.140625" style="145" bestFit="1" customWidth="1"/>
    <col min="4623" max="4624" width="9" style="145" customWidth="1"/>
    <col min="4625" max="4625" width="9.140625" style="145" customWidth="1"/>
    <col min="4626" max="4626" width="9.85546875" style="145" customWidth="1"/>
    <col min="4627" max="4627" width="10.5703125" style="145" customWidth="1"/>
    <col min="4628" max="4628" width="12.140625" style="145" customWidth="1"/>
    <col min="4629" max="4629" width="11.140625" style="145" customWidth="1"/>
    <col min="4630" max="4630" width="11.5703125" style="145" bestFit="1" customWidth="1"/>
    <col min="4631" max="4631" width="12" style="145" bestFit="1" customWidth="1"/>
    <col min="4632" max="4632" width="16.28515625" style="145" bestFit="1" customWidth="1"/>
    <col min="4633" max="4633" width="13.42578125" style="145" customWidth="1"/>
    <col min="4634" max="4634" width="14.42578125" style="145" customWidth="1"/>
    <col min="4635" max="4635" width="18.7109375" style="145" bestFit="1" customWidth="1"/>
    <col min="4636" max="4636" width="7.85546875" style="145" customWidth="1"/>
    <col min="4637" max="4637" width="9.85546875" style="145" customWidth="1"/>
    <col min="4638" max="4639" width="11" style="145" bestFit="1" customWidth="1"/>
    <col min="4640" max="4640" width="11.140625" style="145" bestFit="1" customWidth="1"/>
    <col min="4641" max="4863" width="12.42578125" style="145"/>
    <col min="4864" max="4864" width="6.7109375" style="145" customWidth="1"/>
    <col min="4865" max="4865" width="25.28515625" style="145" customWidth="1"/>
    <col min="4866" max="4866" width="10" style="145" customWidth="1"/>
    <col min="4867" max="4868" width="7.5703125" style="145" customWidth="1"/>
    <col min="4869" max="4869" width="9" style="145" customWidth="1"/>
    <col min="4870" max="4870" width="7.140625" style="145" customWidth="1"/>
    <col min="4871" max="4871" width="10.5703125" style="145" bestFit="1" customWidth="1"/>
    <col min="4872" max="4872" width="9.85546875" style="145" customWidth="1"/>
    <col min="4873" max="4873" width="7.7109375" style="145" customWidth="1"/>
    <col min="4874" max="4874" width="9.85546875" style="145" customWidth="1"/>
    <col min="4875" max="4875" width="7.42578125" style="145" bestFit="1" customWidth="1"/>
    <col min="4876" max="4876" width="9.85546875" style="145" customWidth="1"/>
    <col min="4877" max="4877" width="8.85546875" style="145" customWidth="1"/>
    <col min="4878" max="4878" width="11.140625" style="145" bestFit="1" customWidth="1"/>
    <col min="4879" max="4880" width="9" style="145" customWidth="1"/>
    <col min="4881" max="4881" width="9.140625" style="145" customWidth="1"/>
    <col min="4882" max="4882" width="9.85546875" style="145" customWidth="1"/>
    <col min="4883" max="4883" width="10.5703125" style="145" customWidth="1"/>
    <col min="4884" max="4884" width="12.140625" style="145" customWidth="1"/>
    <col min="4885" max="4885" width="11.140625" style="145" customWidth="1"/>
    <col min="4886" max="4886" width="11.5703125" style="145" bestFit="1" customWidth="1"/>
    <col min="4887" max="4887" width="12" style="145" bestFit="1" customWidth="1"/>
    <col min="4888" max="4888" width="16.28515625" style="145" bestFit="1" customWidth="1"/>
    <col min="4889" max="4889" width="13.42578125" style="145" customWidth="1"/>
    <col min="4890" max="4890" width="14.42578125" style="145" customWidth="1"/>
    <col min="4891" max="4891" width="18.7109375" style="145" bestFit="1" customWidth="1"/>
    <col min="4892" max="4892" width="7.85546875" style="145" customWidth="1"/>
    <col min="4893" max="4893" width="9.85546875" style="145" customWidth="1"/>
    <col min="4894" max="4895" width="11" style="145" bestFit="1" customWidth="1"/>
    <col min="4896" max="4896" width="11.140625" style="145" bestFit="1" customWidth="1"/>
    <col min="4897" max="5119" width="12.42578125" style="145"/>
    <col min="5120" max="5120" width="6.7109375" style="145" customWidth="1"/>
    <col min="5121" max="5121" width="25.28515625" style="145" customWidth="1"/>
    <col min="5122" max="5122" width="10" style="145" customWidth="1"/>
    <col min="5123" max="5124" width="7.5703125" style="145" customWidth="1"/>
    <col min="5125" max="5125" width="9" style="145" customWidth="1"/>
    <col min="5126" max="5126" width="7.140625" style="145" customWidth="1"/>
    <col min="5127" max="5127" width="10.5703125" style="145" bestFit="1" customWidth="1"/>
    <col min="5128" max="5128" width="9.85546875" style="145" customWidth="1"/>
    <col min="5129" max="5129" width="7.7109375" style="145" customWidth="1"/>
    <col min="5130" max="5130" width="9.85546875" style="145" customWidth="1"/>
    <col min="5131" max="5131" width="7.42578125" style="145" bestFit="1" customWidth="1"/>
    <col min="5132" max="5132" width="9.85546875" style="145" customWidth="1"/>
    <col min="5133" max="5133" width="8.85546875" style="145" customWidth="1"/>
    <col min="5134" max="5134" width="11.140625" style="145" bestFit="1" customWidth="1"/>
    <col min="5135" max="5136" width="9" style="145" customWidth="1"/>
    <col min="5137" max="5137" width="9.140625" style="145" customWidth="1"/>
    <col min="5138" max="5138" width="9.85546875" style="145" customWidth="1"/>
    <col min="5139" max="5139" width="10.5703125" style="145" customWidth="1"/>
    <col min="5140" max="5140" width="12.140625" style="145" customWidth="1"/>
    <col min="5141" max="5141" width="11.140625" style="145" customWidth="1"/>
    <col min="5142" max="5142" width="11.5703125" style="145" bestFit="1" customWidth="1"/>
    <col min="5143" max="5143" width="12" style="145" bestFit="1" customWidth="1"/>
    <col min="5144" max="5144" width="16.28515625" style="145" bestFit="1" customWidth="1"/>
    <col min="5145" max="5145" width="13.42578125" style="145" customWidth="1"/>
    <col min="5146" max="5146" width="14.42578125" style="145" customWidth="1"/>
    <col min="5147" max="5147" width="18.7109375" style="145" bestFit="1" customWidth="1"/>
    <col min="5148" max="5148" width="7.85546875" style="145" customWidth="1"/>
    <col min="5149" max="5149" width="9.85546875" style="145" customWidth="1"/>
    <col min="5150" max="5151" width="11" style="145" bestFit="1" customWidth="1"/>
    <col min="5152" max="5152" width="11.140625" style="145" bestFit="1" customWidth="1"/>
    <col min="5153" max="5375" width="12.42578125" style="145"/>
    <col min="5376" max="5376" width="6.7109375" style="145" customWidth="1"/>
    <col min="5377" max="5377" width="25.28515625" style="145" customWidth="1"/>
    <col min="5378" max="5378" width="10" style="145" customWidth="1"/>
    <col min="5379" max="5380" width="7.5703125" style="145" customWidth="1"/>
    <col min="5381" max="5381" width="9" style="145" customWidth="1"/>
    <col min="5382" max="5382" width="7.140625" style="145" customWidth="1"/>
    <col min="5383" max="5383" width="10.5703125" style="145" bestFit="1" customWidth="1"/>
    <col min="5384" max="5384" width="9.85546875" style="145" customWidth="1"/>
    <col min="5385" max="5385" width="7.7109375" style="145" customWidth="1"/>
    <col min="5386" max="5386" width="9.85546875" style="145" customWidth="1"/>
    <col min="5387" max="5387" width="7.42578125" style="145" bestFit="1" customWidth="1"/>
    <col min="5388" max="5388" width="9.85546875" style="145" customWidth="1"/>
    <col min="5389" max="5389" width="8.85546875" style="145" customWidth="1"/>
    <col min="5390" max="5390" width="11.140625" style="145" bestFit="1" customWidth="1"/>
    <col min="5391" max="5392" width="9" style="145" customWidth="1"/>
    <col min="5393" max="5393" width="9.140625" style="145" customWidth="1"/>
    <col min="5394" max="5394" width="9.85546875" style="145" customWidth="1"/>
    <col min="5395" max="5395" width="10.5703125" style="145" customWidth="1"/>
    <col min="5396" max="5396" width="12.140625" style="145" customWidth="1"/>
    <col min="5397" max="5397" width="11.140625" style="145" customWidth="1"/>
    <col min="5398" max="5398" width="11.5703125" style="145" bestFit="1" customWidth="1"/>
    <col min="5399" max="5399" width="12" style="145" bestFit="1" customWidth="1"/>
    <col min="5400" max="5400" width="16.28515625" style="145" bestFit="1" customWidth="1"/>
    <col min="5401" max="5401" width="13.42578125" style="145" customWidth="1"/>
    <col min="5402" max="5402" width="14.42578125" style="145" customWidth="1"/>
    <col min="5403" max="5403" width="18.7109375" style="145" bestFit="1" customWidth="1"/>
    <col min="5404" max="5404" width="7.85546875" style="145" customWidth="1"/>
    <col min="5405" max="5405" width="9.85546875" style="145" customWidth="1"/>
    <col min="5406" max="5407" width="11" style="145" bestFit="1" customWidth="1"/>
    <col min="5408" max="5408" width="11.140625" style="145" bestFit="1" customWidth="1"/>
    <col min="5409" max="5631" width="12.42578125" style="145"/>
    <col min="5632" max="5632" width="6.7109375" style="145" customWidth="1"/>
    <col min="5633" max="5633" width="25.28515625" style="145" customWidth="1"/>
    <col min="5634" max="5634" width="10" style="145" customWidth="1"/>
    <col min="5635" max="5636" width="7.5703125" style="145" customWidth="1"/>
    <col min="5637" max="5637" width="9" style="145" customWidth="1"/>
    <col min="5638" max="5638" width="7.140625" style="145" customWidth="1"/>
    <col min="5639" max="5639" width="10.5703125" style="145" bestFit="1" customWidth="1"/>
    <col min="5640" max="5640" width="9.85546875" style="145" customWidth="1"/>
    <col min="5641" max="5641" width="7.7109375" style="145" customWidth="1"/>
    <col min="5642" max="5642" width="9.85546875" style="145" customWidth="1"/>
    <col min="5643" max="5643" width="7.42578125" style="145" bestFit="1" customWidth="1"/>
    <col min="5644" max="5644" width="9.85546875" style="145" customWidth="1"/>
    <col min="5645" max="5645" width="8.85546875" style="145" customWidth="1"/>
    <col min="5646" max="5646" width="11.140625" style="145" bestFit="1" customWidth="1"/>
    <col min="5647" max="5648" width="9" style="145" customWidth="1"/>
    <col min="5649" max="5649" width="9.140625" style="145" customWidth="1"/>
    <col min="5650" max="5650" width="9.85546875" style="145" customWidth="1"/>
    <col min="5651" max="5651" width="10.5703125" style="145" customWidth="1"/>
    <col min="5652" max="5652" width="12.140625" style="145" customWidth="1"/>
    <col min="5653" max="5653" width="11.140625" style="145" customWidth="1"/>
    <col min="5654" max="5654" width="11.5703125" style="145" bestFit="1" customWidth="1"/>
    <col min="5655" max="5655" width="12" style="145" bestFit="1" customWidth="1"/>
    <col min="5656" max="5656" width="16.28515625" style="145" bestFit="1" customWidth="1"/>
    <col min="5657" max="5657" width="13.42578125" style="145" customWidth="1"/>
    <col min="5658" max="5658" width="14.42578125" style="145" customWidth="1"/>
    <col min="5659" max="5659" width="18.7109375" style="145" bestFit="1" customWidth="1"/>
    <col min="5660" max="5660" width="7.85546875" style="145" customWidth="1"/>
    <col min="5661" max="5661" width="9.85546875" style="145" customWidth="1"/>
    <col min="5662" max="5663" width="11" style="145" bestFit="1" customWidth="1"/>
    <col min="5664" max="5664" width="11.140625" style="145" bestFit="1" customWidth="1"/>
    <col min="5665" max="5887" width="12.42578125" style="145"/>
    <col min="5888" max="5888" width="6.7109375" style="145" customWidth="1"/>
    <col min="5889" max="5889" width="25.28515625" style="145" customWidth="1"/>
    <col min="5890" max="5890" width="10" style="145" customWidth="1"/>
    <col min="5891" max="5892" width="7.5703125" style="145" customWidth="1"/>
    <col min="5893" max="5893" width="9" style="145" customWidth="1"/>
    <col min="5894" max="5894" width="7.140625" style="145" customWidth="1"/>
    <col min="5895" max="5895" width="10.5703125" style="145" bestFit="1" customWidth="1"/>
    <col min="5896" max="5896" width="9.85546875" style="145" customWidth="1"/>
    <col min="5897" max="5897" width="7.7109375" style="145" customWidth="1"/>
    <col min="5898" max="5898" width="9.85546875" style="145" customWidth="1"/>
    <col min="5899" max="5899" width="7.42578125" style="145" bestFit="1" customWidth="1"/>
    <col min="5900" max="5900" width="9.85546875" style="145" customWidth="1"/>
    <col min="5901" max="5901" width="8.85546875" style="145" customWidth="1"/>
    <col min="5902" max="5902" width="11.140625" style="145" bestFit="1" customWidth="1"/>
    <col min="5903" max="5904" width="9" style="145" customWidth="1"/>
    <col min="5905" max="5905" width="9.140625" style="145" customWidth="1"/>
    <col min="5906" max="5906" width="9.85546875" style="145" customWidth="1"/>
    <col min="5907" max="5907" width="10.5703125" style="145" customWidth="1"/>
    <col min="5908" max="5908" width="12.140625" style="145" customWidth="1"/>
    <col min="5909" max="5909" width="11.140625" style="145" customWidth="1"/>
    <col min="5910" max="5910" width="11.5703125" style="145" bestFit="1" customWidth="1"/>
    <col min="5911" max="5911" width="12" style="145" bestFit="1" customWidth="1"/>
    <col min="5912" max="5912" width="16.28515625" style="145" bestFit="1" customWidth="1"/>
    <col min="5913" max="5913" width="13.42578125" style="145" customWidth="1"/>
    <col min="5914" max="5914" width="14.42578125" style="145" customWidth="1"/>
    <col min="5915" max="5915" width="18.7109375" style="145" bestFit="1" customWidth="1"/>
    <col min="5916" max="5916" width="7.85546875" style="145" customWidth="1"/>
    <col min="5917" max="5917" width="9.85546875" style="145" customWidth="1"/>
    <col min="5918" max="5919" width="11" style="145" bestFit="1" customWidth="1"/>
    <col min="5920" max="5920" width="11.140625" style="145" bestFit="1" customWidth="1"/>
    <col min="5921" max="6143" width="12.42578125" style="145"/>
    <col min="6144" max="6144" width="6.7109375" style="145" customWidth="1"/>
    <col min="6145" max="6145" width="25.28515625" style="145" customWidth="1"/>
    <col min="6146" max="6146" width="10" style="145" customWidth="1"/>
    <col min="6147" max="6148" width="7.5703125" style="145" customWidth="1"/>
    <col min="6149" max="6149" width="9" style="145" customWidth="1"/>
    <col min="6150" max="6150" width="7.140625" style="145" customWidth="1"/>
    <col min="6151" max="6151" width="10.5703125" style="145" bestFit="1" customWidth="1"/>
    <col min="6152" max="6152" width="9.85546875" style="145" customWidth="1"/>
    <col min="6153" max="6153" width="7.7109375" style="145" customWidth="1"/>
    <col min="6154" max="6154" width="9.85546875" style="145" customWidth="1"/>
    <col min="6155" max="6155" width="7.42578125" style="145" bestFit="1" customWidth="1"/>
    <col min="6156" max="6156" width="9.85546875" style="145" customWidth="1"/>
    <col min="6157" max="6157" width="8.85546875" style="145" customWidth="1"/>
    <col min="6158" max="6158" width="11.140625" style="145" bestFit="1" customWidth="1"/>
    <col min="6159" max="6160" width="9" style="145" customWidth="1"/>
    <col min="6161" max="6161" width="9.140625" style="145" customWidth="1"/>
    <col min="6162" max="6162" width="9.85546875" style="145" customWidth="1"/>
    <col min="6163" max="6163" width="10.5703125" style="145" customWidth="1"/>
    <col min="6164" max="6164" width="12.140625" style="145" customWidth="1"/>
    <col min="6165" max="6165" width="11.140625" style="145" customWidth="1"/>
    <col min="6166" max="6166" width="11.5703125" style="145" bestFit="1" customWidth="1"/>
    <col min="6167" max="6167" width="12" style="145" bestFit="1" customWidth="1"/>
    <col min="6168" max="6168" width="16.28515625" style="145" bestFit="1" customWidth="1"/>
    <col min="6169" max="6169" width="13.42578125" style="145" customWidth="1"/>
    <col min="6170" max="6170" width="14.42578125" style="145" customWidth="1"/>
    <col min="6171" max="6171" width="18.7109375" style="145" bestFit="1" customWidth="1"/>
    <col min="6172" max="6172" width="7.85546875" style="145" customWidth="1"/>
    <col min="6173" max="6173" width="9.85546875" style="145" customWidth="1"/>
    <col min="6174" max="6175" width="11" style="145" bestFit="1" customWidth="1"/>
    <col min="6176" max="6176" width="11.140625" style="145" bestFit="1" customWidth="1"/>
    <col min="6177" max="6399" width="12.42578125" style="145"/>
    <col min="6400" max="6400" width="6.7109375" style="145" customWidth="1"/>
    <col min="6401" max="6401" width="25.28515625" style="145" customWidth="1"/>
    <col min="6402" max="6402" width="10" style="145" customWidth="1"/>
    <col min="6403" max="6404" width="7.5703125" style="145" customWidth="1"/>
    <col min="6405" max="6405" width="9" style="145" customWidth="1"/>
    <col min="6406" max="6406" width="7.140625" style="145" customWidth="1"/>
    <col min="6407" max="6407" width="10.5703125" style="145" bestFit="1" customWidth="1"/>
    <col min="6408" max="6408" width="9.85546875" style="145" customWidth="1"/>
    <col min="6409" max="6409" width="7.7109375" style="145" customWidth="1"/>
    <col min="6410" max="6410" width="9.85546875" style="145" customWidth="1"/>
    <col min="6411" max="6411" width="7.42578125" style="145" bestFit="1" customWidth="1"/>
    <col min="6412" max="6412" width="9.85546875" style="145" customWidth="1"/>
    <col min="6413" max="6413" width="8.85546875" style="145" customWidth="1"/>
    <col min="6414" max="6414" width="11.140625" style="145" bestFit="1" customWidth="1"/>
    <col min="6415" max="6416" width="9" style="145" customWidth="1"/>
    <col min="6417" max="6417" width="9.140625" style="145" customWidth="1"/>
    <col min="6418" max="6418" width="9.85546875" style="145" customWidth="1"/>
    <col min="6419" max="6419" width="10.5703125" style="145" customWidth="1"/>
    <col min="6420" max="6420" width="12.140625" style="145" customWidth="1"/>
    <col min="6421" max="6421" width="11.140625" style="145" customWidth="1"/>
    <col min="6422" max="6422" width="11.5703125" style="145" bestFit="1" customWidth="1"/>
    <col min="6423" max="6423" width="12" style="145" bestFit="1" customWidth="1"/>
    <col min="6424" max="6424" width="16.28515625" style="145" bestFit="1" customWidth="1"/>
    <col min="6425" max="6425" width="13.42578125" style="145" customWidth="1"/>
    <col min="6426" max="6426" width="14.42578125" style="145" customWidth="1"/>
    <col min="6427" max="6427" width="18.7109375" style="145" bestFit="1" customWidth="1"/>
    <col min="6428" max="6428" width="7.85546875" style="145" customWidth="1"/>
    <col min="6429" max="6429" width="9.85546875" style="145" customWidth="1"/>
    <col min="6430" max="6431" width="11" style="145" bestFit="1" customWidth="1"/>
    <col min="6432" max="6432" width="11.140625" style="145" bestFit="1" customWidth="1"/>
    <col min="6433" max="6655" width="12.42578125" style="145"/>
    <col min="6656" max="6656" width="6.7109375" style="145" customWidth="1"/>
    <col min="6657" max="6657" width="25.28515625" style="145" customWidth="1"/>
    <col min="6658" max="6658" width="10" style="145" customWidth="1"/>
    <col min="6659" max="6660" width="7.5703125" style="145" customWidth="1"/>
    <col min="6661" max="6661" width="9" style="145" customWidth="1"/>
    <col min="6662" max="6662" width="7.140625" style="145" customWidth="1"/>
    <col min="6663" max="6663" width="10.5703125" style="145" bestFit="1" customWidth="1"/>
    <col min="6664" max="6664" width="9.85546875" style="145" customWidth="1"/>
    <col min="6665" max="6665" width="7.7109375" style="145" customWidth="1"/>
    <col min="6666" max="6666" width="9.85546875" style="145" customWidth="1"/>
    <col min="6667" max="6667" width="7.42578125" style="145" bestFit="1" customWidth="1"/>
    <col min="6668" max="6668" width="9.85546875" style="145" customWidth="1"/>
    <col min="6669" max="6669" width="8.85546875" style="145" customWidth="1"/>
    <col min="6670" max="6670" width="11.140625" style="145" bestFit="1" customWidth="1"/>
    <col min="6671" max="6672" width="9" style="145" customWidth="1"/>
    <col min="6673" max="6673" width="9.140625" style="145" customWidth="1"/>
    <col min="6674" max="6674" width="9.85546875" style="145" customWidth="1"/>
    <col min="6675" max="6675" width="10.5703125" style="145" customWidth="1"/>
    <col min="6676" max="6676" width="12.140625" style="145" customWidth="1"/>
    <col min="6677" max="6677" width="11.140625" style="145" customWidth="1"/>
    <col min="6678" max="6678" width="11.5703125" style="145" bestFit="1" customWidth="1"/>
    <col min="6679" max="6679" width="12" style="145" bestFit="1" customWidth="1"/>
    <col min="6680" max="6680" width="16.28515625" style="145" bestFit="1" customWidth="1"/>
    <col min="6681" max="6681" width="13.42578125" style="145" customWidth="1"/>
    <col min="6682" max="6682" width="14.42578125" style="145" customWidth="1"/>
    <col min="6683" max="6683" width="18.7109375" style="145" bestFit="1" customWidth="1"/>
    <col min="6684" max="6684" width="7.85546875" style="145" customWidth="1"/>
    <col min="6685" max="6685" width="9.85546875" style="145" customWidth="1"/>
    <col min="6686" max="6687" width="11" style="145" bestFit="1" customWidth="1"/>
    <col min="6688" max="6688" width="11.140625" style="145" bestFit="1" customWidth="1"/>
    <col min="6689" max="6911" width="12.42578125" style="145"/>
    <col min="6912" max="6912" width="6.7109375" style="145" customWidth="1"/>
    <col min="6913" max="6913" width="25.28515625" style="145" customWidth="1"/>
    <col min="6914" max="6914" width="10" style="145" customWidth="1"/>
    <col min="6915" max="6916" width="7.5703125" style="145" customWidth="1"/>
    <col min="6917" max="6917" width="9" style="145" customWidth="1"/>
    <col min="6918" max="6918" width="7.140625" style="145" customWidth="1"/>
    <col min="6919" max="6919" width="10.5703125" style="145" bestFit="1" customWidth="1"/>
    <col min="6920" max="6920" width="9.85546875" style="145" customWidth="1"/>
    <col min="6921" max="6921" width="7.7109375" style="145" customWidth="1"/>
    <col min="6922" max="6922" width="9.85546875" style="145" customWidth="1"/>
    <col min="6923" max="6923" width="7.42578125" style="145" bestFit="1" customWidth="1"/>
    <col min="6924" max="6924" width="9.85546875" style="145" customWidth="1"/>
    <col min="6925" max="6925" width="8.85546875" style="145" customWidth="1"/>
    <col min="6926" max="6926" width="11.140625" style="145" bestFit="1" customWidth="1"/>
    <col min="6927" max="6928" width="9" style="145" customWidth="1"/>
    <col min="6929" max="6929" width="9.140625" style="145" customWidth="1"/>
    <col min="6930" max="6930" width="9.85546875" style="145" customWidth="1"/>
    <col min="6931" max="6931" width="10.5703125" style="145" customWidth="1"/>
    <col min="6932" max="6932" width="12.140625" style="145" customWidth="1"/>
    <col min="6933" max="6933" width="11.140625" style="145" customWidth="1"/>
    <col min="6934" max="6934" width="11.5703125" style="145" bestFit="1" customWidth="1"/>
    <col min="6935" max="6935" width="12" style="145" bestFit="1" customWidth="1"/>
    <col min="6936" max="6936" width="16.28515625" style="145" bestFit="1" customWidth="1"/>
    <col min="6937" max="6937" width="13.42578125" style="145" customWidth="1"/>
    <col min="6938" max="6938" width="14.42578125" style="145" customWidth="1"/>
    <col min="6939" max="6939" width="18.7109375" style="145" bestFit="1" customWidth="1"/>
    <col min="6940" max="6940" width="7.85546875" style="145" customWidth="1"/>
    <col min="6941" max="6941" width="9.85546875" style="145" customWidth="1"/>
    <col min="6942" max="6943" width="11" style="145" bestFit="1" customWidth="1"/>
    <col min="6944" max="6944" width="11.140625" style="145" bestFit="1" customWidth="1"/>
    <col min="6945" max="7167" width="12.42578125" style="145"/>
    <col min="7168" max="7168" width="6.7109375" style="145" customWidth="1"/>
    <col min="7169" max="7169" width="25.28515625" style="145" customWidth="1"/>
    <col min="7170" max="7170" width="10" style="145" customWidth="1"/>
    <col min="7171" max="7172" width="7.5703125" style="145" customWidth="1"/>
    <col min="7173" max="7173" width="9" style="145" customWidth="1"/>
    <col min="7174" max="7174" width="7.140625" style="145" customWidth="1"/>
    <col min="7175" max="7175" width="10.5703125" style="145" bestFit="1" customWidth="1"/>
    <col min="7176" max="7176" width="9.85546875" style="145" customWidth="1"/>
    <col min="7177" max="7177" width="7.7109375" style="145" customWidth="1"/>
    <col min="7178" max="7178" width="9.85546875" style="145" customWidth="1"/>
    <col min="7179" max="7179" width="7.42578125" style="145" bestFit="1" customWidth="1"/>
    <col min="7180" max="7180" width="9.85546875" style="145" customWidth="1"/>
    <col min="7181" max="7181" width="8.85546875" style="145" customWidth="1"/>
    <col min="7182" max="7182" width="11.140625" style="145" bestFit="1" customWidth="1"/>
    <col min="7183" max="7184" width="9" style="145" customWidth="1"/>
    <col min="7185" max="7185" width="9.140625" style="145" customWidth="1"/>
    <col min="7186" max="7186" width="9.85546875" style="145" customWidth="1"/>
    <col min="7187" max="7187" width="10.5703125" style="145" customWidth="1"/>
    <col min="7188" max="7188" width="12.140625" style="145" customWidth="1"/>
    <col min="7189" max="7189" width="11.140625" style="145" customWidth="1"/>
    <col min="7190" max="7190" width="11.5703125" style="145" bestFit="1" customWidth="1"/>
    <col min="7191" max="7191" width="12" style="145" bestFit="1" customWidth="1"/>
    <col min="7192" max="7192" width="16.28515625" style="145" bestFit="1" customWidth="1"/>
    <col min="7193" max="7193" width="13.42578125" style="145" customWidth="1"/>
    <col min="7194" max="7194" width="14.42578125" style="145" customWidth="1"/>
    <col min="7195" max="7195" width="18.7109375" style="145" bestFit="1" customWidth="1"/>
    <col min="7196" max="7196" width="7.85546875" style="145" customWidth="1"/>
    <col min="7197" max="7197" width="9.85546875" style="145" customWidth="1"/>
    <col min="7198" max="7199" width="11" style="145" bestFit="1" customWidth="1"/>
    <col min="7200" max="7200" width="11.140625" style="145" bestFit="1" customWidth="1"/>
    <col min="7201" max="7423" width="12.42578125" style="145"/>
    <col min="7424" max="7424" width="6.7109375" style="145" customWidth="1"/>
    <col min="7425" max="7425" width="25.28515625" style="145" customWidth="1"/>
    <col min="7426" max="7426" width="10" style="145" customWidth="1"/>
    <col min="7427" max="7428" width="7.5703125" style="145" customWidth="1"/>
    <col min="7429" max="7429" width="9" style="145" customWidth="1"/>
    <col min="7430" max="7430" width="7.140625" style="145" customWidth="1"/>
    <col min="7431" max="7431" width="10.5703125" style="145" bestFit="1" customWidth="1"/>
    <col min="7432" max="7432" width="9.85546875" style="145" customWidth="1"/>
    <col min="7433" max="7433" width="7.7109375" style="145" customWidth="1"/>
    <col min="7434" max="7434" width="9.85546875" style="145" customWidth="1"/>
    <col min="7435" max="7435" width="7.42578125" style="145" bestFit="1" customWidth="1"/>
    <col min="7436" max="7436" width="9.85546875" style="145" customWidth="1"/>
    <col min="7437" max="7437" width="8.85546875" style="145" customWidth="1"/>
    <col min="7438" max="7438" width="11.140625" style="145" bestFit="1" customWidth="1"/>
    <col min="7439" max="7440" width="9" style="145" customWidth="1"/>
    <col min="7441" max="7441" width="9.140625" style="145" customWidth="1"/>
    <col min="7442" max="7442" width="9.85546875" style="145" customWidth="1"/>
    <col min="7443" max="7443" width="10.5703125" style="145" customWidth="1"/>
    <col min="7444" max="7444" width="12.140625" style="145" customWidth="1"/>
    <col min="7445" max="7445" width="11.140625" style="145" customWidth="1"/>
    <col min="7446" max="7446" width="11.5703125" style="145" bestFit="1" customWidth="1"/>
    <col min="7447" max="7447" width="12" style="145" bestFit="1" customWidth="1"/>
    <col min="7448" max="7448" width="16.28515625" style="145" bestFit="1" customWidth="1"/>
    <col min="7449" max="7449" width="13.42578125" style="145" customWidth="1"/>
    <col min="7450" max="7450" width="14.42578125" style="145" customWidth="1"/>
    <col min="7451" max="7451" width="18.7109375" style="145" bestFit="1" customWidth="1"/>
    <col min="7452" max="7452" width="7.85546875" style="145" customWidth="1"/>
    <col min="7453" max="7453" width="9.85546875" style="145" customWidth="1"/>
    <col min="7454" max="7455" width="11" style="145" bestFit="1" customWidth="1"/>
    <col min="7456" max="7456" width="11.140625" style="145" bestFit="1" customWidth="1"/>
    <col min="7457" max="7679" width="12.42578125" style="145"/>
    <col min="7680" max="7680" width="6.7109375" style="145" customWidth="1"/>
    <col min="7681" max="7681" width="25.28515625" style="145" customWidth="1"/>
    <col min="7682" max="7682" width="10" style="145" customWidth="1"/>
    <col min="7683" max="7684" width="7.5703125" style="145" customWidth="1"/>
    <col min="7685" max="7685" width="9" style="145" customWidth="1"/>
    <col min="7686" max="7686" width="7.140625" style="145" customWidth="1"/>
    <col min="7687" max="7687" width="10.5703125" style="145" bestFit="1" customWidth="1"/>
    <col min="7688" max="7688" width="9.85546875" style="145" customWidth="1"/>
    <col min="7689" max="7689" width="7.7109375" style="145" customWidth="1"/>
    <col min="7690" max="7690" width="9.85546875" style="145" customWidth="1"/>
    <col min="7691" max="7691" width="7.42578125" style="145" bestFit="1" customWidth="1"/>
    <col min="7692" max="7692" width="9.85546875" style="145" customWidth="1"/>
    <col min="7693" max="7693" width="8.85546875" style="145" customWidth="1"/>
    <col min="7694" max="7694" width="11.140625" style="145" bestFit="1" customWidth="1"/>
    <col min="7695" max="7696" width="9" style="145" customWidth="1"/>
    <col min="7697" max="7697" width="9.140625" style="145" customWidth="1"/>
    <col min="7698" max="7698" width="9.85546875" style="145" customWidth="1"/>
    <col min="7699" max="7699" width="10.5703125" style="145" customWidth="1"/>
    <col min="7700" max="7700" width="12.140625" style="145" customWidth="1"/>
    <col min="7701" max="7701" width="11.140625" style="145" customWidth="1"/>
    <col min="7702" max="7702" width="11.5703125" style="145" bestFit="1" customWidth="1"/>
    <col min="7703" max="7703" width="12" style="145" bestFit="1" customWidth="1"/>
    <col min="7704" max="7704" width="16.28515625" style="145" bestFit="1" customWidth="1"/>
    <col min="7705" max="7705" width="13.42578125" style="145" customWidth="1"/>
    <col min="7706" max="7706" width="14.42578125" style="145" customWidth="1"/>
    <col min="7707" max="7707" width="18.7109375" style="145" bestFit="1" customWidth="1"/>
    <col min="7708" max="7708" width="7.85546875" style="145" customWidth="1"/>
    <col min="7709" max="7709" width="9.85546875" style="145" customWidth="1"/>
    <col min="7710" max="7711" width="11" style="145" bestFit="1" customWidth="1"/>
    <col min="7712" max="7712" width="11.140625" style="145" bestFit="1" customWidth="1"/>
    <col min="7713" max="7935" width="12.42578125" style="145"/>
    <col min="7936" max="7936" width="6.7109375" style="145" customWidth="1"/>
    <col min="7937" max="7937" width="25.28515625" style="145" customWidth="1"/>
    <col min="7938" max="7938" width="10" style="145" customWidth="1"/>
    <col min="7939" max="7940" width="7.5703125" style="145" customWidth="1"/>
    <col min="7941" max="7941" width="9" style="145" customWidth="1"/>
    <col min="7942" max="7942" width="7.140625" style="145" customWidth="1"/>
    <col min="7943" max="7943" width="10.5703125" style="145" bestFit="1" customWidth="1"/>
    <col min="7944" max="7944" width="9.85546875" style="145" customWidth="1"/>
    <col min="7945" max="7945" width="7.7109375" style="145" customWidth="1"/>
    <col min="7946" max="7946" width="9.85546875" style="145" customWidth="1"/>
    <col min="7947" max="7947" width="7.42578125" style="145" bestFit="1" customWidth="1"/>
    <col min="7948" max="7948" width="9.85546875" style="145" customWidth="1"/>
    <col min="7949" max="7949" width="8.85546875" style="145" customWidth="1"/>
    <col min="7950" max="7950" width="11.140625" style="145" bestFit="1" customWidth="1"/>
    <col min="7951" max="7952" width="9" style="145" customWidth="1"/>
    <col min="7953" max="7953" width="9.140625" style="145" customWidth="1"/>
    <col min="7954" max="7954" width="9.85546875" style="145" customWidth="1"/>
    <col min="7955" max="7955" width="10.5703125" style="145" customWidth="1"/>
    <col min="7956" max="7956" width="12.140625" style="145" customWidth="1"/>
    <col min="7957" max="7957" width="11.140625" style="145" customWidth="1"/>
    <col min="7958" max="7958" width="11.5703125" style="145" bestFit="1" customWidth="1"/>
    <col min="7959" max="7959" width="12" style="145" bestFit="1" customWidth="1"/>
    <col min="7960" max="7960" width="16.28515625" style="145" bestFit="1" customWidth="1"/>
    <col min="7961" max="7961" width="13.42578125" style="145" customWidth="1"/>
    <col min="7962" max="7962" width="14.42578125" style="145" customWidth="1"/>
    <col min="7963" max="7963" width="18.7109375" style="145" bestFit="1" customWidth="1"/>
    <col min="7964" max="7964" width="7.85546875" style="145" customWidth="1"/>
    <col min="7965" max="7965" width="9.85546875" style="145" customWidth="1"/>
    <col min="7966" max="7967" width="11" style="145" bestFit="1" customWidth="1"/>
    <col min="7968" max="7968" width="11.140625" style="145" bestFit="1" customWidth="1"/>
    <col min="7969" max="8191" width="12.42578125" style="145"/>
    <col min="8192" max="8192" width="6.7109375" style="145" customWidth="1"/>
    <col min="8193" max="8193" width="25.28515625" style="145" customWidth="1"/>
    <col min="8194" max="8194" width="10" style="145" customWidth="1"/>
    <col min="8195" max="8196" width="7.5703125" style="145" customWidth="1"/>
    <col min="8197" max="8197" width="9" style="145" customWidth="1"/>
    <col min="8198" max="8198" width="7.140625" style="145" customWidth="1"/>
    <col min="8199" max="8199" width="10.5703125" style="145" bestFit="1" customWidth="1"/>
    <col min="8200" max="8200" width="9.85546875" style="145" customWidth="1"/>
    <col min="8201" max="8201" width="7.7109375" style="145" customWidth="1"/>
    <col min="8202" max="8202" width="9.85546875" style="145" customWidth="1"/>
    <col min="8203" max="8203" width="7.42578125" style="145" bestFit="1" customWidth="1"/>
    <col min="8204" max="8204" width="9.85546875" style="145" customWidth="1"/>
    <col min="8205" max="8205" width="8.85546875" style="145" customWidth="1"/>
    <col min="8206" max="8206" width="11.140625" style="145" bestFit="1" customWidth="1"/>
    <col min="8207" max="8208" width="9" style="145" customWidth="1"/>
    <col min="8209" max="8209" width="9.140625" style="145" customWidth="1"/>
    <col min="8210" max="8210" width="9.85546875" style="145" customWidth="1"/>
    <col min="8211" max="8211" width="10.5703125" style="145" customWidth="1"/>
    <col min="8212" max="8212" width="12.140625" style="145" customWidth="1"/>
    <col min="8213" max="8213" width="11.140625" style="145" customWidth="1"/>
    <col min="8214" max="8214" width="11.5703125" style="145" bestFit="1" customWidth="1"/>
    <col min="8215" max="8215" width="12" style="145" bestFit="1" customWidth="1"/>
    <col min="8216" max="8216" width="16.28515625" style="145" bestFit="1" customWidth="1"/>
    <col min="8217" max="8217" width="13.42578125" style="145" customWidth="1"/>
    <col min="8218" max="8218" width="14.42578125" style="145" customWidth="1"/>
    <col min="8219" max="8219" width="18.7109375" style="145" bestFit="1" customWidth="1"/>
    <col min="8220" max="8220" width="7.85546875" style="145" customWidth="1"/>
    <col min="8221" max="8221" width="9.85546875" style="145" customWidth="1"/>
    <col min="8222" max="8223" width="11" style="145" bestFit="1" customWidth="1"/>
    <col min="8224" max="8224" width="11.140625" style="145" bestFit="1" customWidth="1"/>
    <col min="8225" max="8447" width="12.42578125" style="145"/>
    <col min="8448" max="8448" width="6.7109375" style="145" customWidth="1"/>
    <col min="8449" max="8449" width="25.28515625" style="145" customWidth="1"/>
    <col min="8450" max="8450" width="10" style="145" customWidth="1"/>
    <col min="8451" max="8452" width="7.5703125" style="145" customWidth="1"/>
    <col min="8453" max="8453" width="9" style="145" customWidth="1"/>
    <col min="8454" max="8454" width="7.140625" style="145" customWidth="1"/>
    <col min="8455" max="8455" width="10.5703125" style="145" bestFit="1" customWidth="1"/>
    <col min="8456" max="8456" width="9.85546875" style="145" customWidth="1"/>
    <col min="8457" max="8457" width="7.7109375" style="145" customWidth="1"/>
    <col min="8458" max="8458" width="9.85546875" style="145" customWidth="1"/>
    <col min="8459" max="8459" width="7.42578125" style="145" bestFit="1" customWidth="1"/>
    <col min="8460" max="8460" width="9.85546875" style="145" customWidth="1"/>
    <col min="8461" max="8461" width="8.85546875" style="145" customWidth="1"/>
    <col min="8462" max="8462" width="11.140625" style="145" bestFit="1" customWidth="1"/>
    <col min="8463" max="8464" width="9" style="145" customWidth="1"/>
    <col min="8465" max="8465" width="9.140625" style="145" customWidth="1"/>
    <col min="8466" max="8466" width="9.85546875" style="145" customWidth="1"/>
    <col min="8467" max="8467" width="10.5703125" style="145" customWidth="1"/>
    <col min="8468" max="8468" width="12.140625" style="145" customWidth="1"/>
    <col min="8469" max="8469" width="11.140625" style="145" customWidth="1"/>
    <col min="8470" max="8470" width="11.5703125" style="145" bestFit="1" customWidth="1"/>
    <col min="8471" max="8471" width="12" style="145" bestFit="1" customWidth="1"/>
    <col min="8472" max="8472" width="16.28515625" style="145" bestFit="1" customWidth="1"/>
    <col min="8473" max="8473" width="13.42578125" style="145" customWidth="1"/>
    <col min="8474" max="8474" width="14.42578125" style="145" customWidth="1"/>
    <col min="8475" max="8475" width="18.7109375" style="145" bestFit="1" customWidth="1"/>
    <col min="8476" max="8476" width="7.85546875" style="145" customWidth="1"/>
    <col min="8477" max="8477" width="9.85546875" style="145" customWidth="1"/>
    <col min="8478" max="8479" width="11" style="145" bestFit="1" customWidth="1"/>
    <col min="8480" max="8480" width="11.140625" style="145" bestFit="1" customWidth="1"/>
    <col min="8481" max="8703" width="12.42578125" style="145"/>
    <col min="8704" max="8704" width="6.7109375" style="145" customWidth="1"/>
    <col min="8705" max="8705" width="25.28515625" style="145" customWidth="1"/>
    <col min="8706" max="8706" width="10" style="145" customWidth="1"/>
    <col min="8707" max="8708" width="7.5703125" style="145" customWidth="1"/>
    <col min="8709" max="8709" width="9" style="145" customWidth="1"/>
    <col min="8710" max="8710" width="7.140625" style="145" customWidth="1"/>
    <col min="8711" max="8711" width="10.5703125" style="145" bestFit="1" customWidth="1"/>
    <col min="8712" max="8712" width="9.85546875" style="145" customWidth="1"/>
    <col min="8713" max="8713" width="7.7109375" style="145" customWidth="1"/>
    <col min="8714" max="8714" width="9.85546875" style="145" customWidth="1"/>
    <col min="8715" max="8715" width="7.42578125" style="145" bestFit="1" customWidth="1"/>
    <col min="8716" max="8716" width="9.85546875" style="145" customWidth="1"/>
    <col min="8717" max="8717" width="8.85546875" style="145" customWidth="1"/>
    <col min="8718" max="8718" width="11.140625" style="145" bestFit="1" customWidth="1"/>
    <col min="8719" max="8720" width="9" style="145" customWidth="1"/>
    <col min="8721" max="8721" width="9.140625" style="145" customWidth="1"/>
    <col min="8722" max="8722" width="9.85546875" style="145" customWidth="1"/>
    <col min="8723" max="8723" width="10.5703125" style="145" customWidth="1"/>
    <col min="8724" max="8724" width="12.140625" style="145" customWidth="1"/>
    <col min="8725" max="8725" width="11.140625" style="145" customWidth="1"/>
    <col min="8726" max="8726" width="11.5703125" style="145" bestFit="1" customWidth="1"/>
    <col min="8727" max="8727" width="12" style="145" bestFit="1" customWidth="1"/>
    <col min="8728" max="8728" width="16.28515625" style="145" bestFit="1" customWidth="1"/>
    <col min="8729" max="8729" width="13.42578125" style="145" customWidth="1"/>
    <col min="8730" max="8730" width="14.42578125" style="145" customWidth="1"/>
    <col min="8731" max="8731" width="18.7109375" style="145" bestFit="1" customWidth="1"/>
    <col min="8732" max="8732" width="7.85546875" style="145" customWidth="1"/>
    <col min="8733" max="8733" width="9.85546875" style="145" customWidth="1"/>
    <col min="8734" max="8735" width="11" style="145" bestFit="1" customWidth="1"/>
    <col min="8736" max="8736" width="11.140625" style="145" bestFit="1" customWidth="1"/>
    <col min="8737" max="8959" width="12.42578125" style="145"/>
    <col min="8960" max="8960" width="6.7109375" style="145" customWidth="1"/>
    <col min="8961" max="8961" width="25.28515625" style="145" customWidth="1"/>
    <col min="8962" max="8962" width="10" style="145" customWidth="1"/>
    <col min="8963" max="8964" width="7.5703125" style="145" customWidth="1"/>
    <col min="8965" max="8965" width="9" style="145" customWidth="1"/>
    <col min="8966" max="8966" width="7.140625" style="145" customWidth="1"/>
    <col min="8967" max="8967" width="10.5703125" style="145" bestFit="1" customWidth="1"/>
    <col min="8968" max="8968" width="9.85546875" style="145" customWidth="1"/>
    <col min="8969" max="8969" width="7.7109375" style="145" customWidth="1"/>
    <col min="8970" max="8970" width="9.85546875" style="145" customWidth="1"/>
    <col min="8971" max="8971" width="7.42578125" style="145" bestFit="1" customWidth="1"/>
    <col min="8972" max="8972" width="9.85546875" style="145" customWidth="1"/>
    <col min="8973" max="8973" width="8.85546875" style="145" customWidth="1"/>
    <col min="8974" max="8974" width="11.140625" style="145" bestFit="1" customWidth="1"/>
    <col min="8975" max="8976" width="9" style="145" customWidth="1"/>
    <col min="8977" max="8977" width="9.140625" style="145" customWidth="1"/>
    <col min="8978" max="8978" width="9.85546875" style="145" customWidth="1"/>
    <col min="8979" max="8979" width="10.5703125" style="145" customWidth="1"/>
    <col min="8980" max="8980" width="12.140625" style="145" customWidth="1"/>
    <col min="8981" max="8981" width="11.140625" style="145" customWidth="1"/>
    <col min="8982" max="8982" width="11.5703125" style="145" bestFit="1" customWidth="1"/>
    <col min="8983" max="8983" width="12" style="145" bestFit="1" customWidth="1"/>
    <col min="8984" max="8984" width="16.28515625" style="145" bestFit="1" customWidth="1"/>
    <col min="8985" max="8985" width="13.42578125" style="145" customWidth="1"/>
    <col min="8986" max="8986" width="14.42578125" style="145" customWidth="1"/>
    <col min="8987" max="8987" width="18.7109375" style="145" bestFit="1" customWidth="1"/>
    <col min="8988" max="8988" width="7.85546875" style="145" customWidth="1"/>
    <col min="8989" max="8989" width="9.85546875" style="145" customWidth="1"/>
    <col min="8990" max="8991" width="11" style="145" bestFit="1" customWidth="1"/>
    <col min="8992" max="8992" width="11.140625" style="145" bestFit="1" customWidth="1"/>
    <col min="8993" max="9215" width="12.42578125" style="145"/>
    <col min="9216" max="9216" width="6.7109375" style="145" customWidth="1"/>
    <col min="9217" max="9217" width="25.28515625" style="145" customWidth="1"/>
    <col min="9218" max="9218" width="10" style="145" customWidth="1"/>
    <col min="9219" max="9220" width="7.5703125" style="145" customWidth="1"/>
    <col min="9221" max="9221" width="9" style="145" customWidth="1"/>
    <col min="9222" max="9222" width="7.140625" style="145" customWidth="1"/>
    <col min="9223" max="9223" width="10.5703125" style="145" bestFit="1" customWidth="1"/>
    <col min="9224" max="9224" width="9.85546875" style="145" customWidth="1"/>
    <col min="9225" max="9225" width="7.7109375" style="145" customWidth="1"/>
    <col min="9226" max="9226" width="9.85546875" style="145" customWidth="1"/>
    <col min="9227" max="9227" width="7.42578125" style="145" bestFit="1" customWidth="1"/>
    <col min="9228" max="9228" width="9.85546875" style="145" customWidth="1"/>
    <col min="9229" max="9229" width="8.85546875" style="145" customWidth="1"/>
    <col min="9230" max="9230" width="11.140625" style="145" bestFit="1" customWidth="1"/>
    <col min="9231" max="9232" width="9" style="145" customWidth="1"/>
    <col min="9233" max="9233" width="9.140625" style="145" customWidth="1"/>
    <col min="9234" max="9234" width="9.85546875" style="145" customWidth="1"/>
    <col min="9235" max="9235" width="10.5703125" style="145" customWidth="1"/>
    <col min="9236" max="9236" width="12.140625" style="145" customWidth="1"/>
    <col min="9237" max="9237" width="11.140625" style="145" customWidth="1"/>
    <col min="9238" max="9238" width="11.5703125" style="145" bestFit="1" customWidth="1"/>
    <col min="9239" max="9239" width="12" style="145" bestFit="1" customWidth="1"/>
    <col min="9240" max="9240" width="16.28515625" style="145" bestFit="1" customWidth="1"/>
    <col min="9241" max="9241" width="13.42578125" style="145" customWidth="1"/>
    <col min="9242" max="9242" width="14.42578125" style="145" customWidth="1"/>
    <col min="9243" max="9243" width="18.7109375" style="145" bestFit="1" customWidth="1"/>
    <col min="9244" max="9244" width="7.85546875" style="145" customWidth="1"/>
    <col min="9245" max="9245" width="9.85546875" style="145" customWidth="1"/>
    <col min="9246" max="9247" width="11" style="145" bestFit="1" customWidth="1"/>
    <col min="9248" max="9248" width="11.140625" style="145" bestFit="1" customWidth="1"/>
    <col min="9249" max="9471" width="12.42578125" style="145"/>
    <col min="9472" max="9472" width="6.7109375" style="145" customWidth="1"/>
    <col min="9473" max="9473" width="25.28515625" style="145" customWidth="1"/>
    <col min="9474" max="9474" width="10" style="145" customWidth="1"/>
    <col min="9475" max="9476" width="7.5703125" style="145" customWidth="1"/>
    <col min="9477" max="9477" width="9" style="145" customWidth="1"/>
    <col min="9478" max="9478" width="7.140625" style="145" customWidth="1"/>
    <col min="9479" max="9479" width="10.5703125" style="145" bestFit="1" customWidth="1"/>
    <col min="9480" max="9480" width="9.85546875" style="145" customWidth="1"/>
    <col min="9481" max="9481" width="7.7109375" style="145" customWidth="1"/>
    <col min="9482" max="9482" width="9.85546875" style="145" customWidth="1"/>
    <col min="9483" max="9483" width="7.42578125" style="145" bestFit="1" customWidth="1"/>
    <col min="9484" max="9484" width="9.85546875" style="145" customWidth="1"/>
    <col min="9485" max="9485" width="8.85546875" style="145" customWidth="1"/>
    <col min="9486" max="9486" width="11.140625" style="145" bestFit="1" customWidth="1"/>
    <col min="9487" max="9488" width="9" style="145" customWidth="1"/>
    <col min="9489" max="9489" width="9.140625" style="145" customWidth="1"/>
    <col min="9490" max="9490" width="9.85546875" style="145" customWidth="1"/>
    <col min="9491" max="9491" width="10.5703125" style="145" customWidth="1"/>
    <col min="9492" max="9492" width="12.140625" style="145" customWidth="1"/>
    <col min="9493" max="9493" width="11.140625" style="145" customWidth="1"/>
    <col min="9494" max="9494" width="11.5703125" style="145" bestFit="1" customWidth="1"/>
    <col min="9495" max="9495" width="12" style="145" bestFit="1" customWidth="1"/>
    <col min="9496" max="9496" width="16.28515625" style="145" bestFit="1" customWidth="1"/>
    <col min="9497" max="9497" width="13.42578125" style="145" customWidth="1"/>
    <col min="9498" max="9498" width="14.42578125" style="145" customWidth="1"/>
    <col min="9499" max="9499" width="18.7109375" style="145" bestFit="1" customWidth="1"/>
    <col min="9500" max="9500" width="7.85546875" style="145" customWidth="1"/>
    <col min="9501" max="9501" width="9.85546875" style="145" customWidth="1"/>
    <col min="9502" max="9503" width="11" style="145" bestFit="1" customWidth="1"/>
    <col min="9504" max="9504" width="11.140625" style="145" bestFit="1" customWidth="1"/>
    <col min="9505" max="9727" width="12.42578125" style="145"/>
    <col min="9728" max="9728" width="6.7109375" style="145" customWidth="1"/>
    <col min="9729" max="9729" width="25.28515625" style="145" customWidth="1"/>
    <col min="9730" max="9730" width="10" style="145" customWidth="1"/>
    <col min="9731" max="9732" width="7.5703125" style="145" customWidth="1"/>
    <col min="9733" max="9733" width="9" style="145" customWidth="1"/>
    <col min="9734" max="9734" width="7.140625" style="145" customWidth="1"/>
    <col min="9735" max="9735" width="10.5703125" style="145" bestFit="1" customWidth="1"/>
    <col min="9736" max="9736" width="9.85546875" style="145" customWidth="1"/>
    <col min="9737" max="9737" width="7.7109375" style="145" customWidth="1"/>
    <col min="9738" max="9738" width="9.85546875" style="145" customWidth="1"/>
    <col min="9739" max="9739" width="7.42578125" style="145" bestFit="1" customWidth="1"/>
    <col min="9740" max="9740" width="9.85546875" style="145" customWidth="1"/>
    <col min="9741" max="9741" width="8.85546875" style="145" customWidth="1"/>
    <col min="9742" max="9742" width="11.140625" style="145" bestFit="1" customWidth="1"/>
    <col min="9743" max="9744" width="9" style="145" customWidth="1"/>
    <col min="9745" max="9745" width="9.140625" style="145" customWidth="1"/>
    <col min="9746" max="9746" width="9.85546875" style="145" customWidth="1"/>
    <col min="9747" max="9747" width="10.5703125" style="145" customWidth="1"/>
    <col min="9748" max="9748" width="12.140625" style="145" customWidth="1"/>
    <col min="9749" max="9749" width="11.140625" style="145" customWidth="1"/>
    <col min="9750" max="9750" width="11.5703125" style="145" bestFit="1" customWidth="1"/>
    <col min="9751" max="9751" width="12" style="145" bestFit="1" customWidth="1"/>
    <col min="9752" max="9752" width="16.28515625" style="145" bestFit="1" customWidth="1"/>
    <col min="9753" max="9753" width="13.42578125" style="145" customWidth="1"/>
    <col min="9754" max="9754" width="14.42578125" style="145" customWidth="1"/>
    <col min="9755" max="9755" width="18.7109375" style="145" bestFit="1" customWidth="1"/>
    <col min="9756" max="9756" width="7.85546875" style="145" customWidth="1"/>
    <col min="9757" max="9757" width="9.85546875" style="145" customWidth="1"/>
    <col min="9758" max="9759" width="11" style="145" bestFit="1" customWidth="1"/>
    <col min="9760" max="9760" width="11.140625" style="145" bestFit="1" customWidth="1"/>
    <col min="9761" max="9983" width="12.42578125" style="145"/>
    <col min="9984" max="9984" width="6.7109375" style="145" customWidth="1"/>
    <col min="9985" max="9985" width="25.28515625" style="145" customWidth="1"/>
    <col min="9986" max="9986" width="10" style="145" customWidth="1"/>
    <col min="9987" max="9988" width="7.5703125" style="145" customWidth="1"/>
    <col min="9989" max="9989" width="9" style="145" customWidth="1"/>
    <col min="9990" max="9990" width="7.140625" style="145" customWidth="1"/>
    <col min="9991" max="9991" width="10.5703125" style="145" bestFit="1" customWidth="1"/>
    <col min="9992" max="9992" width="9.85546875" style="145" customWidth="1"/>
    <col min="9993" max="9993" width="7.7109375" style="145" customWidth="1"/>
    <col min="9994" max="9994" width="9.85546875" style="145" customWidth="1"/>
    <col min="9995" max="9995" width="7.42578125" style="145" bestFit="1" customWidth="1"/>
    <col min="9996" max="9996" width="9.85546875" style="145" customWidth="1"/>
    <col min="9997" max="9997" width="8.85546875" style="145" customWidth="1"/>
    <col min="9998" max="9998" width="11.140625" style="145" bestFit="1" customWidth="1"/>
    <col min="9999" max="10000" width="9" style="145" customWidth="1"/>
    <col min="10001" max="10001" width="9.140625" style="145" customWidth="1"/>
    <col min="10002" max="10002" width="9.85546875" style="145" customWidth="1"/>
    <col min="10003" max="10003" width="10.5703125" style="145" customWidth="1"/>
    <col min="10004" max="10004" width="12.140625" style="145" customWidth="1"/>
    <col min="10005" max="10005" width="11.140625" style="145" customWidth="1"/>
    <col min="10006" max="10006" width="11.5703125" style="145" bestFit="1" customWidth="1"/>
    <col min="10007" max="10007" width="12" style="145" bestFit="1" customWidth="1"/>
    <col min="10008" max="10008" width="16.28515625" style="145" bestFit="1" customWidth="1"/>
    <col min="10009" max="10009" width="13.42578125" style="145" customWidth="1"/>
    <col min="10010" max="10010" width="14.42578125" style="145" customWidth="1"/>
    <col min="10011" max="10011" width="18.7109375" style="145" bestFit="1" customWidth="1"/>
    <col min="10012" max="10012" width="7.85546875" style="145" customWidth="1"/>
    <col min="10013" max="10013" width="9.85546875" style="145" customWidth="1"/>
    <col min="10014" max="10015" width="11" style="145" bestFit="1" customWidth="1"/>
    <col min="10016" max="10016" width="11.140625" style="145" bestFit="1" customWidth="1"/>
    <col min="10017" max="10239" width="12.42578125" style="145"/>
    <col min="10240" max="10240" width="6.7109375" style="145" customWidth="1"/>
    <col min="10241" max="10241" width="25.28515625" style="145" customWidth="1"/>
    <col min="10242" max="10242" width="10" style="145" customWidth="1"/>
    <col min="10243" max="10244" width="7.5703125" style="145" customWidth="1"/>
    <col min="10245" max="10245" width="9" style="145" customWidth="1"/>
    <col min="10246" max="10246" width="7.140625" style="145" customWidth="1"/>
    <col min="10247" max="10247" width="10.5703125" style="145" bestFit="1" customWidth="1"/>
    <col min="10248" max="10248" width="9.85546875" style="145" customWidth="1"/>
    <col min="10249" max="10249" width="7.7109375" style="145" customWidth="1"/>
    <col min="10250" max="10250" width="9.85546875" style="145" customWidth="1"/>
    <col min="10251" max="10251" width="7.42578125" style="145" bestFit="1" customWidth="1"/>
    <col min="10252" max="10252" width="9.85546875" style="145" customWidth="1"/>
    <col min="10253" max="10253" width="8.85546875" style="145" customWidth="1"/>
    <col min="10254" max="10254" width="11.140625" style="145" bestFit="1" customWidth="1"/>
    <col min="10255" max="10256" width="9" style="145" customWidth="1"/>
    <col min="10257" max="10257" width="9.140625" style="145" customWidth="1"/>
    <col min="10258" max="10258" width="9.85546875" style="145" customWidth="1"/>
    <col min="10259" max="10259" width="10.5703125" style="145" customWidth="1"/>
    <col min="10260" max="10260" width="12.140625" style="145" customWidth="1"/>
    <col min="10261" max="10261" width="11.140625" style="145" customWidth="1"/>
    <col min="10262" max="10262" width="11.5703125" style="145" bestFit="1" customWidth="1"/>
    <col min="10263" max="10263" width="12" style="145" bestFit="1" customWidth="1"/>
    <col min="10264" max="10264" width="16.28515625" style="145" bestFit="1" customWidth="1"/>
    <col min="10265" max="10265" width="13.42578125" style="145" customWidth="1"/>
    <col min="10266" max="10266" width="14.42578125" style="145" customWidth="1"/>
    <col min="10267" max="10267" width="18.7109375" style="145" bestFit="1" customWidth="1"/>
    <col min="10268" max="10268" width="7.85546875" style="145" customWidth="1"/>
    <col min="10269" max="10269" width="9.85546875" style="145" customWidth="1"/>
    <col min="10270" max="10271" width="11" style="145" bestFit="1" customWidth="1"/>
    <col min="10272" max="10272" width="11.140625" style="145" bestFit="1" customWidth="1"/>
    <col min="10273" max="10495" width="12.42578125" style="145"/>
    <col min="10496" max="10496" width="6.7109375" style="145" customWidth="1"/>
    <col min="10497" max="10497" width="25.28515625" style="145" customWidth="1"/>
    <col min="10498" max="10498" width="10" style="145" customWidth="1"/>
    <col min="10499" max="10500" width="7.5703125" style="145" customWidth="1"/>
    <col min="10501" max="10501" width="9" style="145" customWidth="1"/>
    <col min="10502" max="10502" width="7.140625" style="145" customWidth="1"/>
    <col min="10503" max="10503" width="10.5703125" style="145" bestFit="1" customWidth="1"/>
    <col min="10504" max="10504" width="9.85546875" style="145" customWidth="1"/>
    <col min="10505" max="10505" width="7.7109375" style="145" customWidth="1"/>
    <col min="10506" max="10506" width="9.85546875" style="145" customWidth="1"/>
    <col min="10507" max="10507" width="7.42578125" style="145" bestFit="1" customWidth="1"/>
    <col min="10508" max="10508" width="9.85546875" style="145" customWidth="1"/>
    <col min="10509" max="10509" width="8.85546875" style="145" customWidth="1"/>
    <col min="10510" max="10510" width="11.140625" style="145" bestFit="1" customWidth="1"/>
    <col min="10511" max="10512" width="9" style="145" customWidth="1"/>
    <col min="10513" max="10513" width="9.140625" style="145" customWidth="1"/>
    <col min="10514" max="10514" width="9.85546875" style="145" customWidth="1"/>
    <col min="10515" max="10515" width="10.5703125" style="145" customWidth="1"/>
    <col min="10516" max="10516" width="12.140625" style="145" customWidth="1"/>
    <col min="10517" max="10517" width="11.140625" style="145" customWidth="1"/>
    <col min="10518" max="10518" width="11.5703125" style="145" bestFit="1" customWidth="1"/>
    <col min="10519" max="10519" width="12" style="145" bestFit="1" customWidth="1"/>
    <col min="10520" max="10520" width="16.28515625" style="145" bestFit="1" customWidth="1"/>
    <col min="10521" max="10521" width="13.42578125" style="145" customWidth="1"/>
    <col min="10522" max="10522" width="14.42578125" style="145" customWidth="1"/>
    <col min="10523" max="10523" width="18.7109375" style="145" bestFit="1" customWidth="1"/>
    <col min="10524" max="10524" width="7.85546875" style="145" customWidth="1"/>
    <col min="10525" max="10525" width="9.85546875" style="145" customWidth="1"/>
    <col min="10526" max="10527" width="11" style="145" bestFit="1" customWidth="1"/>
    <col min="10528" max="10528" width="11.140625" style="145" bestFit="1" customWidth="1"/>
    <col min="10529" max="10751" width="12.42578125" style="145"/>
    <col min="10752" max="10752" width="6.7109375" style="145" customWidth="1"/>
    <col min="10753" max="10753" width="25.28515625" style="145" customWidth="1"/>
    <col min="10754" max="10754" width="10" style="145" customWidth="1"/>
    <col min="10755" max="10756" width="7.5703125" style="145" customWidth="1"/>
    <col min="10757" max="10757" width="9" style="145" customWidth="1"/>
    <col min="10758" max="10758" width="7.140625" style="145" customWidth="1"/>
    <col min="10759" max="10759" width="10.5703125" style="145" bestFit="1" customWidth="1"/>
    <col min="10760" max="10760" width="9.85546875" style="145" customWidth="1"/>
    <col min="10761" max="10761" width="7.7109375" style="145" customWidth="1"/>
    <col min="10762" max="10762" width="9.85546875" style="145" customWidth="1"/>
    <col min="10763" max="10763" width="7.42578125" style="145" bestFit="1" customWidth="1"/>
    <col min="10764" max="10764" width="9.85546875" style="145" customWidth="1"/>
    <col min="10765" max="10765" width="8.85546875" style="145" customWidth="1"/>
    <col min="10766" max="10766" width="11.140625" style="145" bestFit="1" customWidth="1"/>
    <col min="10767" max="10768" width="9" style="145" customWidth="1"/>
    <col min="10769" max="10769" width="9.140625" style="145" customWidth="1"/>
    <col min="10770" max="10770" width="9.85546875" style="145" customWidth="1"/>
    <col min="10771" max="10771" width="10.5703125" style="145" customWidth="1"/>
    <col min="10772" max="10772" width="12.140625" style="145" customWidth="1"/>
    <col min="10773" max="10773" width="11.140625" style="145" customWidth="1"/>
    <col min="10774" max="10774" width="11.5703125" style="145" bestFit="1" customWidth="1"/>
    <col min="10775" max="10775" width="12" style="145" bestFit="1" customWidth="1"/>
    <col min="10776" max="10776" width="16.28515625" style="145" bestFit="1" customWidth="1"/>
    <col min="10777" max="10777" width="13.42578125" style="145" customWidth="1"/>
    <col min="10778" max="10778" width="14.42578125" style="145" customWidth="1"/>
    <col min="10779" max="10779" width="18.7109375" style="145" bestFit="1" customWidth="1"/>
    <col min="10780" max="10780" width="7.85546875" style="145" customWidth="1"/>
    <col min="10781" max="10781" width="9.85546875" style="145" customWidth="1"/>
    <col min="10782" max="10783" width="11" style="145" bestFit="1" customWidth="1"/>
    <col min="10784" max="10784" width="11.140625" style="145" bestFit="1" customWidth="1"/>
    <col min="10785" max="11007" width="12.42578125" style="145"/>
    <col min="11008" max="11008" width="6.7109375" style="145" customWidth="1"/>
    <col min="11009" max="11009" width="25.28515625" style="145" customWidth="1"/>
    <col min="11010" max="11010" width="10" style="145" customWidth="1"/>
    <col min="11011" max="11012" width="7.5703125" style="145" customWidth="1"/>
    <col min="11013" max="11013" width="9" style="145" customWidth="1"/>
    <col min="11014" max="11014" width="7.140625" style="145" customWidth="1"/>
    <col min="11015" max="11015" width="10.5703125" style="145" bestFit="1" customWidth="1"/>
    <col min="11016" max="11016" width="9.85546875" style="145" customWidth="1"/>
    <col min="11017" max="11017" width="7.7109375" style="145" customWidth="1"/>
    <col min="11018" max="11018" width="9.85546875" style="145" customWidth="1"/>
    <col min="11019" max="11019" width="7.42578125" style="145" bestFit="1" customWidth="1"/>
    <col min="11020" max="11020" width="9.85546875" style="145" customWidth="1"/>
    <col min="11021" max="11021" width="8.85546875" style="145" customWidth="1"/>
    <col min="11022" max="11022" width="11.140625" style="145" bestFit="1" customWidth="1"/>
    <col min="11023" max="11024" width="9" style="145" customWidth="1"/>
    <col min="11025" max="11025" width="9.140625" style="145" customWidth="1"/>
    <col min="11026" max="11026" width="9.85546875" style="145" customWidth="1"/>
    <col min="11027" max="11027" width="10.5703125" style="145" customWidth="1"/>
    <col min="11028" max="11028" width="12.140625" style="145" customWidth="1"/>
    <col min="11029" max="11029" width="11.140625" style="145" customWidth="1"/>
    <col min="11030" max="11030" width="11.5703125" style="145" bestFit="1" customWidth="1"/>
    <col min="11031" max="11031" width="12" style="145" bestFit="1" customWidth="1"/>
    <col min="11032" max="11032" width="16.28515625" style="145" bestFit="1" customWidth="1"/>
    <col min="11033" max="11033" width="13.42578125" style="145" customWidth="1"/>
    <col min="11034" max="11034" width="14.42578125" style="145" customWidth="1"/>
    <col min="11035" max="11035" width="18.7109375" style="145" bestFit="1" customWidth="1"/>
    <col min="11036" max="11036" width="7.85546875" style="145" customWidth="1"/>
    <col min="11037" max="11037" width="9.85546875" style="145" customWidth="1"/>
    <col min="11038" max="11039" width="11" style="145" bestFit="1" customWidth="1"/>
    <col min="11040" max="11040" width="11.140625" style="145" bestFit="1" customWidth="1"/>
    <col min="11041" max="11263" width="12.42578125" style="145"/>
    <col min="11264" max="11264" width="6.7109375" style="145" customWidth="1"/>
    <col min="11265" max="11265" width="25.28515625" style="145" customWidth="1"/>
    <col min="11266" max="11266" width="10" style="145" customWidth="1"/>
    <col min="11267" max="11268" width="7.5703125" style="145" customWidth="1"/>
    <col min="11269" max="11269" width="9" style="145" customWidth="1"/>
    <col min="11270" max="11270" width="7.140625" style="145" customWidth="1"/>
    <col min="11271" max="11271" width="10.5703125" style="145" bestFit="1" customWidth="1"/>
    <col min="11272" max="11272" width="9.85546875" style="145" customWidth="1"/>
    <col min="11273" max="11273" width="7.7109375" style="145" customWidth="1"/>
    <col min="11274" max="11274" width="9.85546875" style="145" customWidth="1"/>
    <col min="11275" max="11275" width="7.42578125" style="145" bestFit="1" customWidth="1"/>
    <col min="11276" max="11276" width="9.85546875" style="145" customWidth="1"/>
    <col min="11277" max="11277" width="8.85546875" style="145" customWidth="1"/>
    <col min="11278" max="11278" width="11.140625" style="145" bestFit="1" customWidth="1"/>
    <col min="11279" max="11280" width="9" style="145" customWidth="1"/>
    <col min="11281" max="11281" width="9.140625" style="145" customWidth="1"/>
    <col min="11282" max="11282" width="9.85546875" style="145" customWidth="1"/>
    <col min="11283" max="11283" width="10.5703125" style="145" customWidth="1"/>
    <col min="11284" max="11284" width="12.140625" style="145" customWidth="1"/>
    <col min="11285" max="11285" width="11.140625" style="145" customWidth="1"/>
    <col min="11286" max="11286" width="11.5703125" style="145" bestFit="1" customWidth="1"/>
    <col min="11287" max="11287" width="12" style="145" bestFit="1" customWidth="1"/>
    <col min="11288" max="11288" width="16.28515625" style="145" bestFit="1" customWidth="1"/>
    <col min="11289" max="11289" width="13.42578125" style="145" customWidth="1"/>
    <col min="11290" max="11290" width="14.42578125" style="145" customWidth="1"/>
    <col min="11291" max="11291" width="18.7109375" style="145" bestFit="1" customWidth="1"/>
    <col min="11292" max="11292" width="7.85546875" style="145" customWidth="1"/>
    <col min="11293" max="11293" width="9.85546875" style="145" customWidth="1"/>
    <col min="11294" max="11295" width="11" style="145" bestFit="1" customWidth="1"/>
    <col min="11296" max="11296" width="11.140625" style="145" bestFit="1" customWidth="1"/>
    <col min="11297" max="11519" width="12.42578125" style="145"/>
    <col min="11520" max="11520" width="6.7109375" style="145" customWidth="1"/>
    <col min="11521" max="11521" width="25.28515625" style="145" customWidth="1"/>
    <col min="11522" max="11522" width="10" style="145" customWidth="1"/>
    <col min="11523" max="11524" width="7.5703125" style="145" customWidth="1"/>
    <col min="11525" max="11525" width="9" style="145" customWidth="1"/>
    <col min="11526" max="11526" width="7.140625" style="145" customWidth="1"/>
    <col min="11527" max="11527" width="10.5703125" style="145" bestFit="1" customWidth="1"/>
    <col min="11528" max="11528" width="9.85546875" style="145" customWidth="1"/>
    <col min="11529" max="11529" width="7.7109375" style="145" customWidth="1"/>
    <col min="11530" max="11530" width="9.85546875" style="145" customWidth="1"/>
    <col min="11531" max="11531" width="7.42578125" style="145" bestFit="1" customWidth="1"/>
    <col min="11532" max="11532" width="9.85546875" style="145" customWidth="1"/>
    <col min="11533" max="11533" width="8.85546875" style="145" customWidth="1"/>
    <col min="11534" max="11534" width="11.140625" style="145" bestFit="1" customWidth="1"/>
    <col min="11535" max="11536" width="9" style="145" customWidth="1"/>
    <col min="11537" max="11537" width="9.140625" style="145" customWidth="1"/>
    <col min="11538" max="11538" width="9.85546875" style="145" customWidth="1"/>
    <col min="11539" max="11539" width="10.5703125" style="145" customWidth="1"/>
    <col min="11540" max="11540" width="12.140625" style="145" customWidth="1"/>
    <col min="11541" max="11541" width="11.140625" style="145" customWidth="1"/>
    <col min="11542" max="11542" width="11.5703125" style="145" bestFit="1" customWidth="1"/>
    <col min="11543" max="11543" width="12" style="145" bestFit="1" customWidth="1"/>
    <col min="11544" max="11544" width="16.28515625" style="145" bestFit="1" customWidth="1"/>
    <col min="11545" max="11545" width="13.42578125" style="145" customWidth="1"/>
    <col min="11546" max="11546" width="14.42578125" style="145" customWidth="1"/>
    <col min="11547" max="11547" width="18.7109375" style="145" bestFit="1" customWidth="1"/>
    <col min="11548" max="11548" width="7.85546875" style="145" customWidth="1"/>
    <col min="11549" max="11549" width="9.85546875" style="145" customWidth="1"/>
    <col min="11550" max="11551" width="11" style="145" bestFit="1" customWidth="1"/>
    <col min="11552" max="11552" width="11.140625" style="145" bestFit="1" customWidth="1"/>
    <col min="11553" max="11775" width="12.42578125" style="145"/>
    <col min="11776" max="11776" width="6.7109375" style="145" customWidth="1"/>
    <col min="11777" max="11777" width="25.28515625" style="145" customWidth="1"/>
    <col min="11778" max="11778" width="10" style="145" customWidth="1"/>
    <col min="11779" max="11780" width="7.5703125" style="145" customWidth="1"/>
    <col min="11781" max="11781" width="9" style="145" customWidth="1"/>
    <col min="11782" max="11782" width="7.140625" style="145" customWidth="1"/>
    <col min="11783" max="11783" width="10.5703125" style="145" bestFit="1" customWidth="1"/>
    <col min="11784" max="11784" width="9.85546875" style="145" customWidth="1"/>
    <col min="11785" max="11785" width="7.7109375" style="145" customWidth="1"/>
    <col min="11786" max="11786" width="9.85546875" style="145" customWidth="1"/>
    <col min="11787" max="11787" width="7.42578125" style="145" bestFit="1" customWidth="1"/>
    <col min="11788" max="11788" width="9.85546875" style="145" customWidth="1"/>
    <col min="11789" max="11789" width="8.85546875" style="145" customWidth="1"/>
    <col min="11790" max="11790" width="11.140625" style="145" bestFit="1" customWidth="1"/>
    <col min="11791" max="11792" width="9" style="145" customWidth="1"/>
    <col min="11793" max="11793" width="9.140625" style="145" customWidth="1"/>
    <col min="11794" max="11794" width="9.85546875" style="145" customWidth="1"/>
    <col min="11795" max="11795" width="10.5703125" style="145" customWidth="1"/>
    <col min="11796" max="11796" width="12.140625" style="145" customWidth="1"/>
    <col min="11797" max="11797" width="11.140625" style="145" customWidth="1"/>
    <col min="11798" max="11798" width="11.5703125" style="145" bestFit="1" customWidth="1"/>
    <col min="11799" max="11799" width="12" style="145" bestFit="1" customWidth="1"/>
    <col min="11800" max="11800" width="16.28515625" style="145" bestFit="1" customWidth="1"/>
    <col min="11801" max="11801" width="13.42578125" style="145" customWidth="1"/>
    <col min="11802" max="11802" width="14.42578125" style="145" customWidth="1"/>
    <col min="11803" max="11803" width="18.7109375" style="145" bestFit="1" customWidth="1"/>
    <col min="11804" max="11804" width="7.85546875" style="145" customWidth="1"/>
    <col min="11805" max="11805" width="9.85546875" style="145" customWidth="1"/>
    <col min="11806" max="11807" width="11" style="145" bestFit="1" customWidth="1"/>
    <col min="11808" max="11808" width="11.140625" style="145" bestFit="1" customWidth="1"/>
    <col min="11809" max="12031" width="12.42578125" style="145"/>
    <col min="12032" max="12032" width="6.7109375" style="145" customWidth="1"/>
    <col min="12033" max="12033" width="25.28515625" style="145" customWidth="1"/>
    <col min="12034" max="12034" width="10" style="145" customWidth="1"/>
    <col min="12035" max="12036" width="7.5703125" style="145" customWidth="1"/>
    <col min="12037" max="12037" width="9" style="145" customWidth="1"/>
    <col min="12038" max="12038" width="7.140625" style="145" customWidth="1"/>
    <col min="12039" max="12039" width="10.5703125" style="145" bestFit="1" customWidth="1"/>
    <col min="12040" max="12040" width="9.85546875" style="145" customWidth="1"/>
    <col min="12041" max="12041" width="7.7109375" style="145" customWidth="1"/>
    <col min="12042" max="12042" width="9.85546875" style="145" customWidth="1"/>
    <col min="12043" max="12043" width="7.42578125" style="145" bestFit="1" customWidth="1"/>
    <col min="12044" max="12044" width="9.85546875" style="145" customWidth="1"/>
    <col min="12045" max="12045" width="8.85546875" style="145" customWidth="1"/>
    <col min="12046" max="12046" width="11.140625" style="145" bestFit="1" customWidth="1"/>
    <col min="12047" max="12048" width="9" style="145" customWidth="1"/>
    <col min="12049" max="12049" width="9.140625" style="145" customWidth="1"/>
    <col min="12050" max="12050" width="9.85546875" style="145" customWidth="1"/>
    <col min="12051" max="12051" width="10.5703125" style="145" customWidth="1"/>
    <col min="12052" max="12052" width="12.140625" style="145" customWidth="1"/>
    <col min="12053" max="12053" width="11.140625" style="145" customWidth="1"/>
    <col min="12054" max="12054" width="11.5703125" style="145" bestFit="1" customWidth="1"/>
    <col min="12055" max="12055" width="12" style="145" bestFit="1" customWidth="1"/>
    <col min="12056" max="12056" width="16.28515625" style="145" bestFit="1" customWidth="1"/>
    <col min="12057" max="12057" width="13.42578125" style="145" customWidth="1"/>
    <col min="12058" max="12058" width="14.42578125" style="145" customWidth="1"/>
    <col min="12059" max="12059" width="18.7109375" style="145" bestFit="1" customWidth="1"/>
    <col min="12060" max="12060" width="7.85546875" style="145" customWidth="1"/>
    <col min="12061" max="12061" width="9.85546875" style="145" customWidth="1"/>
    <col min="12062" max="12063" width="11" style="145" bestFit="1" customWidth="1"/>
    <col min="12064" max="12064" width="11.140625" style="145" bestFit="1" customWidth="1"/>
    <col min="12065" max="12287" width="12.42578125" style="145"/>
    <col min="12288" max="12288" width="6.7109375" style="145" customWidth="1"/>
    <col min="12289" max="12289" width="25.28515625" style="145" customWidth="1"/>
    <col min="12290" max="12290" width="10" style="145" customWidth="1"/>
    <col min="12291" max="12292" width="7.5703125" style="145" customWidth="1"/>
    <col min="12293" max="12293" width="9" style="145" customWidth="1"/>
    <col min="12294" max="12294" width="7.140625" style="145" customWidth="1"/>
    <col min="12295" max="12295" width="10.5703125" style="145" bestFit="1" customWidth="1"/>
    <col min="12296" max="12296" width="9.85546875" style="145" customWidth="1"/>
    <col min="12297" max="12297" width="7.7109375" style="145" customWidth="1"/>
    <col min="12298" max="12298" width="9.85546875" style="145" customWidth="1"/>
    <col min="12299" max="12299" width="7.42578125" style="145" bestFit="1" customWidth="1"/>
    <col min="12300" max="12300" width="9.85546875" style="145" customWidth="1"/>
    <col min="12301" max="12301" width="8.85546875" style="145" customWidth="1"/>
    <col min="12302" max="12302" width="11.140625" style="145" bestFit="1" customWidth="1"/>
    <col min="12303" max="12304" width="9" style="145" customWidth="1"/>
    <col min="12305" max="12305" width="9.140625" style="145" customWidth="1"/>
    <col min="12306" max="12306" width="9.85546875" style="145" customWidth="1"/>
    <col min="12307" max="12307" width="10.5703125" style="145" customWidth="1"/>
    <col min="12308" max="12308" width="12.140625" style="145" customWidth="1"/>
    <col min="12309" max="12309" width="11.140625" style="145" customWidth="1"/>
    <col min="12310" max="12310" width="11.5703125" style="145" bestFit="1" customWidth="1"/>
    <col min="12311" max="12311" width="12" style="145" bestFit="1" customWidth="1"/>
    <col min="12312" max="12312" width="16.28515625" style="145" bestFit="1" customWidth="1"/>
    <col min="12313" max="12313" width="13.42578125" style="145" customWidth="1"/>
    <col min="12314" max="12314" width="14.42578125" style="145" customWidth="1"/>
    <col min="12315" max="12315" width="18.7109375" style="145" bestFit="1" customWidth="1"/>
    <col min="12316" max="12316" width="7.85546875" style="145" customWidth="1"/>
    <col min="12317" max="12317" width="9.85546875" style="145" customWidth="1"/>
    <col min="12318" max="12319" width="11" style="145" bestFit="1" customWidth="1"/>
    <col min="12320" max="12320" width="11.140625" style="145" bestFit="1" customWidth="1"/>
    <col min="12321" max="12543" width="12.42578125" style="145"/>
    <col min="12544" max="12544" width="6.7109375" style="145" customWidth="1"/>
    <col min="12545" max="12545" width="25.28515625" style="145" customWidth="1"/>
    <col min="12546" max="12546" width="10" style="145" customWidth="1"/>
    <col min="12547" max="12548" width="7.5703125" style="145" customWidth="1"/>
    <col min="12549" max="12549" width="9" style="145" customWidth="1"/>
    <col min="12550" max="12550" width="7.140625" style="145" customWidth="1"/>
    <col min="12551" max="12551" width="10.5703125" style="145" bestFit="1" customWidth="1"/>
    <col min="12552" max="12552" width="9.85546875" style="145" customWidth="1"/>
    <col min="12553" max="12553" width="7.7109375" style="145" customWidth="1"/>
    <col min="12554" max="12554" width="9.85546875" style="145" customWidth="1"/>
    <col min="12555" max="12555" width="7.42578125" style="145" bestFit="1" customWidth="1"/>
    <col min="12556" max="12556" width="9.85546875" style="145" customWidth="1"/>
    <col min="12557" max="12557" width="8.85546875" style="145" customWidth="1"/>
    <col min="12558" max="12558" width="11.140625" style="145" bestFit="1" customWidth="1"/>
    <col min="12559" max="12560" width="9" style="145" customWidth="1"/>
    <col min="12561" max="12561" width="9.140625" style="145" customWidth="1"/>
    <col min="12562" max="12562" width="9.85546875" style="145" customWidth="1"/>
    <col min="12563" max="12563" width="10.5703125" style="145" customWidth="1"/>
    <col min="12564" max="12564" width="12.140625" style="145" customWidth="1"/>
    <col min="12565" max="12565" width="11.140625" style="145" customWidth="1"/>
    <col min="12566" max="12566" width="11.5703125" style="145" bestFit="1" customWidth="1"/>
    <col min="12567" max="12567" width="12" style="145" bestFit="1" customWidth="1"/>
    <col min="12568" max="12568" width="16.28515625" style="145" bestFit="1" customWidth="1"/>
    <col min="12569" max="12569" width="13.42578125" style="145" customWidth="1"/>
    <col min="12570" max="12570" width="14.42578125" style="145" customWidth="1"/>
    <col min="12571" max="12571" width="18.7109375" style="145" bestFit="1" customWidth="1"/>
    <col min="12572" max="12572" width="7.85546875" style="145" customWidth="1"/>
    <col min="12573" max="12573" width="9.85546875" style="145" customWidth="1"/>
    <col min="12574" max="12575" width="11" style="145" bestFit="1" customWidth="1"/>
    <col min="12576" max="12576" width="11.140625" style="145" bestFit="1" customWidth="1"/>
    <col min="12577" max="12799" width="12.42578125" style="145"/>
    <col min="12800" max="12800" width="6.7109375" style="145" customWidth="1"/>
    <col min="12801" max="12801" width="25.28515625" style="145" customWidth="1"/>
    <col min="12802" max="12802" width="10" style="145" customWidth="1"/>
    <col min="12803" max="12804" width="7.5703125" style="145" customWidth="1"/>
    <col min="12805" max="12805" width="9" style="145" customWidth="1"/>
    <col min="12806" max="12806" width="7.140625" style="145" customWidth="1"/>
    <col min="12807" max="12807" width="10.5703125" style="145" bestFit="1" customWidth="1"/>
    <col min="12808" max="12808" width="9.85546875" style="145" customWidth="1"/>
    <col min="12809" max="12809" width="7.7109375" style="145" customWidth="1"/>
    <col min="12810" max="12810" width="9.85546875" style="145" customWidth="1"/>
    <col min="12811" max="12811" width="7.42578125" style="145" bestFit="1" customWidth="1"/>
    <col min="12812" max="12812" width="9.85546875" style="145" customWidth="1"/>
    <col min="12813" max="12813" width="8.85546875" style="145" customWidth="1"/>
    <col min="12814" max="12814" width="11.140625" style="145" bestFit="1" customWidth="1"/>
    <col min="12815" max="12816" width="9" style="145" customWidth="1"/>
    <col min="12817" max="12817" width="9.140625" style="145" customWidth="1"/>
    <col min="12818" max="12818" width="9.85546875" style="145" customWidth="1"/>
    <col min="12819" max="12819" width="10.5703125" style="145" customWidth="1"/>
    <col min="12820" max="12820" width="12.140625" style="145" customWidth="1"/>
    <col min="12821" max="12821" width="11.140625" style="145" customWidth="1"/>
    <col min="12822" max="12822" width="11.5703125" style="145" bestFit="1" customWidth="1"/>
    <col min="12823" max="12823" width="12" style="145" bestFit="1" customWidth="1"/>
    <col min="12824" max="12824" width="16.28515625" style="145" bestFit="1" customWidth="1"/>
    <col min="12825" max="12825" width="13.42578125" style="145" customWidth="1"/>
    <col min="12826" max="12826" width="14.42578125" style="145" customWidth="1"/>
    <col min="12827" max="12827" width="18.7109375" style="145" bestFit="1" customWidth="1"/>
    <col min="12828" max="12828" width="7.85546875" style="145" customWidth="1"/>
    <col min="12829" max="12829" width="9.85546875" style="145" customWidth="1"/>
    <col min="12830" max="12831" width="11" style="145" bestFit="1" customWidth="1"/>
    <col min="12832" max="12832" width="11.140625" style="145" bestFit="1" customWidth="1"/>
    <col min="12833" max="13055" width="12.42578125" style="145"/>
    <col min="13056" max="13056" width="6.7109375" style="145" customWidth="1"/>
    <col min="13057" max="13057" width="25.28515625" style="145" customWidth="1"/>
    <col min="13058" max="13058" width="10" style="145" customWidth="1"/>
    <col min="13059" max="13060" width="7.5703125" style="145" customWidth="1"/>
    <col min="13061" max="13061" width="9" style="145" customWidth="1"/>
    <col min="13062" max="13062" width="7.140625" style="145" customWidth="1"/>
    <col min="13063" max="13063" width="10.5703125" style="145" bestFit="1" customWidth="1"/>
    <col min="13064" max="13064" width="9.85546875" style="145" customWidth="1"/>
    <col min="13065" max="13065" width="7.7109375" style="145" customWidth="1"/>
    <col min="13066" max="13066" width="9.85546875" style="145" customWidth="1"/>
    <col min="13067" max="13067" width="7.42578125" style="145" bestFit="1" customWidth="1"/>
    <col min="13068" max="13068" width="9.85546875" style="145" customWidth="1"/>
    <col min="13069" max="13069" width="8.85546875" style="145" customWidth="1"/>
    <col min="13070" max="13070" width="11.140625" style="145" bestFit="1" customWidth="1"/>
    <col min="13071" max="13072" width="9" style="145" customWidth="1"/>
    <col min="13073" max="13073" width="9.140625" style="145" customWidth="1"/>
    <col min="13074" max="13074" width="9.85546875" style="145" customWidth="1"/>
    <col min="13075" max="13075" width="10.5703125" style="145" customWidth="1"/>
    <col min="13076" max="13076" width="12.140625" style="145" customWidth="1"/>
    <col min="13077" max="13077" width="11.140625" style="145" customWidth="1"/>
    <col min="13078" max="13078" width="11.5703125" style="145" bestFit="1" customWidth="1"/>
    <col min="13079" max="13079" width="12" style="145" bestFit="1" customWidth="1"/>
    <col min="13080" max="13080" width="16.28515625" style="145" bestFit="1" customWidth="1"/>
    <col min="13081" max="13081" width="13.42578125" style="145" customWidth="1"/>
    <col min="13082" max="13082" width="14.42578125" style="145" customWidth="1"/>
    <col min="13083" max="13083" width="18.7109375" style="145" bestFit="1" customWidth="1"/>
    <col min="13084" max="13084" width="7.85546875" style="145" customWidth="1"/>
    <col min="13085" max="13085" width="9.85546875" style="145" customWidth="1"/>
    <col min="13086" max="13087" width="11" style="145" bestFit="1" customWidth="1"/>
    <col min="13088" max="13088" width="11.140625" style="145" bestFit="1" customWidth="1"/>
    <col min="13089" max="13311" width="12.42578125" style="145"/>
    <col min="13312" max="13312" width="6.7109375" style="145" customWidth="1"/>
    <col min="13313" max="13313" width="25.28515625" style="145" customWidth="1"/>
    <col min="13314" max="13314" width="10" style="145" customWidth="1"/>
    <col min="13315" max="13316" width="7.5703125" style="145" customWidth="1"/>
    <col min="13317" max="13317" width="9" style="145" customWidth="1"/>
    <col min="13318" max="13318" width="7.140625" style="145" customWidth="1"/>
    <col min="13319" max="13319" width="10.5703125" style="145" bestFit="1" customWidth="1"/>
    <col min="13320" max="13320" width="9.85546875" style="145" customWidth="1"/>
    <col min="13321" max="13321" width="7.7109375" style="145" customWidth="1"/>
    <col min="13322" max="13322" width="9.85546875" style="145" customWidth="1"/>
    <col min="13323" max="13323" width="7.42578125" style="145" bestFit="1" customWidth="1"/>
    <col min="13324" max="13324" width="9.85546875" style="145" customWidth="1"/>
    <col min="13325" max="13325" width="8.85546875" style="145" customWidth="1"/>
    <col min="13326" max="13326" width="11.140625" style="145" bestFit="1" customWidth="1"/>
    <col min="13327" max="13328" width="9" style="145" customWidth="1"/>
    <col min="13329" max="13329" width="9.140625" style="145" customWidth="1"/>
    <col min="13330" max="13330" width="9.85546875" style="145" customWidth="1"/>
    <col min="13331" max="13331" width="10.5703125" style="145" customWidth="1"/>
    <col min="13332" max="13332" width="12.140625" style="145" customWidth="1"/>
    <col min="13333" max="13333" width="11.140625" style="145" customWidth="1"/>
    <col min="13334" max="13334" width="11.5703125" style="145" bestFit="1" customWidth="1"/>
    <col min="13335" max="13335" width="12" style="145" bestFit="1" customWidth="1"/>
    <col min="13336" max="13336" width="16.28515625" style="145" bestFit="1" customWidth="1"/>
    <col min="13337" max="13337" width="13.42578125" style="145" customWidth="1"/>
    <col min="13338" max="13338" width="14.42578125" style="145" customWidth="1"/>
    <col min="13339" max="13339" width="18.7109375" style="145" bestFit="1" customWidth="1"/>
    <col min="13340" max="13340" width="7.85546875" style="145" customWidth="1"/>
    <col min="13341" max="13341" width="9.85546875" style="145" customWidth="1"/>
    <col min="13342" max="13343" width="11" style="145" bestFit="1" customWidth="1"/>
    <col min="13344" max="13344" width="11.140625" style="145" bestFit="1" customWidth="1"/>
    <col min="13345" max="13567" width="12.42578125" style="145"/>
    <col min="13568" max="13568" width="6.7109375" style="145" customWidth="1"/>
    <col min="13569" max="13569" width="25.28515625" style="145" customWidth="1"/>
    <col min="13570" max="13570" width="10" style="145" customWidth="1"/>
    <col min="13571" max="13572" width="7.5703125" style="145" customWidth="1"/>
    <col min="13573" max="13573" width="9" style="145" customWidth="1"/>
    <col min="13574" max="13574" width="7.140625" style="145" customWidth="1"/>
    <col min="13575" max="13575" width="10.5703125" style="145" bestFit="1" customWidth="1"/>
    <col min="13576" max="13576" width="9.85546875" style="145" customWidth="1"/>
    <col min="13577" max="13577" width="7.7109375" style="145" customWidth="1"/>
    <col min="13578" max="13578" width="9.85546875" style="145" customWidth="1"/>
    <col min="13579" max="13579" width="7.42578125" style="145" bestFit="1" customWidth="1"/>
    <col min="13580" max="13580" width="9.85546875" style="145" customWidth="1"/>
    <col min="13581" max="13581" width="8.85546875" style="145" customWidth="1"/>
    <col min="13582" max="13582" width="11.140625" style="145" bestFit="1" customWidth="1"/>
    <col min="13583" max="13584" width="9" style="145" customWidth="1"/>
    <col min="13585" max="13585" width="9.140625" style="145" customWidth="1"/>
    <col min="13586" max="13586" width="9.85546875" style="145" customWidth="1"/>
    <col min="13587" max="13587" width="10.5703125" style="145" customWidth="1"/>
    <col min="13588" max="13588" width="12.140625" style="145" customWidth="1"/>
    <col min="13589" max="13589" width="11.140625" style="145" customWidth="1"/>
    <col min="13590" max="13590" width="11.5703125" style="145" bestFit="1" customWidth="1"/>
    <col min="13591" max="13591" width="12" style="145" bestFit="1" customWidth="1"/>
    <col min="13592" max="13592" width="16.28515625" style="145" bestFit="1" customWidth="1"/>
    <col min="13593" max="13593" width="13.42578125" style="145" customWidth="1"/>
    <col min="13594" max="13594" width="14.42578125" style="145" customWidth="1"/>
    <col min="13595" max="13595" width="18.7109375" style="145" bestFit="1" customWidth="1"/>
    <col min="13596" max="13596" width="7.85546875" style="145" customWidth="1"/>
    <col min="13597" max="13597" width="9.85546875" style="145" customWidth="1"/>
    <col min="13598" max="13599" width="11" style="145" bestFit="1" customWidth="1"/>
    <col min="13600" max="13600" width="11.140625" style="145" bestFit="1" customWidth="1"/>
    <col min="13601" max="13823" width="12.42578125" style="145"/>
    <col min="13824" max="13824" width="6.7109375" style="145" customWidth="1"/>
    <col min="13825" max="13825" width="25.28515625" style="145" customWidth="1"/>
    <col min="13826" max="13826" width="10" style="145" customWidth="1"/>
    <col min="13827" max="13828" width="7.5703125" style="145" customWidth="1"/>
    <col min="13829" max="13829" width="9" style="145" customWidth="1"/>
    <col min="13830" max="13830" width="7.140625" style="145" customWidth="1"/>
    <col min="13831" max="13831" width="10.5703125" style="145" bestFit="1" customWidth="1"/>
    <col min="13832" max="13832" width="9.85546875" style="145" customWidth="1"/>
    <col min="13833" max="13833" width="7.7109375" style="145" customWidth="1"/>
    <col min="13834" max="13834" width="9.85546875" style="145" customWidth="1"/>
    <col min="13835" max="13835" width="7.42578125" style="145" bestFit="1" customWidth="1"/>
    <col min="13836" max="13836" width="9.85546875" style="145" customWidth="1"/>
    <col min="13837" max="13837" width="8.85546875" style="145" customWidth="1"/>
    <col min="13838" max="13838" width="11.140625" style="145" bestFit="1" customWidth="1"/>
    <col min="13839" max="13840" width="9" style="145" customWidth="1"/>
    <col min="13841" max="13841" width="9.140625" style="145" customWidth="1"/>
    <col min="13842" max="13842" width="9.85546875" style="145" customWidth="1"/>
    <col min="13843" max="13843" width="10.5703125" style="145" customWidth="1"/>
    <col min="13844" max="13844" width="12.140625" style="145" customWidth="1"/>
    <col min="13845" max="13845" width="11.140625" style="145" customWidth="1"/>
    <col min="13846" max="13846" width="11.5703125" style="145" bestFit="1" customWidth="1"/>
    <col min="13847" max="13847" width="12" style="145" bestFit="1" customWidth="1"/>
    <col min="13848" max="13848" width="16.28515625" style="145" bestFit="1" customWidth="1"/>
    <col min="13849" max="13849" width="13.42578125" style="145" customWidth="1"/>
    <col min="13850" max="13850" width="14.42578125" style="145" customWidth="1"/>
    <col min="13851" max="13851" width="18.7109375" style="145" bestFit="1" customWidth="1"/>
    <col min="13852" max="13852" width="7.85546875" style="145" customWidth="1"/>
    <col min="13853" max="13853" width="9.85546875" style="145" customWidth="1"/>
    <col min="13854" max="13855" width="11" style="145" bestFit="1" customWidth="1"/>
    <col min="13856" max="13856" width="11.140625" style="145" bestFit="1" customWidth="1"/>
    <col min="13857" max="14079" width="12.42578125" style="145"/>
    <col min="14080" max="14080" width="6.7109375" style="145" customWidth="1"/>
    <col min="14081" max="14081" width="25.28515625" style="145" customWidth="1"/>
    <col min="14082" max="14082" width="10" style="145" customWidth="1"/>
    <col min="14083" max="14084" width="7.5703125" style="145" customWidth="1"/>
    <col min="14085" max="14085" width="9" style="145" customWidth="1"/>
    <col min="14086" max="14086" width="7.140625" style="145" customWidth="1"/>
    <col min="14087" max="14087" width="10.5703125" style="145" bestFit="1" customWidth="1"/>
    <col min="14088" max="14088" width="9.85546875" style="145" customWidth="1"/>
    <col min="14089" max="14089" width="7.7109375" style="145" customWidth="1"/>
    <col min="14090" max="14090" width="9.85546875" style="145" customWidth="1"/>
    <col min="14091" max="14091" width="7.42578125" style="145" bestFit="1" customWidth="1"/>
    <col min="14092" max="14092" width="9.85546875" style="145" customWidth="1"/>
    <col min="14093" max="14093" width="8.85546875" style="145" customWidth="1"/>
    <col min="14094" max="14094" width="11.140625" style="145" bestFit="1" customWidth="1"/>
    <col min="14095" max="14096" width="9" style="145" customWidth="1"/>
    <col min="14097" max="14097" width="9.140625" style="145" customWidth="1"/>
    <col min="14098" max="14098" width="9.85546875" style="145" customWidth="1"/>
    <col min="14099" max="14099" width="10.5703125" style="145" customWidth="1"/>
    <col min="14100" max="14100" width="12.140625" style="145" customWidth="1"/>
    <col min="14101" max="14101" width="11.140625" style="145" customWidth="1"/>
    <col min="14102" max="14102" width="11.5703125" style="145" bestFit="1" customWidth="1"/>
    <col min="14103" max="14103" width="12" style="145" bestFit="1" customWidth="1"/>
    <col min="14104" max="14104" width="16.28515625" style="145" bestFit="1" customWidth="1"/>
    <col min="14105" max="14105" width="13.42578125" style="145" customWidth="1"/>
    <col min="14106" max="14106" width="14.42578125" style="145" customWidth="1"/>
    <col min="14107" max="14107" width="18.7109375" style="145" bestFit="1" customWidth="1"/>
    <col min="14108" max="14108" width="7.85546875" style="145" customWidth="1"/>
    <col min="14109" max="14109" width="9.85546875" style="145" customWidth="1"/>
    <col min="14110" max="14111" width="11" style="145" bestFit="1" customWidth="1"/>
    <col min="14112" max="14112" width="11.140625" style="145" bestFit="1" customWidth="1"/>
    <col min="14113" max="14335" width="12.42578125" style="145"/>
    <col min="14336" max="14336" width="6.7109375" style="145" customWidth="1"/>
    <col min="14337" max="14337" width="25.28515625" style="145" customWidth="1"/>
    <col min="14338" max="14338" width="10" style="145" customWidth="1"/>
    <col min="14339" max="14340" width="7.5703125" style="145" customWidth="1"/>
    <col min="14341" max="14341" width="9" style="145" customWidth="1"/>
    <col min="14342" max="14342" width="7.140625" style="145" customWidth="1"/>
    <col min="14343" max="14343" width="10.5703125" style="145" bestFit="1" customWidth="1"/>
    <col min="14344" max="14344" width="9.85546875" style="145" customWidth="1"/>
    <col min="14345" max="14345" width="7.7109375" style="145" customWidth="1"/>
    <col min="14346" max="14346" width="9.85546875" style="145" customWidth="1"/>
    <col min="14347" max="14347" width="7.42578125" style="145" bestFit="1" customWidth="1"/>
    <col min="14348" max="14348" width="9.85546875" style="145" customWidth="1"/>
    <col min="14349" max="14349" width="8.85546875" style="145" customWidth="1"/>
    <col min="14350" max="14350" width="11.140625" style="145" bestFit="1" customWidth="1"/>
    <col min="14351" max="14352" width="9" style="145" customWidth="1"/>
    <col min="14353" max="14353" width="9.140625" style="145" customWidth="1"/>
    <col min="14354" max="14354" width="9.85546875" style="145" customWidth="1"/>
    <col min="14355" max="14355" width="10.5703125" style="145" customWidth="1"/>
    <col min="14356" max="14356" width="12.140625" style="145" customWidth="1"/>
    <col min="14357" max="14357" width="11.140625" style="145" customWidth="1"/>
    <col min="14358" max="14358" width="11.5703125" style="145" bestFit="1" customWidth="1"/>
    <col min="14359" max="14359" width="12" style="145" bestFit="1" customWidth="1"/>
    <col min="14360" max="14360" width="16.28515625" style="145" bestFit="1" customWidth="1"/>
    <col min="14361" max="14361" width="13.42578125" style="145" customWidth="1"/>
    <col min="14362" max="14362" width="14.42578125" style="145" customWidth="1"/>
    <col min="14363" max="14363" width="18.7109375" style="145" bestFit="1" customWidth="1"/>
    <col min="14364" max="14364" width="7.85546875" style="145" customWidth="1"/>
    <col min="14365" max="14365" width="9.85546875" style="145" customWidth="1"/>
    <col min="14366" max="14367" width="11" style="145" bestFit="1" customWidth="1"/>
    <col min="14368" max="14368" width="11.140625" style="145" bestFit="1" customWidth="1"/>
    <col min="14369" max="14591" width="12.42578125" style="145"/>
    <col min="14592" max="14592" width="6.7109375" style="145" customWidth="1"/>
    <col min="14593" max="14593" width="25.28515625" style="145" customWidth="1"/>
    <col min="14594" max="14594" width="10" style="145" customWidth="1"/>
    <col min="14595" max="14596" width="7.5703125" style="145" customWidth="1"/>
    <col min="14597" max="14597" width="9" style="145" customWidth="1"/>
    <col min="14598" max="14598" width="7.140625" style="145" customWidth="1"/>
    <col min="14599" max="14599" width="10.5703125" style="145" bestFit="1" customWidth="1"/>
    <col min="14600" max="14600" width="9.85546875" style="145" customWidth="1"/>
    <col min="14601" max="14601" width="7.7109375" style="145" customWidth="1"/>
    <col min="14602" max="14602" width="9.85546875" style="145" customWidth="1"/>
    <col min="14603" max="14603" width="7.42578125" style="145" bestFit="1" customWidth="1"/>
    <col min="14604" max="14604" width="9.85546875" style="145" customWidth="1"/>
    <col min="14605" max="14605" width="8.85546875" style="145" customWidth="1"/>
    <col min="14606" max="14606" width="11.140625" style="145" bestFit="1" customWidth="1"/>
    <col min="14607" max="14608" width="9" style="145" customWidth="1"/>
    <col min="14609" max="14609" width="9.140625" style="145" customWidth="1"/>
    <col min="14610" max="14610" width="9.85546875" style="145" customWidth="1"/>
    <col min="14611" max="14611" width="10.5703125" style="145" customWidth="1"/>
    <col min="14612" max="14612" width="12.140625" style="145" customWidth="1"/>
    <col min="14613" max="14613" width="11.140625" style="145" customWidth="1"/>
    <col min="14614" max="14614" width="11.5703125" style="145" bestFit="1" customWidth="1"/>
    <col min="14615" max="14615" width="12" style="145" bestFit="1" customWidth="1"/>
    <col min="14616" max="14616" width="16.28515625" style="145" bestFit="1" customWidth="1"/>
    <col min="14617" max="14617" width="13.42578125" style="145" customWidth="1"/>
    <col min="14618" max="14618" width="14.42578125" style="145" customWidth="1"/>
    <col min="14619" max="14619" width="18.7109375" style="145" bestFit="1" customWidth="1"/>
    <col min="14620" max="14620" width="7.85546875" style="145" customWidth="1"/>
    <col min="14621" max="14621" width="9.85546875" style="145" customWidth="1"/>
    <col min="14622" max="14623" width="11" style="145" bestFit="1" customWidth="1"/>
    <col min="14624" max="14624" width="11.140625" style="145" bestFit="1" customWidth="1"/>
    <col min="14625" max="14847" width="12.42578125" style="145"/>
    <col min="14848" max="14848" width="6.7109375" style="145" customWidth="1"/>
    <col min="14849" max="14849" width="25.28515625" style="145" customWidth="1"/>
    <col min="14850" max="14850" width="10" style="145" customWidth="1"/>
    <col min="14851" max="14852" width="7.5703125" style="145" customWidth="1"/>
    <col min="14853" max="14853" width="9" style="145" customWidth="1"/>
    <col min="14854" max="14854" width="7.140625" style="145" customWidth="1"/>
    <col min="14855" max="14855" width="10.5703125" style="145" bestFit="1" customWidth="1"/>
    <col min="14856" max="14856" width="9.85546875" style="145" customWidth="1"/>
    <col min="14857" max="14857" width="7.7109375" style="145" customWidth="1"/>
    <col min="14858" max="14858" width="9.85546875" style="145" customWidth="1"/>
    <col min="14859" max="14859" width="7.42578125" style="145" bestFit="1" customWidth="1"/>
    <col min="14860" max="14860" width="9.85546875" style="145" customWidth="1"/>
    <col min="14861" max="14861" width="8.85546875" style="145" customWidth="1"/>
    <col min="14862" max="14862" width="11.140625" style="145" bestFit="1" customWidth="1"/>
    <col min="14863" max="14864" width="9" style="145" customWidth="1"/>
    <col min="14865" max="14865" width="9.140625" style="145" customWidth="1"/>
    <col min="14866" max="14866" width="9.85546875" style="145" customWidth="1"/>
    <col min="14867" max="14867" width="10.5703125" style="145" customWidth="1"/>
    <col min="14868" max="14868" width="12.140625" style="145" customWidth="1"/>
    <col min="14869" max="14869" width="11.140625" style="145" customWidth="1"/>
    <col min="14870" max="14870" width="11.5703125" style="145" bestFit="1" customWidth="1"/>
    <col min="14871" max="14871" width="12" style="145" bestFit="1" customWidth="1"/>
    <col min="14872" max="14872" width="16.28515625" style="145" bestFit="1" customWidth="1"/>
    <col min="14873" max="14873" width="13.42578125" style="145" customWidth="1"/>
    <col min="14874" max="14874" width="14.42578125" style="145" customWidth="1"/>
    <col min="14875" max="14875" width="18.7109375" style="145" bestFit="1" customWidth="1"/>
    <col min="14876" max="14876" width="7.85546875" style="145" customWidth="1"/>
    <col min="14877" max="14877" width="9.85546875" style="145" customWidth="1"/>
    <col min="14878" max="14879" width="11" style="145" bestFit="1" customWidth="1"/>
    <col min="14880" max="14880" width="11.140625" style="145" bestFit="1" customWidth="1"/>
    <col min="14881" max="15103" width="12.42578125" style="145"/>
    <col min="15104" max="15104" width="6.7109375" style="145" customWidth="1"/>
    <col min="15105" max="15105" width="25.28515625" style="145" customWidth="1"/>
    <col min="15106" max="15106" width="10" style="145" customWidth="1"/>
    <col min="15107" max="15108" width="7.5703125" style="145" customWidth="1"/>
    <col min="15109" max="15109" width="9" style="145" customWidth="1"/>
    <col min="15110" max="15110" width="7.140625" style="145" customWidth="1"/>
    <col min="15111" max="15111" width="10.5703125" style="145" bestFit="1" customWidth="1"/>
    <col min="15112" max="15112" width="9.85546875" style="145" customWidth="1"/>
    <col min="15113" max="15113" width="7.7109375" style="145" customWidth="1"/>
    <col min="15114" max="15114" width="9.85546875" style="145" customWidth="1"/>
    <col min="15115" max="15115" width="7.42578125" style="145" bestFit="1" customWidth="1"/>
    <col min="15116" max="15116" width="9.85546875" style="145" customWidth="1"/>
    <col min="15117" max="15117" width="8.85546875" style="145" customWidth="1"/>
    <col min="15118" max="15118" width="11.140625" style="145" bestFit="1" customWidth="1"/>
    <col min="15119" max="15120" width="9" style="145" customWidth="1"/>
    <col min="15121" max="15121" width="9.140625" style="145" customWidth="1"/>
    <col min="15122" max="15122" width="9.85546875" style="145" customWidth="1"/>
    <col min="15123" max="15123" width="10.5703125" style="145" customWidth="1"/>
    <col min="15124" max="15124" width="12.140625" style="145" customWidth="1"/>
    <col min="15125" max="15125" width="11.140625" style="145" customWidth="1"/>
    <col min="15126" max="15126" width="11.5703125" style="145" bestFit="1" customWidth="1"/>
    <col min="15127" max="15127" width="12" style="145" bestFit="1" customWidth="1"/>
    <col min="15128" max="15128" width="16.28515625" style="145" bestFit="1" customWidth="1"/>
    <col min="15129" max="15129" width="13.42578125" style="145" customWidth="1"/>
    <col min="15130" max="15130" width="14.42578125" style="145" customWidth="1"/>
    <col min="15131" max="15131" width="18.7109375" style="145" bestFit="1" customWidth="1"/>
    <col min="15132" max="15132" width="7.85546875" style="145" customWidth="1"/>
    <col min="15133" max="15133" width="9.85546875" style="145" customWidth="1"/>
    <col min="15134" max="15135" width="11" style="145" bestFit="1" customWidth="1"/>
    <col min="15136" max="15136" width="11.140625" style="145" bestFit="1" customWidth="1"/>
    <col min="15137" max="15359" width="12.42578125" style="145"/>
    <col min="15360" max="15360" width="6.7109375" style="145" customWidth="1"/>
    <col min="15361" max="15361" width="25.28515625" style="145" customWidth="1"/>
    <col min="15362" max="15362" width="10" style="145" customWidth="1"/>
    <col min="15363" max="15364" width="7.5703125" style="145" customWidth="1"/>
    <col min="15365" max="15365" width="9" style="145" customWidth="1"/>
    <col min="15366" max="15366" width="7.140625" style="145" customWidth="1"/>
    <col min="15367" max="15367" width="10.5703125" style="145" bestFit="1" customWidth="1"/>
    <col min="15368" max="15368" width="9.85546875" style="145" customWidth="1"/>
    <col min="15369" max="15369" width="7.7109375" style="145" customWidth="1"/>
    <col min="15370" max="15370" width="9.85546875" style="145" customWidth="1"/>
    <col min="15371" max="15371" width="7.42578125" style="145" bestFit="1" customWidth="1"/>
    <col min="15372" max="15372" width="9.85546875" style="145" customWidth="1"/>
    <col min="15373" max="15373" width="8.85546875" style="145" customWidth="1"/>
    <col min="15374" max="15374" width="11.140625" style="145" bestFit="1" customWidth="1"/>
    <col min="15375" max="15376" width="9" style="145" customWidth="1"/>
    <col min="15377" max="15377" width="9.140625" style="145" customWidth="1"/>
    <col min="15378" max="15378" width="9.85546875" style="145" customWidth="1"/>
    <col min="15379" max="15379" width="10.5703125" style="145" customWidth="1"/>
    <col min="15380" max="15380" width="12.140625" style="145" customWidth="1"/>
    <col min="15381" max="15381" width="11.140625" style="145" customWidth="1"/>
    <col min="15382" max="15382" width="11.5703125" style="145" bestFit="1" customWidth="1"/>
    <col min="15383" max="15383" width="12" style="145" bestFit="1" customWidth="1"/>
    <col min="15384" max="15384" width="16.28515625" style="145" bestFit="1" customWidth="1"/>
    <col min="15385" max="15385" width="13.42578125" style="145" customWidth="1"/>
    <col min="15386" max="15386" width="14.42578125" style="145" customWidth="1"/>
    <col min="15387" max="15387" width="18.7109375" style="145" bestFit="1" customWidth="1"/>
    <col min="15388" max="15388" width="7.85546875" style="145" customWidth="1"/>
    <col min="15389" max="15389" width="9.85546875" style="145" customWidth="1"/>
    <col min="15390" max="15391" width="11" style="145" bestFit="1" customWidth="1"/>
    <col min="15392" max="15392" width="11.140625" style="145" bestFit="1" customWidth="1"/>
    <col min="15393" max="15615" width="12.42578125" style="145"/>
    <col min="15616" max="15616" width="6.7109375" style="145" customWidth="1"/>
    <col min="15617" max="15617" width="25.28515625" style="145" customWidth="1"/>
    <col min="15618" max="15618" width="10" style="145" customWidth="1"/>
    <col min="15619" max="15620" width="7.5703125" style="145" customWidth="1"/>
    <col min="15621" max="15621" width="9" style="145" customWidth="1"/>
    <col min="15622" max="15622" width="7.140625" style="145" customWidth="1"/>
    <col min="15623" max="15623" width="10.5703125" style="145" bestFit="1" customWidth="1"/>
    <col min="15624" max="15624" width="9.85546875" style="145" customWidth="1"/>
    <col min="15625" max="15625" width="7.7109375" style="145" customWidth="1"/>
    <col min="15626" max="15626" width="9.85546875" style="145" customWidth="1"/>
    <col min="15627" max="15627" width="7.42578125" style="145" bestFit="1" customWidth="1"/>
    <col min="15628" max="15628" width="9.85546875" style="145" customWidth="1"/>
    <col min="15629" max="15629" width="8.85546875" style="145" customWidth="1"/>
    <col min="15630" max="15630" width="11.140625" style="145" bestFit="1" customWidth="1"/>
    <col min="15631" max="15632" width="9" style="145" customWidth="1"/>
    <col min="15633" max="15633" width="9.140625" style="145" customWidth="1"/>
    <col min="15634" max="15634" width="9.85546875" style="145" customWidth="1"/>
    <col min="15635" max="15635" width="10.5703125" style="145" customWidth="1"/>
    <col min="15636" max="15636" width="12.140625" style="145" customWidth="1"/>
    <col min="15637" max="15637" width="11.140625" style="145" customWidth="1"/>
    <col min="15638" max="15638" width="11.5703125" style="145" bestFit="1" customWidth="1"/>
    <col min="15639" max="15639" width="12" style="145" bestFit="1" customWidth="1"/>
    <col min="15640" max="15640" width="16.28515625" style="145" bestFit="1" customWidth="1"/>
    <col min="15641" max="15641" width="13.42578125" style="145" customWidth="1"/>
    <col min="15642" max="15642" width="14.42578125" style="145" customWidth="1"/>
    <col min="15643" max="15643" width="18.7109375" style="145" bestFit="1" customWidth="1"/>
    <col min="15644" max="15644" width="7.85546875" style="145" customWidth="1"/>
    <col min="15645" max="15645" width="9.85546875" style="145" customWidth="1"/>
    <col min="15646" max="15647" width="11" style="145" bestFit="1" customWidth="1"/>
    <col min="15648" max="15648" width="11.140625" style="145" bestFit="1" customWidth="1"/>
    <col min="15649" max="15871" width="12.42578125" style="145"/>
    <col min="15872" max="15872" width="6.7109375" style="145" customWidth="1"/>
    <col min="15873" max="15873" width="25.28515625" style="145" customWidth="1"/>
    <col min="15874" max="15874" width="10" style="145" customWidth="1"/>
    <col min="15875" max="15876" width="7.5703125" style="145" customWidth="1"/>
    <col min="15877" max="15877" width="9" style="145" customWidth="1"/>
    <col min="15878" max="15878" width="7.140625" style="145" customWidth="1"/>
    <col min="15879" max="15879" width="10.5703125" style="145" bestFit="1" customWidth="1"/>
    <col min="15880" max="15880" width="9.85546875" style="145" customWidth="1"/>
    <col min="15881" max="15881" width="7.7109375" style="145" customWidth="1"/>
    <col min="15882" max="15882" width="9.85546875" style="145" customWidth="1"/>
    <col min="15883" max="15883" width="7.42578125" style="145" bestFit="1" customWidth="1"/>
    <col min="15884" max="15884" width="9.85546875" style="145" customWidth="1"/>
    <col min="15885" max="15885" width="8.85546875" style="145" customWidth="1"/>
    <col min="15886" max="15886" width="11.140625" style="145" bestFit="1" customWidth="1"/>
    <col min="15887" max="15888" width="9" style="145" customWidth="1"/>
    <col min="15889" max="15889" width="9.140625" style="145" customWidth="1"/>
    <col min="15890" max="15890" width="9.85546875" style="145" customWidth="1"/>
    <col min="15891" max="15891" width="10.5703125" style="145" customWidth="1"/>
    <col min="15892" max="15892" width="12.140625" style="145" customWidth="1"/>
    <col min="15893" max="15893" width="11.140625" style="145" customWidth="1"/>
    <col min="15894" max="15894" width="11.5703125" style="145" bestFit="1" customWidth="1"/>
    <col min="15895" max="15895" width="12" style="145" bestFit="1" customWidth="1"/>
    <col min="15896" max="15896" width="16.28515625" style="145" bestFit="1" customWidth="1"/>
    <col min="15897" max="15897" width="13.42578125" style="145" customWidth="1"/>
    <col min="15898" max="15898" width="14.42578125" style="145" customWidth="1"/>
    <col min="15899" max="15899" width="18.7109375" style="145" bestFit="1" customWidth="1"/>
    <col min="15900" max="15900" width="7.85546875" style="145" customWidth="1"/>
    <col min="15901" max="15901" width="9.85546875" style="145" customWidth="1"/>
    <col min="15902" max="15903" width="11" style="145" bestFit="1" customWidth="1"/>
    <col min="15904" max="15904" width="11.140625" style="145" bestFit="1" customWidth="1"/>
    <col min="15905" max="16127" width="12.42578125" style="145"/>
    <col min="16128" max="16128" width="6.7109375" style="145" customWidth="1"/>
    <col min="16129" max="16129" width="25.28515625" style="145" customWidth="1"/>
    <col min="16130" max="16130" width="10" style="145" customWidth="1"/>
    <col min="16131" max="16132" width="7.5703125" style="145" customWidth="1"/>
    <col min="16133" max="16133" width="9" style="145" customWidth="1"/>
    <col min="16134" max="16134" width="7.140625" style="145" customWidth="1"/>
    <col min="16135" max="16135" width="10.5703125" style="145" bestFit="1" customWidth="1"/>
    <col min="16136" max="16136" width="9.85546875" style="145" customWidth="1"/>
    <col min="16137" max="16137" width="7.7109375" style="145" customWidth="1"/>
    <col min="16138" max="16138" width="9.85546875" style="145" customWidth="1"/>
    <col min="16139" max="16139" width="7.42578125" style="145" bestFit="1" customWidth="1"/>
    <col min="16140" max="16140" width="9.85546875" style="145" customWidth="1"/>
    <col min="16141" max="16141" width="8.85546875" style="145" customWidth="1"/>
    <col min="16142" max="16142" width="11.140625" style="145" bestFit="1" customWidth="1"/>
    <col min="16143" max="16144" width="9" style="145" customWidth="1"/>
    <col min="16145" max="16145" width="9.140625" style="145" customWidth="1"/>
    <col min="16146" max="16146" width="9.85546875" style="145" customWidth="1"/>
    <col min="16147" max="16147" width="10.5703125" style="145" customWidth="1"/>
    <col min="16148" max="16148" width="12.140625" style="145" customWidth="1"/>
    <col min="16149" max="16149" width="11.140625" style="145" customWidth="1"/>
    <col min="16150" max="16150" width="11.5703125" style="145" bestFit="1" customWidth="1"/>
    <col min="16151" max="16151" width="12" style="145" bestFit="1" customWidth="1"/>
    <col min="16152" max="16152" width="16.28515625" style="145" bestFit="1" customWidth="1"/>
    <col min="16153" max="16153" width="13.42578125" style="145" customWidth="1"/>
    <col min="16154" max="16154" width="14.42578125" style="145" customWidth="1"/>
    <col min="16155" max="16155" width="18.7109375" style="145" bestFit="1" customWidth="1"/>
    <col min="16156" max="16156" width="7.85546875" style="145" customWidth="1"/>
    <col min="16157" max="16157" width="9.85546875" style="145" customWidth="1"/>
    <col min="16158" max="16159" width="11" style="145" bestFit="1" customWidth="1"/>
    <col min="16160" max="16160" width="11.140625" style="145" bestFit="1" customWidth="1"/>
    <col min="16161" max="16384" width="12.42578125" style="145"/>
  </cols>
  <sheetData>
    <row r="1" spans="1:72" s="315" customFormat="1" ht="24">
      <c r="A1" s="553" t="s">
        <v>384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  <c r="S1" s="553"/>
      <c r="T1" s="553"/>
      <c r="U1" s="553"/>
      <c r="V1" s="553"/>
      <c r="W1" s="553"/>
      <c r="X1" s="553"/>
      <c r="Y1" s="553"/>
      <c r="Z1" s="553"/>
      <c r="AA1" s="553"/>
      <c r="AB1" s="553"/>
      <c r="AC1" s="553"/>
      <c r="AD1" s="553"/>
      <c r="AE1" s="553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2"/>
      <c r="BT1" s="142"/>
    </row>
    <row r="2" spans="1:72" ht="17.25" thickBot="1">
      <c r="B2" s="463"/>
      <c r="C2" s="463"/>
    </row>
    <row r="3" spans="1:72">
      <c r="A3" s="144" t="s">
        <v>383</v>
      </c>
      <c r="C3" s="147" t="s">
        <v>85</v>
      </c>
      <c r="D3" s="316"/>
      <c r="E3" s="317"/>
      <c r="F3" s="318">
        <v>1.2</v>
      </c>
      <c r="G3" s="147" t="s">
        <v>86</v>
      </c>
      <c r="H3" s="319"/>
      <c r="I3" s="320">
        <v>22</v>
      </c>
      <c r="J3" s="277"/>
      <c r="K3" s="151" t="s">
        <v>87</v>
      </c>
      <c r="L3" s="321"/>
      <c r="M3" s="136">
        <v>12</v>
      </c>
      <c r="N3" s="322" t="s">
        <v>88</v>
      </c>
      <c r="O3" s="321"/>
      <c r="P3" s="318">
        <v>100</v>
      </c>
      <c r="Q3" s="323"/>
      <c r="U3" s="324" t="s">
        <v>89</v>
      </c>
      <c r="V3" s="325">
        <v>1</v>
      </c>
    </row>
    <row r="4" spans="1:72">
      <c r="A4" s="153"/>
      <c r="C4" s="156" t="s">
        <v>90</v>
      </c>
      <c r="D4" s="216"/>
      <c r="F4" s="326">
        <v>0.3</v>
      </c>
      <c r="G4" s="156" t="s">
        <v>91</v>
      </c>
      <c r="H4" s="327"/>
      <c r="I4" s="328">
        <v>35</v>
      </c>
      <c r="J4" s="277"/>
      <c r="K4" s="158" t="s">
        <v>92</v>
      </c>
      <c r="L4" s="329"/>
      <c r="M4" s="137">
        <v>24</v>
      </c>
      <c r="N4" s="330" t="s">
        <v>93</v>
      </c>
      <c r="O4" s="329"/>
      <c r="P4" s="326">
        <v>1</v>
      </c>
      <c r="S4" s="331"/>
      <c r="U4" s="332" t="s">
        <v>94</v>
      </c>
      <c r="V4" s="333">
        <v>1</v>
      </c>
    </row>
    <row r="5" spans="1:72">
      <c r="A5" s="153" t="s">
        <v>6</v>
      </c>
      <c r="B5" s="163">
        <v>44859</v>
      </c>
      <c r="C5" s="156" t="s">
        <v>95</v>
      </c>
      <c r="D5" s="216"/>
      <c r="F5" s="326">
        <v>0</v>
      </c>
      <c r="G5" s="156" t="s">
        <v>96</v>
      </c>
      <c r="H5" s="327"/>
      <c r="I5" s="334">
        <v>10</v>
      </c>
      <c r="J5" s="277"/>
      <c r="K5" s="158" t="s">
        <v>97</v>
      </c>
      <c r="L5" s="329"/>
      <c r="M5" s="137">
        <v>34</v>
      </c>
      <c r="N5" s="330" t="s">
        <v>98</v>
      </c>
      <c r="O5" s="329"/>
      <c r="P5" s="326">
        <v>1.1000000000000001</v>
      </c>
      <c r="S5" s="331"/>
      <c r="U5" s="332" t="s">
        <v>99</v>
      </c>
      <c r="V5" s="333">
        <f>(1-P8/100)*V4*V3</f>
        <v>0.6</v>
      </c>
      <c r="Y5" s="277"/>
    </row>
    <row r="6" spans="1:72" ht="17.25" thickBot="1">
      <c r="A6" s="168"/>
      <c r="B6" s="169"/>
      <c r="C6" s="156" t="s">
        <v>100</v>
      </c>
      <c r="D6" s="216"/>
      <c r="E6" s="216"/>
      <c r="F6" s="335">
        <v>9000</v>
      </c>
      <c r="G6" s="156" t="s">
        <v>101</v>
      </c>
      <c r="H6" s="327"/>
      <c r="I6" s="326">
        <v>30</v>
      </c>
      <c r="J6" s="277"/>
      <c r="K6" s="158" t="s">
        <v>102</v>
      </c>
      <c r="L6" s="329"/>
      <c r="M6" s="137">
        <v>51</v>
      </c>
      <c r="N6" s="330" t="s">
        <v>103</v>
      </c>
      <c r="O6" s="329"/>
      <c r="P6" s="328">
        <v>0.9</v>
      </c>
      <c r="Q6" s="336"/>
      <c r="S6" s="337"/>
      <c r="U6" s="338" t="s">
        <v>104</v>
      </c>
      <c r="V6" s="339">
        <f>(1-S4/100)*V3</f>
        <v>1</v>
      </c>
    </row>
    <row r="7" spans="1:72" ht="17.25" thickBot="1">
      <c r="A7" s="153"/>
      <c r="C7" s="156" t="s">
        <v>105</v>
      </c>
      <c r="D7" s="216"/>
      <c r="F7" s="335">
        <v>300</v>
      </c>
      <c r="G7" s="156" t="s">
        <v>106</v>
      </c>
      <c r="H7" s="327"/>
      <c r="I7" s="334">
        <v>10</v>
      </c>
      <c r="J7" s="277"/>
      <c r="K7" s="158" t="s">
        <v>107</v>
      </c>
      <c r="L7" s="329"/>
      <c r="M7" s="137">
        <v>73</v>
      </c>
      <c r="N7" s="340" t="s">
        <v>108</v>
      </c>
      <c r="O7" s="341"/>
      <c r="P7" s="342">
        <v>0.8</v>
      </c>
    </row>
    <row r="8" spans="1:72" ht="17.25" thickBot="1">
      <c r="A8" s="184"/>
      <c r="C8" s="178" t="s">
        <v>109</v>
      </c>
      <c r="D8" s="343"/>
      <c r="E8" s="343"/>
      <c r="F8" s="344">
        <v>65</v>
      </c>
      <c r="G8" s="175"/>
      <c r="H8" s="345"/>
      <c r="I8" s="346"/>
      <c r="J8" s="277"/>
      <c r="K8" s="158" t="s">
        <v>110</v>
      </c>
      <c r="L8" s="329"/>
      <c r="M8" s="137">
        <v>97</v>
      </c>
      <c r="N8" s="347" t="s">
        <v>111</v>
      </c>
      <c r="O8" s="321"/>
      <c r="P8" s="348">
        <v>40</v>
      </c>
      <c r="R8" s="216"/>
      <c r="AB8" s="172"/>
      <c r="AC8" s="173"/>
      <c r="AD8" s="172" t="s">
        <v>12</v>
      </c>
      <c r="AE8" s="173">
        <v>44859</v>
      </c>
    </row>
    <row r="9" spans="1:72" ht="17.25" thickBot="1">
      <c r="B9" s="349"/>
      <c r="J9" s="277"/>
      <c r="K9" s="350" t="s">
        <v>112</v>
      </c>
      <c r="L9" s="341"/>
      <c r="M9" s="138">
        <v>153</v>
      </c>
      <c r="N9" s="351" t="s">
        <v>113</v>
      </c>
      <c r="O9" s="341"/>
      <c r="P9" s="352">
        <v>0.3</v>
      </c>
      <c r="AB9" s="172"/>
      <c r="AC9" s="173"/>
      <c r="AD9" s="172" t="s">
        <v>16</v>
      </c>
      <c r="AE9" s="173">
        <f ca="1">TODAY()</f>
        <v>46143</v>
      </c>
    </row>
    <row r="10" spans="1:72" ht="17.25" thickBot="1">
      <c r="A10" s="184"/>
    </row>
    <row r="11" spans="1:72" s="361" customFormat="1">
      <c r="A11" s="228" t="s">
        <v>17</v>
      </c>
      <c r="B11" s="228" t="s">
        <v>115</v>
      </c>
      <c r="C11" s="228" t="s">
        <v>116</v>
      </c>
      <c r="D11" s="228" t="s">
        <v>117</v>
      </c>
      <c r="E11" s="228" t="s">
        <v>118</v>
      </c>
      <c r="F11" s="353" t="s">
        <v>119</v>
      </c>
      <c r="G11" s="228" t="s">
        <v>120</v>
      </c>
      <c r="H11" s="228" t="s">
        <v>121</v>
      </c>
      <c r="I11" s="228" t="s">
        <v>121</v>
      </c>
      <c r="J11" s="354" t="s">
        <v>122</v>
      </c>
      <c r="K11" s="354" t="s">
        <v>123</v>
      </c>
      <c r="L11" s="355"/>
      <c r="M11" s="354" t="s">
        <v>124</v>
      </c>
      <c r="N11" s="228" t="s">
        <v>125</v>
      </c>
      <c r="O11" s="228" t="s">
        <v>126</v>
      </c>
      <c r="P11" s="354" t="s">
        <v>127</v>
      </c>
      <c r="Q11" s="356" t="s">
        <v>128</v>
      </c>
      <c r="R11" s="354" t="s">
        <v>129</v>
      </c>
      <c r="S11" s="354" t="s">
        <v>130</v>
      </c>
      <c r="T11" s="354" t="s">
        <v>117</v>
      </c>
      <c r="U11" s="354" t="s">
        <v>131</v>
      </c>
      <c r="V11" s="357" t="s">
        <v>37</v>
      </c>
      <c r="W11" s="354" t="s">
        <v>37</v>
      </c>
      <c r="X11" s="354" t="s">
        <v>37</v>
      </c>
      <c r="Y11" s="354" t="s">
        <v>37</v>
      </c>
      <c r="Z11" s="354" t="s">
        <v>37</v>
      </c>
      <c r="AA11" s="354" t="s">
        <v>132</v>
      </c>
      <c r="AB11" s="358" t="s">
        <v>131</v>
      </c>
      <c r="AC11" s="356" t="s">
        <v>133</v>
      </c>
      <c r="AD11" s="359" t="s">
        <v>124</v>
      </c>
      <c r="AE11" s="354" t="s">
        <v>131</v>
      </c>
      <c r="AF11" s="360"/>
      <c r="AG11" s="360"/>
      <c r="AH11" s="360"/>
      <c r="AI11" s="360"/>
      <c r="AJ11" s="360"/>
      <c r="AK11" s="360"/>
      <c r="AL11" s="360"/>
      <c r="AM11" s="360"/>
      <c r="AN11" s="360"/>
      <c r="AO11" s="360"/>
      <c r="AP11" s="360"/>
      <c r="AQ11" s="360"/>
      <c r="AR11" s="360"/>
      <c r="AS11" s="360"/>
      <c r="AT11" s="360"/>
      <c r="AU11" s="360"/>
      <c r="AV11" s="360"/>
      <c r="AW11" s="360"/>
      <c r="AX11" s="360"/>
      <c r="AY11" s="360"/>
      <c r="AZ11" s="360"/>
      <c r="BA11" s="360"/>
      <c r="BB11" s="360"/>
      <c r="BC11" s="360"/>
      <c r="BD11" s="360"/>
      <c r="BE11" s="360"/>
      <c r="BF11" s="360"/>
      <c r="BG11" s="360"/>
      <c r="BH11" s="360"/>
      <c r="BI11" s="360"/>
      <c r="BJ11" s="360"/>
      <c r="BK11" s="360"/>
      <c r="BL11" s="360"/>
      <c r="BM11" s="360"/>
      <c r="BN11" s="360"/>
      <c r="BO11" s="360"/>
      <c r="BP11" s="360"/>
      <c r="BQ11" s="360"/>
      <c r="BR11" s="360"/>
      <c r="BS11" s="360"/>
      <c r="BT11" s="360"/>
    </row>
    <row r="12" spans="1:72" s="361" customFormat="1" ht="17.25" thickBot="1">
      <c r="A12" s="362" t="s">
        <v>134</v>
      </c>
      <c r="B12" s="363"/>
      <c r="C12" s="362" t="str">
        <f>IF(P4=1,"METER","FEET")</f>
        <v>METER</v>
      </c>
      <c r="D12" s="362" t="s">
        <v>135</v>
      </c>
      <c r="E12" s="362" t="s">
        <v>136</v>
      </c>
      <c r="F12" s="363" t="s">
        <v>137</v>
      </c>
      <c r="G12" s="362" t="s">
        <v>138</v>
      </c>
      <c r="H12" s="362" t="s">
        <v>139</v>
      </c>
      <c r="I12" s="362" t="s">
        <v>140</v>
      </c>
      <c r="J12" s="364" t="s">
        <v>138</v>
      </c>
      <c r="K12" s="364" t="s">
        <v>141</v>
      </c>
      <c r="L12" s="365" t="s">
        <v>372</v>
      </c>
      <c r="M12" s="364" t="s">
        <v>142</v>
      </c>
      <c r="N12" s="362" t="s">
        <v>143</v>
      </c>
      <c r="O12" s="362" t="s">
        <v>132</v>
      </c>
      <c r="P12" s="364" t="s">
        <v>144</v>
      </c>
      <c r="Q12" s="366" t="s">
        <v>129</v>
      </c>
      <c r="R12" s="364" t="s">
        <v>145</v>
      </c>
      <c r="S12" s="364" t="s">
        <v>146</v>
      </c>
      <c r="T12" s="364" t="s">
        <v>146</v>
      </c>
      <c r="U12" s="364" t="s">
        <v>147</v>
      </c>
      <c r="V12" s="367" t="s">
        <v>148</v>
      </c>
      <c r="W12" s="364" t="s">
        <v>149</v>
      </c>
      <c r="X12" s="364" t="s">
        <v>150</v>
      </c>
      <c r="Y12" s="364" t="s">
        <v>151</v>
      </c>
      <c r="Z12" s="364" t="s">
        <v>65</v>
      </c>
      <c r="AA12" s="364" t="str">
        <f>IF(P4=1,"$/METER","$/FOOT")</f>
        <v>$/METER</v>
      </c>
      <c r="AB12" s="368" t="s">
        <v>132</v>
      </c>
      <c r="AC12" s="366" t="s">
        <v>152</v>
      </c>
      <c r="AD12" s="369" t="s">
        <v>153</v>
      </c>
      <c r="AE12" s="364" t="s">
        <v>375</v>
      </c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0"/>
      <c r="AQ12" s="360"/>
      <c r="AR12" s="360"/>
      <c r="AS12" s="360"/>
      <c r="AT12" s="360"/>
      <c r="AU12" s="360"/>
      <c r="AV12" s="360"/>
      <c r="AW12" s="360"/>
      <c r="AX12" s="360"/>
      <c r="AY12" s="360"/>
      <c r="AZ12" s="360"/>
      <c r="BA12" s="360"/>
      <c r="BB12" s="360"/>
      <c r="BC12" s="360"/>
      <c r="BD12" s="360"/>
      <c r="BE12" s="360"/>
      <c r="BF12" s="360"/>
      <c r="BG12" s="360"/>
      <c r="BH12" s="360"/>
      <c r="BI12" s="360"/>
      <c r="BJ12" s="360"/>
      <c r="BK12" s="360"/>
      <c r="BL12" s="360"/>
      <c r="BM12" s="360"/>
      <c r="BN12" s="360"/>
      <c r="BO12" s="360"/>
      <c r="BP12" s="360"/>
      <c r="BQ12" s="360"/>
      <c r="BR12" s="360"/>
      <c r="BS12" s="360"/>
      <c r="BT12" s="360"/>
    </row>
    <row r="13" spans="1:72">
      <c r="A13" s="370"/>
      <c r="B13" s="473"/>
      <c r="C13" s="193"/>
      <c r="D13" s="193"/>
      <c r="E13" s="193"/>
      <c r="F13" s="193"/>
      <c r="G13" s="193"/>
      <c r="H13" s="193"/>
      <c r="I13" s="193"/>
      <c r="J13" s="193"/>
      <c r="K13" s="193"/>
      <c r="L13" s="371"/>
      <c r="M13" s="193"/>
      <c r="N13" s="193"/>
      <c r="O13" s="193"/>
      <c r="P13" s="193"/>
      <c r="Q13" s="193"/>
      <c r="R13" s="193"/>
      <c r="S13" s="193"/>
      <c r="T13" s="193"/>
      <c r="U13" s="193"/>
      <c r="V13" s="371"/>
      <c r="W13" s="192"/>
      <c r="X13" s="193"/>
      <c r="Y13" s="193"/>
      <c r="Z13" s="193"/>
      <c r="AA13" s="193"/>
      <c r="AB13" s="193"/>
      <c r="AC13" s="193"/>
      <c r="AD13" s="371"/>
      <c r="AE13" s="192"/>
    </row>
    <row r="14" spans="1:72" s="377" customFormat="1">
      <c r="A14" s="192">
        <v>1</v>
      </c>
      <c r="B14" s="470"/>
      <c r="C14" s="192"/>
      <c r="D14" s="192"/>
      <c r="E14" s="373"/>
      <c r="F14" s="373"/>
      <c r="G14" s="192"/>
      <c r="H14" s="192"/>
      <c r="I14" s="192"/>
      <c r="J14" s="201">
        <f>0.00125*D14</f>
        <v>0</v>
      </c>
      <c r="K14" s="541">
        <f>IF(F14&lt;2,F$4,G14-(1.12*D14*0.001)-F$5)</f>
        <v>0.3</v>
      </c>
      <c r="L14" s="165">
        <f>(F14=2.1)*IF(G14&lt;3.1,J14+3*S$6,J14+0.6+2*S$6+G14*0.05)+(F14=2.2)*IF(G14&lt;3.1,J14+1.5*S$6+P$7/2,J14+0.3+S$6+G14*0.025)</f>
        <v>0</v>
      </c>
      <c r="M14" s="201">
        <f>(F14=1.1)*IF((J14+2*P$9)&lt;F$3,F$3,J14+2*P$9)+(F14=1.2)*(J14+P$9+P$7/2)+(F14=2.1)*IF(L14&lt;F$3,F$3,L14)+(F14=2.2)*L14</f>
        <v>0</v>
      </c>
      <c r="N14" s="542">
        <f>P$3</f>
        <v>100</v>
      </c>
      <c r="O14" s="543">
        <f t="shared" ref="O14:O54" si="0">F$6+HLOOKUP(G14,J$86:U$87,2)*F$7</f>
        <v>9000</v>
      </c>
      <c r="P14" s="201">
        <f>(M14*G14+(G14&gt;1.219)*(F14=1.1)*(G14-1.22)^2*P$6+(F14=1.2)*(G14-1.22)^2/2*P$6)*(C14&gt;0)</f>
        <v>0</v>
      </c>
      <c r="Q14" s="201">
        <f t="shared" ref="Q14:Q54" si="1">IF(C14=0,0,IF(TRUNC(F14)=1,HLOOKUP(G14,C$80:AC$81,2),HLOOKUP(G14,C$82:AC$83,2))*N14/100/IF((F14-TRUNC(F14))=0.2,P14*2,P14))</f>
        <v>0</v>
      </c>
      <c r="R14" s="201">
        <f>IF(Q14&gt;F$8,F$8,Q14)*((F14=1.1)*1+(F14=1.2)*0.95+(F14=2.1)*0.95+(F14=2.2)*1)</f>
        <v>0</v>
      </c>
      <c r="S14" s="541">
        <f>IF(C14=0,0,IF(OR(F14=1.2,F14=2.2),O14/R14/2,O14/R14))</f>
        <v>0</v>
      </c>
      <c r="T14" s="541" t="e" vm="1">
        <f>IF(TRUNC(E14)&gt;1,HLOOKUP(D14,C$86:I$87,2),IF(D14&lt;=980,HLOOKUP(D14+10*(E14-1),B$74:AG$75,2),HLOOKUP(D14+10*(E14-1),B$76:AG$77,2)))</f>
        <v>#VALUE!</v>
      </c>
      <c r="U14" s="201">
        <f>(IF(C14=0,0,IF(TRUNC(E14)=1,T14*C14*V$5,T14*C14*V$3)))*IF(P$4=1,1,1/3.28)</f>
        <v>0</v>
      </c>
      <c r="V14" s="374">
        <f>((M14*0.6*J14+0.005)-PI()*J14^2/8)*C14*2*I$4*IF(P$4=1,1,1/3.28)</f>
        <v>0</v>
      </c>
      <c r="W14" s="201">
        <f>(((0.5*J14+K14)*M14)-(PI()*J14^2/8))*C14*2*I$6*IF(P$4=1,1,1/3.28)</f>
        <v>0</v>
      </c>
      <c r="X14" s="201">
        <f>H14+U14+V14+W14</f>
        <v>0</v>
      </c>
      <c r="Y14" s="201">
        <f>I14+S14*C14*IF(P$4=1,1,1/3.28)</f>
        <v>0</v>
      </c>
      <c r="Z14" s="201">
        <f>((V14/I$4+W14/I$6)/2+PI()*J14^2/4*C14*IF(P$4=1,1,1/3.28))*I$7</f>
        <v>0</v>
      </c>
      <c r="AA14" s="201">
        <f>ROUND(IF(C14=0,0,(X14+Y14+Z14)/C14),2)</f>
        <v>0</v>
      </c>
      <c r="AB14" s="375">
        <f>X14+Y14+Z14</f>
        <v>0</v>
      </c>
      <c r="AC14" s="202">
        <f>P14*C14*IF(P$4=1,1,1/3.28)</f>
        <v>0</v>
      </c>
      <c r="AD14" s="376">
        <f>IF(C14=0,0,C14/((F14-TRUNC(F14))*10)*IF(P$4=1,1,1/3.28))</f>
        <v>0</v>
      </c>
      <c r="AE14" s="549">
        <f>AB14*$P$5</f>
        <v>0</v>
      </c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</row>
    <row r="15" spans="1:72" s="377" customFormat="1">
      <c r="A15" s="192">
        <v>2</v>
      </c>
      <c r="B15" s="470"/>
      <c r="C15" s="192"/>
      <c r="D15" s="192"/>
      <c r="E15" s="373"/>
      <c r="F15" s="373"/>
      <c r="G15" s="192"/>
      <c r="H15" s="192"/>
      <c r="I15" s="192"/>
      <c r="J15" s="201">
        <f t="shared" ref="J15:J54" si="2">0.00125*D15</f>
        <v>0</v>
      </c>
      <c r="K15" s="541">
        <f t="shared" ref="K15:K54" si="3">IF(F15&lt;2,F$4,G15-(1.12*D15*0.001)-F$5)</f>
        <v>0.3</v>
      </c>
      <c r="L15" s="165">
        <f t="shared" ref="L15:L54" si="4">(F15=2.1)*IF(G15&lt;3.1,J15+3*S$6,J15+0.6+2*S$6+G15*0.05)+(F15=2.2)*IF(G15&lt;3.1,J15+1.5*S$6+P$7/2,J15+0.3+S$6+G15*0.025)</f>
        <v>0</v>
      </c>
      <c r="M15" s="201">
        <f t="shared" ref="M15:M54" si="5">(F15=1.1)*IF((J15+2*P$9)&lt;F$3,F$3,J15+2*P$9)+(F15=1.2)*(J15+P$9+P$7/2)+(F15=2.1)*IF(L15&lt;F$3,F$3,L15)+(F15=2.2)*L15</f>
        <v>0</v>
      </c>
      <c r="N15" s="542">
        <f t="shared" ref="N15:N54" si="6">P$3</f>
        <v>100</v>
      </c>
      <c r="O15" s="543">
        <f t="shared" si="0"/>
        <v>9000</v>
      </c>
      <c r="P15" s="201">
        <f t="shared" ref="P15:P54" si="7">(M15*G15+(G15&gt;1.219)*(F15=1.1)*(G15-1.22)^2*P$6+(F15=1.2)*(G15-1.22)^2/2*P$6)*(C15&gt;0)</f>
        <v>0</v>
      </c>
      <c r="Q15" s="201">
        <f t="shared" si="1"/>
        <v>0</v>
      </c>
      <c r="R15" s="201">
        <f t="shared" ref="R15:R54" si="8">IF(Q15&gt;F$8,F$8,Q15)*((F15=1.1)*1+(F15=1.2)*0.95+(F15=2.1)*0.95+(F15=2.2)*1)</f>
        <v>0</v>
      </c>
      <c r="S15" s="541">
        <f t="shared" ref="S15:S54" si="9">IF(C15=0,0,IF(OR(F15=1.2,F15=2.2),O15/R15/2,O15/R15))</f>
        <v>0</v>
      </c>
      <c r="T15" s="541" t="e" vm="1">
        <f t="shared" ref="T15:T54" si="10">IF(TRUNC(E15)&gt;1,HLOOKUP(D15,C$86:I$87,2),IF(D15&lt;=980,HLOOKUP(D15+10*(E15-1),B$74:AF$75,2),HLOOKUP(D15+10*(E15-1),B$76:AF$77,2)))</f>
        <v>#VALUE!</v>
      </c>
      <c r="U15" s="201">
        <f t="shared" ref="U15:U54" si="11">(IF(C15=0,0,IF(TRUNC(E15)=1,T15*C15*V$5,T15*C15*V$3)))*IF(P$4=1,1,1/3.28)</f>
        <v>0</v>
      </c>
      <c r="V15" s="374">
        <f t="shared" ref="V15:V54" si="12">((M15*0.6*J15+0.005)-PI()*J15^2/8)*C15*2*I$4*IF(P$4=1,1,1/3.28)</f>
        <v>0</v>
      </c>
      <c r="W15" s="201">
        <f t="shared" ref="W15:W54" si="13">(((0.5*J15+K15)*M15)-(PI()*J15^2/8))*C15*2*I$6*IF(P$4=1,1,1/3.28)</f>
        <v>0</v>
      </c>
      <c r="X15" s="201">
        <f t="shared" ref="X15:X54" si="14">H15+U15+V15+W15</f>
        <v>0</v>
      </c>
      <c r="Y15" s="201">
        <f t="shared" ref="Y15:Y54" si="15">I15+S15*C15*IF(P$4=1,1,1/3.28)</f>
        <v>0</v>
      </c>
      <c r="Z15" s="201">
        <f t="shared" ref="Z15:Z54" si="16">((V15/I$4+W15/I$6)/2+PI()*J15^2/4*C15*IF(P$4=1,1,1/3.28))*I$7</f>
        <v>0</v>
      </c>
      <c r="AA15" s="201">
        <f t="shared" ref="AA15:AA54" si="17">ROUND(IF(C15=0,0,(X15+Y15+Z15)/C15),2)</f>
        <v>0</v>
      </c>
      <c r="AB15" s="375">
        <f t="shared" ref="AB15:AB54" si="18">X15+Y15+Z15</f>
        <v>0</v>
      </c>
      <c r="AC15" s="202">
        <f t="shared" ref="AC15:AC54" si="19">P15*C15*IF(P$4=1,1,1/3.28)</f>
        <v>0</v>
      </c>
      <c r="AD15" s="376">
        <f t="shared" ref="AD15:AD54" si="20">IF(C15=0,0,C15/((F15-TRUNC(F15))*10)*IF(P$4=1,1,1/3.28))</f>
        <v>0</v>
      </c>
      <c r="AE15" s="549">
        <f t="shared" ref="AE15:AE54" si="21">AB15*$P$5</f>
        <v>0</v>
      </c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</row>
    <row r="16" spans="1:72" s="377" customFormat="1">
      <c r="A16" s="192">
        <v>3</v>
      </c>
      <c r="B16" s="470"/>
      <c r="C16" s="192"/>
      <c r="D16" s="192"/>
      <c r="E16" s="373"/>
      <c r="F16" s="373"/>
      <c r="G16" s="192"/>
      <c r="H16" s="192"/>
      <c r="I16" s="192"/>
      <c r="J16" s="201">
        <f t="shared" si="2"/>
        <v>0</v>
      </c>
      <c r="K16" s="541">
        <f t="shared" si="3"/>
        <v>0.3</v>
      </c>
      <c r="L16" s="165">
        <f t="shared" si="4"/>
        <v>0</v>
      </c>
      <c r="M16" s="201">
        <f t="shared" si="5"/>
        <v>0</v>
      </c>
      <c r="N16" s="542">
        <f t="shared" si="6"/>
        <v>100</v>
      </c>
      <c r="O16" s="543">
        <f t="shared" si="0"/>
        <v>9000</v>
      </c>
      <c r="P16" s="201">
        <f t="shared" si="7"/>
        <v>0</v>
      </c>
      <c r="Q16" s="201">
        <f t="shared" si="1"/>
        <v>0</v>
      </c>
      <c r="R16" s="201">
        <f t="shared" si="8"/>
        <v>0</v>
      </c>
      <c r="S16" s="541">
        <f t="shared" si="9"/>
        <v>0</v>
      </c>
      <c r="T16" s="541" t="e" vm="1">
        <f t="shared" si="10"/>
        <v>#VALUE!</v>
      </c>
      <c r="U16" s="201">
        <f t="shared" si="11"/>
        <v>0</v>
      </c>
      <c r="V16" s="374">
        <f t="shared" si="12"/>
        <v>0</v>
      </c>
      <c r="W16" s="201">
        <f t="shared" si="13"/>
        <v>0</v>
      </c>
      <c r="X16" s="201">
        <f t="shared" si="14"/>
        <v>0</v>
      </c>
      <c r="Y16" s="201">
        <f t="shared" si="15"/>
        <v>0</v>
      </c>
      <c r="Z16" s="201">
        <f t="shared" si="16"/>
        <v>0</v>
      </c>
      <c r="AA16" s="201">
        <f t="shared" si="17"/>
        <v>0</v>
      </c>
      <c r="AB16" s="375">
        <f t="shared" si="18"/>
        <v>0</v>
      </c>
      <c r="AC16" s="202">
        <f t="shared" si="19"/>
        <v>0</v>
      </c>
      <c r="AD16" s="376">
        <f t="shared" si="20"/>
        <v>0</v>
      </c>
      <c r="AE16" s="549">
        <f t="shared" si="21"/>
        <v>0</v>
      </c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</row>
    <row r="17" spans="1:72" s="377" customFormat="1">
      <c r="A17" s="192">
        <v>4</v>
      </c>
      <c r="B17" s="470"/>
      <c r="C17" s="192"/>
      <c r="D17" s="192"/>
      <c r="E17" s="373"/>
      <c r="F17" s="373"/>
      <c r="G17" s="192"/>
      <c r="H17" s="192"/>
      <c r="I17" s="192"/>
      <c r="J17" s="201">
        <f t="shared" si="2"/>
        <v>0</v>
      </c>
      <c r="K17" s="541">
        <f t="shared" si="3"/>
        <v>0.3</v>
      </c>
      <c r="L17" s="165">
        <f t="shared" si="4"/>
        <v>0</v>
      </c>
      <c r="M17" s="201">
        <f t="shared" si="5"/>
        <v>0</v>
      </c>
      <c r="N17" s="542">
        <f t="shared" si="6"/>
        <v>100</v>
      </c>
      <c r="O17" s="543">
        <f t="shared" si="0"/>
        <v>9000</v>
      </c>
      <c r="P17" s="201">
        <f t="shared" si="7"/>
        <v>0</v>
      </c>
      <c r="Q17" s="201">
        <f t="shared" si="1"/>
        <v>0</v>
      </c>
      <c r="R17" s="201">
        <f t="shared" si="8"/>
        <v>0</v>
      </c>
      <c r="S17" s="541">
        <f t="shared" si="9"/>
        <v>0</v>
      </c>
      <c r="T17" s="541" t="e" vm="1">
        <f t="shared" si="10"/>
        <v>#VALUE!</v>
      </c>
      <c r="U17" s="201">
        <f t="shared" si="11"/>
        <v>0</v>
      </c>
      <c r="V17" s="374">
        <f t="shared" si="12"/>
        <v>0</v>
      </c>
      <c r="W17" s="201">
        <f t="shared" si="13"/>
        <v>0</v>
      </c>
      <c r="X17" s="201">
        <f t="shared" si="14"/>
        <v>0</v>
      </c>
      <c r="Y17" s="201">
        <f t="shared" si="15"/>
        <v>0</v>
      </c>
      <c r="Z17" s="201">
        <f t="shared" si="16"/>
        <v>0</v>
      </c>
      <c r="AA17" s="201">
        <f t="shared" si="17"/>
        <v>0</v>
      </c>
      <c r="AB17" s="375">
        <f t="shared" si="18"/>
        <v>0</v>
      </c>
      <c r="AC17" s="202">
        <f t="shared" si="19"/>
        <v>0</v>
      </c>
      <c r="AD17" s="376">
        <f t="shared" si="20"/>
        <v>0</v>
      </c>
      <c r="AE17" s="549">
        <f t="shared" si="21"/>
        <v>0</v>
      </c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</row>
    <row r="18" spans="1:72" s="377" customFormat="1">
      <c r="A18" s="192">
        <v>5</v>
      </c>
      <c r="B18" s="470"/>
      <c r="C18" s="192"/>
      <c r="D18" s="192"/>
      <c r="E18" s="373"/>
      <c r="F18" s="373"/>
      <c r="G18" s="192"/>
      <c r="H18" s="192"/>
      <c r="I18" s="192"/>
      <c r="J18" s="201">
        <f t="shared" si="2"/>
        <v>0</v>
      </c>
      <c r="K18" s="541">
        <f t="shared" si="3"/>
        <v>0.3</v>
      </c>
      <c r="L18" s="165">
        <f t="shared" si="4"/>
        <v>0</v>
      </c>
      <c r="M18" s="201">
        <f t="shared" si="5"/>
        <v>0</v>
      </c>
      <c r="N18" s="542">
        <f t="shared" si="6"/>
        <v>100</v>
      </c>
      <c r="O18" s="543">
        <f t="shared" si="0"/>
        <v>9000</v>
      </c>
      <c r="P18" s="201">
        <f t="shared" si="7"/>
        <v>0</v>
      </c>
      <c r="Q18" s="201">
        <f t="shared" si="1"/>
        <v>0</v>
      </c>
      <c r="R18" s="201">
        <f t="shared" si="8"/>
        <v>0</v>
      </c>
      <c r="S18" s="541">
        <f t="shared" si="9"/>
        <v>0</v>
      </c>
      <c r="T18" s="541" t="e" vm="1">
        <f t="shared" si="10"/>
        <v>#VALUE!</v>
      </c>
      <c r="U18" s="201">
        <f t="shared" si="11"/>
        <v>0</v>
      </c>
      <c r="V18" s="374">
        <f t="shared" si="12"/>
        <v>0</v>
      </c>
      <c r="W18" s="201">
        <f t="shared" si="13"/>
        <v>0</v>
      </c>
      <c r="X18" s="201">
        <f t="shared" si="14"/>
        <v>0</v>
      </c>
      <c r="Y18" s="201">
        <f t="shared" si="15"/>
        <v>0</v>
      </c>
      <c r="Z18" s="201">
        <f t="shared" si="16"/>
        <v>0</v>
      </c>
      <c r="AA18" s="201">
        <f t="shared" si="17"/>
        <v>0</v>
      </c>
      <c r="AB18" s="375">
        <f t="shared" si="18"/>
        <v>0</v>
      </c>
      <c r="AC18" s="202">
        <f t="shared" si="19"/>
        <v>0</v>
      </c>
      <c r="AD18" s="376">
        <f t="shared" si="20"/>
        <v>0</v>
      </c>
      <c r="AE18" s="549">
        <f t="shared" si="21"/>
        <v>0</v>
      </c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</row>
    <row r="19" spans="1:72" s="377" customFormat="1">
      <c r="A19" s="192">
        <v>6</v>
      </c>
      <c r="B19" s="470"/>
      <c r="C19" s="192"/>
      <c r="D19" s="192"/>
      <c r="E19" s="373"/>
      <c r="F19" s="373"/>
      <c r="G19" s="192"/>
      <c r="H19" s="192"/>
      <c r="I19" s="192"/>
      <c r="J19" s="201">
        <f t="shared" si="2"/>
        <v>0</v>
      </c>
      <c r="K19" s="541">
        <f t="shared" si="3"/>
        <v>0.3</v>
      </c>
      <c r="L19" s="165">
        <f t="shared" si="4"/>
        <v>0</v>
      </c>
      <c r="M19" s="201">
        <f t="shared" si="5"/>
        <v>0</v>
      </c>
      <c r="N19" s="542">
        <f t="shared" si="6"/>
        <v>100</v>
      </c>
      <c r="O19" s="543">
        <f t="shared" si="0"/>
        <v>9000</v>
      </c>
      <c r="P19" s="201">
        <f t="shared" si="7"/>
        <v>0</v>
      </c>
      <c r="Q19" s="201">
        <f t="shared" si="1"/>
        <v>0</v>
      </c>
      <c r="R19" s="201">
        <f t="shared" si="8"/>
        <v>0</v>
      </c>
      <c r="S19" s="541">
        <f t="shared" si="9"/>
        <v>0</v>
      </c>
      <c r="T19" s="541" t="e" vm="1">
        <f t="shared" si="10"/>
        <v>#VALUE!</v>
      </c>
      <c r="U19" s="201">
        <f t="shared" si="11"/>
        <v>0</v>
      </c>
      <c r="V19" s="374">
        <f t="shared" si="12"/>
        <v>0</v>
      </c>
      <c r="W19" s="201">
        <f t="shared" si="13"/>
        <v>0</v>
      </c>
      <c r="X19" s="201">
        <f t="shared" si="14"/>
        <v>0</v>
      </c>
      <c r="Y19" s="201">
        <f t="shared" si="15"/>
        <v>0</v>
      </c>
      <c r="Z19" s="201">
        <f t="shared" si="16"/>
        <v>0</v>
      </c>
      <c r="AA19" s="201">
        <f t="shared" si="17"/>
        <v>0</v>
      </c>
      <c r="AB19" s="375">
        <f t="shared" si="18"/>
        <v>0</v>
      </c>
      <c r="AC19" s="202">
        <f t="shared" si="19"/>
        <v>0</v>
      </c>
      <c r="AD19" s="376">
        <f t="shared" si="20"/>
        <v>0</v>
      </c>
      <c r="AE19" s="549">
        <f t="shared" si="21"/>
        <v>0</v>
      </c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</row>
    <row r="20" spans="1:72" s="377" customFormat="1">
      <c r="A20" s="192">
        <v>7</v>
      </c>
      <c r="B20" s="470"/>
      <c r="C20" s="192"/>
      <c r="D20" s="192"/>
      <c r="E20" s="373"/>
      <c r="F20" s="373"/>
      <c r="G20" s="192"/>
      <c r="H20" s="192"/>
      <c r="I20" s="192"/>
      <c r="J20" s="201">
        <f t="shared" si="2"/>
        <v>0</v>
      </c>
      <c r="K20" s="541">
        <f t="shared" si="3"/>
        <v>0.3</v>
      </c>
      <c r="L20" s="165">
        <f t="shared" si="4"/>
        <v>0</v>
      </c>
      <c r="M20" s="201">
        <f t="shared" si="5"/>
        <v>0</v>
      </c>
      <c r="N20" s="542">
        <f t="shared" si="6"/>
        <v>100</v>
      </c>
      <c r="O20" s="543">
        <f t="shared" si="0"/>
        <v>9000</v>
      </c>
      <c r="P20" s="201">
        <f t="shared" si="7"/>
        <v>0</v>
      </c>
      <c r="Q20" s="201">
        <f t="shared" si="1"/>
        <v>0</v>
      </c>
      <c r="R20" s="201">
        <f t="shared" si="8"/>
        <v>0</v>
      </c>
      <c r="S20" s="541">
        <f t="shared" si="9"/>
        <v>0</v>
      </c>
      <c r="T20" s="541" t="e" vm="1">
        <f t="shared" si="10"/>
        <v>#VALUE!</v>
      </c>
      <c r="U20" s="201">
        <f t="shared" si="11"/>
        <v>0</v>
      </c>
      <c r="V20" s="374">
        <f t="shared" si="12"/>
        <v>0</v>
      </c>
      <c r="W20" s="201">
        <f t="shared" si="13"/>
        <v>0</v>
      </c>
      <c r="X20" s="201">
        <f t="shared" si="14"/>
        <v>0</v>
      </c>
      <c r="Y20" s="201">
        <f t="shared" si="15"/>
        <v>0</v>
      </c>
      <c r="Z20" s="201">
        <f t="shared" si="16"/>
        <v>0</v>
      </c>
      <c r="AA20" s="201">
        <f t="shared" si="17"/>
        <v>0</v>
      </c>
      <c r="AB20" s="375">
        <f t="shared" si="18"/>
        <v>0</v>
      </c>
      <c r="AC20" s="202">
        <f t="shared" si="19"/>
        <v>0</v>
      </c>
      <c r="AD20" s="376">
        <f t="shared" si="20"/>
        <v>0</v>
      </c>
      <c r="AE20" s="549">
        <f t="shared" si="21"/>
        <v>0</v>
      </c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</row>
    <row r="21" spans="1:72" s="377" customFormat="1">
      <c r="A21" s="192">
        <v>8</v>
      </c>
      <c r="B21" s="470"/>
      <c r="C21" s="192"/>
      <c r="D21" s="192"/>
      <c r="E21" s="373"/>
      <c r="F21" s="373"/>
      <c r="G21" s="192"/>
      <c r="H21" s="192"/>
      <c r="I21" s="192"/>
      <c r="J21" s="201">
        <f t="shared" si="2"/>
        <v>0</v>
      </c>
      <c r="K21" s="541">
        <f t="shared" si="3"/>
        <v>0.3</v>
      </c>
      <c r="L21" s="165">
        <f t="shared" si="4"/>
        <v>0</v>
      </c>
      <c r="M21" s="201">
        <f t="shared" si="5"/>
        <v>0</v>
      </c>
      <c r="N21" s="542">
        <f t="shared" si="6"/>
        <v>100</v>
      </c>
      <c r="O21" s="543">
        <f t="shared" si="0"/>
        <v>9000</v>
      </c>
      <c r="P21" s="201">
        <f t="shared" si="7"/>
        <v>0</v>
      </c>
      <c r="Q21" s="201">
        <f t="shared" si="1"/>
        <v>0</v>
      </c>
      <c r="R21" s="201">
        <f t="shared" si="8"/>
        <v>0</v>
      </c>
      <c r="S21" s="541">
        <f t="shared" si="9"/>
        <v>0</v>
      </c>
      <c r="T21" s="541" t="e" vm="1">
        <f t="shared" si="10"/>
        <v>#VALUE!</v>
      </c>
      <c r="U21" s="201">
        <f t="shared" si="11"/>
        <v>0</v>
      </c>
      <c r="V21" s="374">
        <f t="shared" si="12"/>
        <v>0</v>
      </c>
      <c r="W21" s="201">
        <f t="shared" si="13"/>
        <v>0</v>
      </c>
      <c r="X21" s="201">
        <f t="shared" si="14"/>
        <v>0</v>
      </c>
      <c r="Y21" s="201">
        <f t="shared" si="15"/>
        <v>0</v>
      </c>
      <c r="Z21" s="201">
        <f t="shared" si="16"/>
        <v>0</v>
      </c>
      <c r="AA21" s="201">
        <f t="shared" si="17"/>
        <v>0</v>
      </c>
      <c r="AB21" s="375">
        <f t="shared" si="18"/>
        <v>0</v>
      </c>
      <c r="AC21" s="202">
        <f t="shared" si="19"/>
        <v>0</v>
      </c>
      <c r="AD21" s="376">
        <f t="shared" si="20"/>
        <v>0</v>
      </c>
      <c r="AE21" s="549">
        <f t="shared" si="21"/>
        <v>0</v>
      </c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</row>
    <row r="22" spans="1:72" s="377" customFormat="1">
      <c r="A22" s="192">
        <v>9</v>
      </c>
      <c r="B22" s="470"/>
      <c r="C22" s="192"/>
      <c r="D22" s="192"/>
      <c r="E22" s="373"/>
      <c r="F22" s="373"/>
      <c r="G22" s="192"/>
      <c r="H22" s="192"/>
      <c r="I22" s="192"/>
      <c r="J22" s="201">
        <f t="shared" si="2"/>
        <v>0</v>
      </c>
      <c r="K22" s="541">
        <f t="shared" si="3"/>
        <v>0.3</v>
      </c>
      <c r="L22" s="165">
        <f t="shared" si="4"/>
        <v>0</v>
      </c>
      <c r="M22" s="201">
        <f t="shared" si="5"/>
        <v>0</v>
      </c>
      <c r="N22" s="542">
        <f t="shared" si="6"/>
        <v>100</v>
      </c>
      <c r="O22" s="543">
        <f t="shared" si="0"/>
        <v>9000</v>
      </c>
      <c r="P22" s="201">
        <f t="shared" si="7"/>
        <v>0</v>
      </c>
      <c r="Q22" s="201">
        <f t="shared" si="1"/>
        <v>0</v>
      </c>
      <c r="R22" s="201">
        <f t="shared" si="8"/>
        <v>0</v>
      </c>
      <c r="S22" s="541">
        <f t="shared" si="9"/>
        <v>0</v>
      </c>
      <c r="T22" s="541" t="e" vm="1">
        <f t="shared" si="10"/>
        <v>#VALUE!</v>
      </c>
      <c r="U22" s="201">
        <f t="shared" si="11"/>
        <v>0</v>
      </c>
      <c r="V22" s="374">
        <f t="shared" si="12"/>
        <v>0</v>
      </c>
      <c r="W22" s="201">
        <f t="shared" si="13"/>
        <v>0</v>
      </c>
      <c r="X22" s="201">
        <f t="shared" si="14"/>
        <v>0</v>
      </c>
      <c r="Y22" s="201">
        <f t="shared" si="15"/>
        <v>0</v>
      </c>
      <c r="Z22" s="201">
        <f t="shared" si="16"/>
        <v>0</v>
      </c>
      <c r="AA22" s="201">
        <f t="shared" si="17"/>
        <v>0</v>
      </c>
      <c r="AB22" s="375">
        <f t="shared" si="18"/>
        <v>0</v>
      </c>
      <c r="AC22" s="202">
        <f t="shared" si="19"/>
        <v>0</v>
      </c>
      <c r="AD22" s="376">
        <f t="shared" si="20"/>
        <v>0</v>
      </c>
      <c r="AE22" s="549">
        <f t="shared" si="21"/>
        <v>0</v>
      </c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</row>
    <row r="23" spans="1:72" s="377" customFormat="1">
      <c r="A23" s="192">
        <v>10</v>
      </c>
      <c r="B23" s="470"/>
      <c r="C23" s="192"/>
      <c r="D23" s="192"/>
      <c r="E23" s="373"/>
      <c r="F23" s="373"/>
      <c r="G23" s="192"/>
      <c r="H23" s="192"/>
      <c r="I23" s="192"/>
      <c r="J23" s="201">
        <f t="shared" si="2"/>
        <v>0</v>
      </c>
      <c r="K23" s="541">
        <f t="shared" si="3"/>
        <v>0.3</v>
      </c>
      <c r="L23" s="165">
        <f t="shared" si="4"/>
        <v>0</v>
      </c>
      <c r="M23" s="201">
        <f t="shared" si="5"/>
        <v>0</v>
      </c>
      <c r="N23" s="542">
        <f t="shared" si="6"/>
        <v>100</v>
      </c>
      <c r="O23" s="543">
        <f t="shared" si="0"/>
        <v>9000</v>
      </c>
      <c r="P23" s="201">
        <f t="shared" si="7"/>
        <v>0</v>
      </c>
      <c r="Q23" s="201">
        <f t="shared" si="1"/>
        <v>0</v>
      </c>
      <c r="R23" s="201">
        <f t="shared" si="8"/>
        <v>0</v>
      </c>
      <c r="S23" s="541">
        <f t="shared" si="9"/>
        <v>0</v>
      </c>
      <c r="T23" s="541" t="e" vm="1">
        <f t="shared" si="10"/>
        <v>#VALUE!</v>
      </c>
      <c r="U23" s="201">
        <f t="shared" si="11"/>
        <v>0</v>
      </c>
      <c r="V23" s="374">
        <f t="shared" si="12"/>
        <v>0</v>
      </c>
      <c r="W23" s="201">
        <f t="shared" si="13"/>
        <v>0</v>
      </c>
      <c r="X23" s="201">
        <f t="shared" si="14"/>
        <v>0</v>
      </c>
      <c r="Y23" s="201">
        <f t="shared" si="15"/>
        <v>0</v>
      </c>
      <c r="Z23" s="201">
        <f t="shared" si="16"/>
        <v>0</v>
      </c>
      <c r="AA23" s="201">
        <f t="shared" si="17"/>
        <v>0</v>
      </c>
      <c r="AB23" s="375">
        <f t="shared" si="18"/>
        <v>0</v>
      </c>
      <c r="AC23" s="202">
        <f t="shared" si="19"/>
        <v>0</v>
      </c>
      <c r="AD23" s="376">
        <f t="shared" si="20"/>
        <v>0</v>
      </c>
      <c r="AE23" s="549">
        <f t="shared" si="21"/>
        <v>0</v>
      </c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</row>
    <row r="24" spans="1:72" s="377" customFormat="1">
      <c r="A24" s="192">
        <v>11</v>
      </c>
      <c r="B24" s="470"/>
      <c r="C24" s="192"/>
      <c r="D24" s="192"/>
      <c r="E24" s="373"/>
      <c r="F24" s="373"/>
      <c r="G24" s="192"/>
      <c r="H24" s="192"/>
      <c r="I24" s="192"/>
      <c r="J24" s="201">
        <f t="shared" si="2"/>
        <v>0</v>
      </c>
      <c r="K24" s="541">
        <f t="shared" si="3"/>
        <v>0.3</v>
      </c>
      <c r="L24" s="165">
        <f t="shared" si="4"/>
        <v>0</v>
      </c>
      <c r="M24" s="201">
        <f t="shared" si="5"/>
        <v>0</v>
      </c>
      <c r="N24" s="542">
        <f t="shared" si="6"/>
        <v>100</v>
      </c>
      <c r="O24" s="543">
        <f t="shared" si="0"/>
        <v>9000</v>
      </c>
      <c r="P24" s="201">
        <f t="shared" si="7"/>
        <v>0</v>
      </c>
      <c r="Q24" s="201">
        <f t="shared" si="1"/>
        <v>0</v>
      </c>
      <c r="R24" s="201">
        <f t="shared" si="8"/>
        <v>0</v>
      </c>
      <c r="S24" s="541">
        <f t="shared" si="9"/>
        <v>0</v>
      </c>
      <c r="T24" s="541" t="e" vm="1">
        <f t="shared" si="10"/>
        <v>#VALUE!</v>
      </c>
      <c r="U24" s="201">
        <f t="shared" si="11"/>
        <v>0</v>
      </c>
      <c r="V24" s="374">
        <f t="shared" si="12"/>
        <v>0</v>
      </c>
      <c r="W24" s="201">
        <f t="shared" si="13"/>
        <v>0</v>
      </c>
      <c r="X24" s="201">
        <f t="shared" si="14"/>
        <v>0</v>
      </c>
      <c r="Y24" s="201">
        <f t="shared" si="15"/>
        <v>0</v>
      </c>
      <c r="Z24" s="201">
        <f t="shared" si="16"/>
        <v>0</v>
      </c>
      <c r="AA24" s="201">
        <f t="shared" si="17"/>
        <v>0</v>
      </c>
      <c r="AB24" s="375">
        <f t="shared" si="18"/>
        <v>0</v>
      </c>
      <c r="AC24" s="202">
        <f t="shared" si="19"/>
        <v>0</v>
      </c>
      <c r="AD24" s="376">
        <f t="shared" si="20"/>
        <v>0</v>
      </c>
      <c r="AE24" s="549">
        <f t="shared" si="21"/>
        <v>0</v>
      </c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</row>
    <row r="25" spans="1:72" s="377" customFormat="1">
      <c r="A25" s="192">
        <v>12</v>
      </c>
      <c r="B25" s="470"/>
      <c r="C25" s="192"/>
      <c r="D25" s="192"/>
      <c r="E25" s="373"/>
      <c r="F25" s="373"/>
      <c r="G25" s="192"/>
      <c r="H25" s="192"/>
      <c r="I25" s="192"/>
      <c r="J25" s="201">
        <f t="shared" si="2"/>
        <v>0</v>
      </c>
      <c r="K25" s="541">
        <f t="shared" si="3"/>
        <v>0.3</v>
      </c>
      <c r="L25" s="165">
        <f t="shared" si="4"/>
        <v>0</v>
      </c>
      <c r="M25" s="201">
        <f t="shared" si="5"/>
        <v>0</v>
      </c>
      <c r="N25" s="542">
        <f t="shared" si="6"/>
        <v>100</v>
      </c>
      <c r="O25" s="543">
        <f t="shared" si="0"/>
        <v>9000</v>
      </c>
      <c r="P25" s="201">
        <f t="shared" si="7"/>
        <v>0</v>
      </c>
      <c r="Q25" s="201">
        <f t="shared" si="1"/>
        <v>0</v>
      </c>
      <c r="R25" s="201">
        <f t="shared" si="8"/>
        <v>0</v>
      </c>
      <c r="S25" s="541">
        <f t="shared" si="9"/>
        <v>0</v>
      </c>
      <c r="T25" s="541" t="e" vm="1">
        <f t="shared" si="10"/>
        <v>#VALUE!</v>
      </c>
      <c r="U25" s="201">
        <f t="shared" si="11"/>
        <v>0</v>
      </c>
      <c r="V25" s="374">
        <f t="shared" si="12"/>
        <v>0</v>
      </c>
      <c r="W25" s="201">
        <f t="shared" si="13"/>
        <v>0</v>
      </c>
      <c r="X25" s="201">
        <f t="shared" si="14"/>
        <v>0</v>
      </c>
      <c r="Y25" s="201">
        <f t="shared" si="15"/>
        <v>0</v>
      </c>
      <c r="Z25" s="201">
        <f t="shared" si="16"/>
        <v>0</v>
      </c>
      <c r="AA25" s="201">
        <f t="shared" si="17"/>
        <v>0</v>
      </c>
      <c r="AB25" s="375">
        <f t="shared" si="18"/>
        <v>0</v>
      </c>
      <c r="AC25" s="202">
        <f t="shared" si="19"/>
        <v>0</v>
      </c>
      <c r="AD25" s="376">
        <f t="shared" si="20"/>
        <v>0</v>
      </c>
      <c r="AE25" s="549">
        <f t="shared" si="21"/>
        <v>0</v>
      </c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</row>
    <row r="26" spans="1:72" s="377" customFormat="1">
      <c r="A26" s="192">
        <v>13</v>
      </c>
      <c r="B26" s="470"/>
      <c r="C26" s="192"/>
      <c r="D26" s="192"/>
      <c r="E26" s="373"/>
      <c r="F26" s="373"/>
      <c r="G26" s="192"/>
      <c r="H26" s="192"/>
      <c r="I26" s="192"/>
      <c r="J26" s="201">
        <f t="shared" si="2"/>
        <v>0</v>
      </c>
      <c r="K26" s="541">
        <f t="shared" si="3"/>
        <v>0.3</v>
      </c>
      <c r="L26" s="165">
        <f t="shared" si="4"/>
        <v>0</v>
      </c>
      <c r="M26" s="201">
        <f t="shared" si="5"/>
        <v>0</v>
      </c>
      <c r="N26" s="542">
        <f t="shared" si="6"/>
        <v>100</v>
      </c>
      <c r="O26" s="543">
        <f t="shared" si="0"/>
        <v>9000</v>
      </c>
      <c r="P26" s="201">
        <f t="shared" si="7"/>
        <v>0</v>
      </c>
      <c r="Q26" s="201">
        <f t="shared" si="1"/>
        <v>0</v>
      </c>
      <c r="R26" s="201">
        <f t="shared" si="8"/>
        <v>0</v>
      </c>
      <c r="S26" s="541">
        <f t="shared" si="9"/>
        <v>0</v>
      </c>
      <c r="T26" s="541" t="e" vm="1">
        <f t="shared" si="10"/>
        <v>#VALUE!</v>
      </c>
      <c r="U26" s="201">
        <f t="shared" si="11"/>
        <v>0</v>
      </c>
      <c r="V26" s="374">
        <f t="shared" si="12"/>
        <v>0</v>
      </c>
      <c r="W26" s="201">
        <f t="shared" si="13"/>
        <v>0</v>
      </c>
      <c r="X26" s="201">
        <f t="shared" si="14"/>
        <v>0</v>
      </c>
      <c r="Y26" s="201">
        <f t="shared" si="15"/>
        <v>0</v>
      </c>
      <c r="Z26" s="201">
        <f t="shared" si="16"/>
        <v>0</v>
      </c>
      <c r="AA26" s="201">
        <f t="shared" si="17"/>
        <v>0</v>
      </c>
      <c r="AB26" s="375">
        <f t="shared" si="18"/>
        <v>0</v>
      </c>
      <c r="AC26" s="202">
        <f t="shared" si="19"/>
        <v>0</v>
      </c>
      <c r="AD26" s="376">
        <f t="shared" si="20"/>
        <v>0</v>
      </c>
      <c r="AE26" s="549">
        <f t="shared" si="21"/>
        <v>0</v>
      </c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</row>
    <row r="27" spans="1:72" s="377" customFormat="1">
      <c r="A27" s="192">
        <v>14</v>
      </c>
      <c r="B27" s="470"/>
      <c r="C27" s="192"/>
      <c r="D27" s="192"/>
      <c r="E27" s="373"/>
      <c r="F27" s="373"/>
      <c r="G27" s="192"/>
      <c r="H27" s="192"/>
      <c r="I27" s="192"/>
      <c r="J27" s="201">
        <f t="shared" si="2"/>
        <v>0</v>
      </c>
      <c r="K27" s="541">
        <f t="shared" si="3"/>
        <v>0.3</v>
      </c>
      <c r="L27" s="165">
        <f t="shared" si="4"/>
        <v>0</v>
      </c>
      <c r="M27" s="201">
        <f t="shared" si="5"/>
        <v>0</v>
      </c>
      <c r="N27" s="542">
        <f t="shared" si="6"/>
        <v>100</v>
      </c>
      <c r="O27" s="543">
        <f t="shared" si="0"/>
        <v>9000</v>
      </c>
      <c r="P27" s="201">
        <f t="shared" si="7"/>
        <v>0</v>
      </c>
      <c r="Q27" s="201">
        <f t="shared" si="1"/>
        <v>0</v>
      </c>
      <c r="R27" s="201">
        <f t="shared" si="8"/>
        <v>0</v>
      </c>
      <c r="S27" s="541">
        <f t="shared" si="9"/>
        <v>0</v>
      </c>
      <c r="T27" s="541" t="e" vm="1">
        <f t="shared" si="10"/>
        <v>#VALUE!</v>
      </c>
      <c r="U27" s="201">
        <f t="shared" si="11"/>
        <v>0</v>
      </c>
      <c r="V27" s="374">
        <f t="shared" si="12"/>
        <v>0</v>
      </c>
      <c r="W27" s="201">
        <f t="shared" si="13"/>
        <v>0</v>
      </c>
      <c r="X27" s="201">
        <f t="shared" si="14"/>
        <v>0</v>
      </c>
      <c r="Y27" s="201">
        <f t="shared" si="15"/>
        <v>0</v>
      </c>
      <c r="Z27" s="201">
        <f t="shared" si="16"/>
        <v>0</v>
      </c>
      <c r="AA27" s="201">
        <f t="shared" si="17"/>
        <v>0</v>
      </c>
      <c r="AB27" s="375">
        <f t="shared" si="18"/>
        <v>0</v>
      </c>
      <c r="AC27" s="202">
        <f t="shared" si="19"/>
        <v>0</v>
      </c>
      <c r="AD27" s="376">
        <f t="shared" si="20"/>
        <v>0</v>
      </c>
      <c r="AE27" s="549">
        <f t="shared" si="21"/>
        <v>0</v>
      </c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</row>
    <row r="28" spans="1:72" s="377" customFormat="1">
      <c r="A28" s="192">
        <v>15</v>
      </c>
      <c r="B28" s="470"/>
      <c r="C28" s="192"/>
      <c r="D28" s="192"/>
      <c r="E28" s="373"/>
      <c r="F28" s="373"/>
      <c r="G28" s="192"/>
      <c r="H28" s="192"/>
      <c r="I28" s="192"/>
      <c r="J28" s="201">
        <f t="shared" si="2"/>
        <v>0</v>
      </c>
      <c r="K28" s="541">
        <f t="shared" si="3"/>
        <v>0.3</v>
      </c>
      <c r="L28" s="165">
        <f t="shared" si="4"/>
        <v>0</v>
      </c>
      <c r="M28" s="201">
        <f t="shared" si="5"/>
        <v>0</v>
      </c>
      <c r="N28" s="542">
        <f t="shared" si="6"/>
        <v>100</v>
      </c>
      <c r="O28" s="543">
        <f t="shared" si="0"/>
        <v>9000</v>
      </c>
      <c r="P28" s="201">
        <f t="shared" si="7"/>
        <v>0</v>
      </c>
      <c r="Q28" s="201">
        <f t="shared" si="1"/>
        <v>0</v>
      </c>
      <c r="R28" s="201">
        <f t="shared" si="8"/>
        <v>0</v>
      </c>
      <c r="S28" s="541">
        <f t="shared" si="9"/>
        <v>0</v>
      </c>
      <c r="T28" s="541" t="e" vm="1">
        <f t="shared" si="10"/>
        <v>#VALUE!</v>
      </c>
      <c r="U28" s="201">
        <f t="shared" si="11"/>
        <v>0</v>
      </c>
      <c r="V28" s="374">
        <f t="shared" si="12"/>
        <v>0</v>
      </c>
      <c r="W28" s="201">
        <f t="shared" si="13"/>
        <v>0</v>
      </c>
      <c r="X28" s="201">
        <f t="shared" si="14"/>
        <v>0</v>
      </c>
      <c r="Y28" s="201">
        <f t="shared" si="15"/>
        <v>0</v>
      </c>
      <c r="Z28" s="201">
        <f t="shared" si="16"/>
        <v>0</v>
      </c>
      <c r="AA28" s="201">
        <f t="shared" si="17"/>
        <v>0</v>
      </c>
      <c r="AB28" s="375">
        <f t="shared" si="18"/>
        <v>0</v>
      </c>
      <c r="AC28" s="202">
        <f t="shared" si="19"/>
        <v>0</v>
      </c>
      <c r="AD28" s="376">
        <f t="shared" si="20"/>
        <v>0</v>
      </c>
      <c r="AE28" s="549">
        <f t="shared" si="21"/>
        <v>0</v>
      </c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</row>
    <row r="29" spans="1:72" s="377" customFormat="1">
      <c r="A29" s="192">
        <v>16</v>
      </c>
      <c r="B29" s="470"/>
      <c r="C29" s="192"/>
      <c r="D29" s="192"/>
      <c r="E29" s="373"/>
      <c r="F29" s="373"/>
      <c r="G29" s="192"/>
      <c r="H29" s="192"/>
      <c r="I29" s="192"/>
      <c r="J29" s="201">
        <f t="shared" si="2"/>
        <v>0</v>
      </c>
      <c r="K29" s="541">
        <f t="shared" si="3"/>
        <v>0.3</v>
      </c>
      <c r="L29" s="165">
        <f t="shared" si="4"/>
        <v>0</v>
      </c>
      <c r="M29" s="201">
        <f t="shared" si="5"/>
        <v>0</v>
      </c>
      <c r="N29" s="542">
        <f t="shared" si="6"/>
        <v>100</v>
      </c>
      <c r="O29" s="543">
        <f t="shared" si="0"/>
        <v>9000</v>
      </c>
      <c r="P29" s="201">
        <f t="shared" si="7"/>
        <v>0</v>
      </c>
      <c r="Q29" s="201">
        <f t="shared" si="1"/>
        <v>0</v>
      </c>
      <c r="R29" s="201">
        <f t="shared" si="8"/>
        <v>0</v>
      </c>
      <c r="S29" s="541">
        <f t="shared" si="9"/>
        <v>0</v>
      </c>
      <c r="T29" s="541" t="e" vm="1">
        <f t="shared" si="10"/>
        <v>#VALUE!</v>
      </c>
      <c r="U29" s="201">
        <f t="shared" si="11"/>
        <v>0</v>
      </c>
      <c r="V29" s="374">
        <f t="shared" si="12"/>
        <v>0</v>
      </c>
      <c r="W29" s="201">
        <f t="shared" si="13"/>
        <v>0</v>
      </c>
      <c r="X29" s="201">
        <f t="shared" si="14"/>
        <v>0</v>
      </c>
      <c r="Y29" s="201">
        <f t="shared" si="15"/>
        <v>0</v>
      </c>
      <c r="Z29" s="201">
        <f t="shared" si="16"/>
        <v>0</v>
      </c>
      <c r="AA29" s="201">
        <f t="shared" si="17"/>
        <v>0</v>
      </c>
      <c r="AB29" s="375">
        <f t="shared" si="18"/>
        <v>0</v>
      </c>
      <c r="AC29" s="202">
        <f t="shared" si="19"/>
        <v>0</v>
      </c>
      <c r="AD29" s="376">
        <f t="shared" si="20"/>
        <v>0</v>
      </c>
      <c r="AE29" s="549">
        <f t="shared" si="21"/>
        <v>0</v>
      </c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</row>
    <row r="30" spans="1:72" s="377" customFormat="1">
      <c r="A30" s="192">
        <v>17</v>
      </c>
      <c r="B30" s="470"/>
      <c r="C30" s="192"/>
      <c r="D30" s="192"/>
      <c r="E30" s="373"/>
      <c r="F30" s="373"/>
      <c r="G30" s="192"/>
      <c r="H30" s="192"/>
      <c r="I30" s="192"/>
      <c r="J30" s="201">
        <f t="shared" si="2"/>
        <v>0</v>
      </c>
      <c r="K30" s="541">
        <f t="shared" si="3"/>
        <v>0.3</v>
      </c>
      <c r="L30" s="165">
        <f t="shared" si="4"/>
        <v>0</v>
      </c>
      <c r="M30" s="201">
        <f t="shared" si="5"/>
        <v>0</v>
      </c>
      <c r="N30" s="542">
        <f t="shared" si="6"/>
        <v>100</v>
      </c>
      <c r="O30" s="543">
        <f t="shared" si="0"/>
        <v>9000</v>
      </c>
      <c r="P30" s="201">
        <f t="shared" si="7"/>
        <v>0</v>
      </c>
      <c r="Q30" s="201">
        <f t="shared" si="1"/>
        <v>0</v>
      </c>
      <c r="R30" s="201">
        <f t="shared" si="8"/>
        <v>0</v>
      </c>
      <c r="S30" s="541">
        <f t="shared" si="9"/>
        <v>0</v>
      </c>
      <c r="T30" s="541" t="e" vm="1">
        <f t="shared" si="10"/>
        <v>#VALUE!</v>
      </c>
      <c r="U30" s="201">
        <f t="shared" si="11"/>
        <v>0</v>
      </c>
      <c r="V30" s="374">
        <f t="shared" si="12"/>
        <v>0</v>
      </c>
      <c r="W30" s="201">
        <f t="shared" si="13"/>
        <v>0</v>
      </c>
      <c r="X30" s="201">
        <f t="shared" si="14"/>
        <v>0</v>
      </c>
      <c r="Y30" s="201">
        <f t="shared" si="15"/>
        <v>0</v>
      </c>
      <c r="Z30" s="201">
        <f t="shared" si="16"/>
        <v>0</v>
      </c>
      <c r="AA30" s="201">
        <f t="shared" si="17"/>
        <v>0</v>
      </c>
      <c r="AB30" s="375">
        <f t="shared" si="18"/>
        <v>0</v>
      </c>
      <c r="AC30" s="202">
        <f t="shared" si="19"/>
        <v>0</v>
      </c>
      <c r="AD30" s="376">
        <f t="shared" si="20"/>
        <v>0</v>
      </c>
      <c r="AE30" s="549">
        <f t="shared" si="21"/>
        <v>0</v>
      </c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</row>
    <row r="31" spans="1:72" s="377" customFormat="1">
      <c r="A31" s="192">
        <v>18</v>
      </c>
      <c r="B31" s="470"/>
      <c r="C31" s="192"/>
      <c r="D31" s="192"/>
      <c r="E31" s="373"/>
      <c r="F31" s="373"/>
      <c r="G31" s="192"/>
      <c r="H31" s="192"/>
      <c r="I31" s="192"/>
      <c r="J31" s="201">
        <f t="shared" si="2"/>
        <v>0</v>
      </c>
      <c r="K31" s="541">
        <f t="shared" si="3"/>
        <v>0.3</v>
      </c>
      <c r="L31" s="165">
        <f t="shared" si="4"/>
        <v>0</v>
      </c>
      <c r="M31" s="201">
        <f t="shared" si="5"/>
        <v>0</v>
      </c>
      <c r="N31" s="542">
        <f t="shared" si="6"/>
        <v>100</v>
      </c>
      <c r="O31" s="543">
        <f t="shared" si="0"/>
        <v>9000</v>
      </c>
      <c r="P31" s="201">
        <f t="shared" si="7"/>
        <v>0</v>
      </c>
      <c r="Q31" s="201">
        <f t="shared" si="1"/>
        <v>0</v>
      </c>
      <c r="R31" s="201">
        <f t="shared" si="8"/>
        <v>0</v>
      </c>
      <c r="S31" s="541">
        <f t="shared" si="9"/>
        <v>0</v>
      </c>
      <c r="T31" s="541" t="e" vm="1">
        <f t="shared" si="10"/>
        <v>#VALUE!</v>
      </c>
      <c r="U31" s="201">
        <f t="shared" si="11"/>
        <v>0</v>
      </c>
      <c r="V31" s="374">
        <f t="shared" si="12"/>
        <v>0</v>
      </c>
      <c r="W31" s="201">
        <f t="shared" si="13"/>
        <v>0</v>
      </c>
      <c r="X31" s="201">
        <f t="shared" si="14"/>
        <v>0</v>
      </c>
      <c r="Y31" s="201">
        <f t="shared" si="15"/>
        <v>0</v>
      </c>
      <c r="Z31" s="201">
        <f t="shared" si="16"/>
        <v>0</v>
      </c>
      <c r="AA31" s="201">
        <f t="shared" si="17"/>
        <v>0</v>
      </c>
      <c r="AB31" s="375">
        <f t="shared" si="18"/>
        <v>0</v>
      </c>
      <c r="AC31" s="202">
        <f t="shared" si="19"/>
        <v>0</v>
      </c>
      <c r="AD31" s="376">
        <f t="shared" si="20"/>
        <v>0</v>
      </c>
      <c r="AE31" s="549">
        <f t="shared" si="21"/>
        <v>0</v>
      </c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</row>
    <row r="32" spans="1:72" s="377" customFormat="1">
      <c r="A32" s="192">
        <v>19</v>
      </c>
      <c r="B32" s="470"/>
      <c r="C32" s="192"/>
      <c r="D32" s="192"/>
      <c r="E32" s="373"/>
      <c r="F32" s="373"/>
      <c r="G32" s="192"/>
      <c r="H32" s="192"/>
      <c r="I32" s="192"/>
      <c r="J32" s="201">
        <f t="shared" si="2"/>
        <v>0</v>
      </c>
      <c r="K32" s="541">
        <f t="shared" si="3"/>
        <v>0.3</v>
      </c>
      <c r="L32" s="165">
        <f t="shared" si="4"/>
        <v>0</v>
      </c>
      <c r="M32" s="201">
        <f t="shared" si="5"/>
        <v>0</v>
      </c>
      <c r="N32" s="542">
        <f t="shared" si="6"/>
        <v>100</v>
      </c>
      <c r="O32" s="543">
        <f t="shared" si="0"/>
        <v>9000</v>
      </c>
      <c r="P32" s="201">
        <f t="shared" si="7"/>
        <v>0</v>
      </c>
      <c r="Q32" s="201">
        <f t="shared" si="1"/>
        <v>0</v>
      </c>
      <c r="R32" s="201">
        <f t="shared" si="8"/>
        <v>0</v>
      </c>
      <c r="S32" s="541">
        <f t="shared" si="9"/>
        <v>0</v>
      </c>
      <c r="T32" s="541" t="e" vm="1">
        <f t="shared" si="10"/>
        <v>#VALUE!</v>
      </c>
      <c r="U32" s="201">
        <f t="shared" si="11"/>
        <v>0</v>
      </c>
      <c r="V32" s="374">
        <f t="shared" si="12"/>
        <v>0</v>
      </c>
      <c r="W32" s="201">
        <f t="shared" si="13"/>
        <v>0</v>
      </c>
      <c r="X32" s="201">
        <f t="shared" si="14"/>
        <v>0</v>
      </c>
      <c r="Y32" s="201">
        <f t="shared" si="15"/>
        <v>0</v>
      </c>
      <c r="Z32" s="201">
        <f t="shared" si="16"/>
        <v>0</v>
      </c>
      <c r="AA32" s="201">
        <f t="shared" si="17"/>
        <v>0</v>
      </c>
      <c r="AB32" s="375">
        <f t="shared" si="18"/>
        <v>0</v>
      </c>
      <c r="AC32" s="202">
        <f t="shared" si="19"/>
        <v>0</v>
      </c>
      <c r="AD32" s="376">
        <f t="shared" si="20"/>
        <v>0</v>
      </c>
      <c r="AE32" s="549">
        <f>AB32*$P$5</f>
        <v>0</v>
      </c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</row>
    <row r="33" spans="1:72" s="377" customFormat="1">
      <c r="A33" s="192">
        <v>20</v>
      </c>
      <c r="B33" s="470"/>
      <c r="C33" s="192"/>
      <c r="D33" s="192"/>
      <c r="E33" s="373"/>
      <c r="F33" s="373"/>
      <c r="G33" s="192"/>
      <c r="H33" s="192"/>
      <c r="I33" s="192"/>
      <c r="J33" s="201">
        <f t="shared" si="2"/>
        <v>0</v>
      </c>
      <c r="K33" s="541">
        <f t="shared" si="3"/>
        <v>0.3</v>
      </c>
      <c r="L33" s="165">
        <f t="shared" si="4"/>
        <v>0</v>
      </c>
      <c r="M33" s="201">
        <f t="shared" si="5"/>
        <v>0</v>
      </c>
      <c r="N33" s="542">
        <f t="shared" si="6"/>
        <v>100</v>
      </c>
      <c r="O33" s="543">
        <f t="shared" si="0"/>
        <v>9000</v>
      </c>
      <c r="P33" s="201">
        <f t="shared" si="7"/>
        <v>0</v>
      </c>
      <c r="Q33" s="201">
        <f t="shared" si="1"/>
        <v>0</v>
      </c>
      <c r="R33" s="201">
        <f t="shared" si="8"/>
        <v>0</v>
      </c>
      <c r="S33" s="541">
        <f t="shared" si="9"/>
        <v>0</v>
      </c>
      <c r="T33" s="541" t="e" vm="1">
        <f t="shared" si="10"/>
        <v>#VALUE!</v>
      </c>
      <c r="U33" s="201">
        <f t="shared" si="11"/>
        <v>0</v>
      </c>
      <c r="V33" s="374">
        <f t="shared" si="12"/>
        <v>0</v>
      </c>
      <c r="W33" s="201">
        <f t="shared" si="13"/>
        <v>0</v>
      </c>
      <c r="X33" s="201">
        <f t="shared" si="14"/>
        <v>0</v>
      </c>
      <c r="Y33" s="201">
        <f t="shared" si="15"/>
        <v>0</v>
      </c>
      <c r="Z33" s="201">
        <f t="shared" si="16"/>
        <v>0</v>
      </c>
      <c r="AA33" s="201">
        <f t="shared" si="17"/>
        <v>0</v>
      </c>
      <c r="AB33" s="375">
        <f t="shared" si="18"/>
        <v>0</v>
      </c>
      <c r="AC33" s="202">
        <f t="shared" si="19"/>
        <v>0</v>
      </c>
      <c r="AD33" s="376">
        <f t="shared" si="20"/>
        <v>0</v>
      </c>
      <c r="AE33" s="549">
        <f>AB33*$P$5</f>
        <v>0</v>
      </c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</row>
    <row r="34" spans="1:72" s="377" customFormat="1">
      <c r="A34" s="192">
        <v>21</v>
      </c>
      <c r="B34" s="470"/>
      <c r="C34" s="192"/>
      <c r="D34" s="192"/>
      <c r="E34" s="373"/>
      <c r="F34" s="373"/>
      <c r="G34" s="192"/>
      <c r="H34" s="192"/>
      <c r="I34" s="192"/>
      <c r="J34" s="201">
        <f t="shared" si="2"/>
        <v>0</v>
      </c>
      <c r="K34" s="541">
        <f t="shared" si="3"/>
        <v>0.3</v>
      </c>
      <c r="L34" s="165">
        <f t="shared" si="4"/>
        <v>0</v>
      </c>
      <c r="M34" s="201">
        <f t="shared" si="5"/>
        <v>0</v>
      </c>
      <c r="N34" s="542">
        <f t="shared" si="6"/>
        <v>100</v>
      </c>
      <c r="O34" s="543">
        <f t="shared" si="0"/>
        <v>9000</v>
      </c>
      <c r="P34" s="201">
        <f t="shared" si="7"/>
        <v>0</v>
      </c>
      <c r="Q34" s="201">
        <f t="shared" si="1"/>
        <v>0</v>
      </c>
      <c r="R34" s="201">
        <f t="shared" si="8"/>
        <v>0</v>
      </c>
      <c r="S34" s="541">
        <f t="shared" si="9"/>
        <v>0</v>
      </c>
      <c r="T34" s="541" t="e" vm="1">
        <f t="shared" si="10"/>
        <v>#VALUE!</v>
      </c>
      <c r="U34" s="201">
        <f t="shared" si="11"/>
        <v>0</v>
      </c>
      <c r="V34" s="374">
        <f t="shared" si="12"/>
        <v>0</v>
      </c>
      <c r="W34" s="201">
        <f t="shared" si="13"/>
        <v>0</v>
      </c>
      <c r="X34" s="201">
        <f t="shared" si="14"/>
        <v>0</v>
      </c>
      <c r="Y34" s="201">
        <f t="shared" si="15"/>
        <v>0</v>
      </c>
      <c r="Z34" s="201">
        <f t="shared" si="16"/>
        <v>0</v>
      </c>
      <c r="AA34" s="201">
        <f t="shared" si="17"/>
        <v>0</v>
      </c>
      <c r="AB34" s="375">
        <f t="shared" si="18"/>
        <v>0</v>
      </c>
      <c r="AC34" s="202">
        <f t="shared" si="19"/>
        <v>0</v>
      </c>
      <c r="AD34" s="376">
        <f t="shared" si="20"/>
        <v>0</v>
      </c>
      <c r="AE34" s="549">
        <f t="shared" si="21"/>
        <v>0</v>
      </c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</row>
    <row r="35" spans="1:72" s="377" customFormat="1">
      <c r="A35" s="192">
        <v>22</v>
      </c>
      <c r="B35" s="470"/>
      <c r="C35" s="192"/>
      <c r="D35" s="192"/>
      <c r="E35" s="373"/>
      <c r="F35" s="373"/>
      <c r="G35" s="192"/>
      <c r="H35" s="192"/>
      <c r="I35" s="192"/>
      <c r="J35" s="201">
        <f t="shared" si="2"/>
        <v>0</v>
      </c>
      <c r="K35" s="541">
        <f t="shared" si="3"/>
        <v>0.3</v>
      </c>
      <c r="L35" s="165">
        <f t="shared" si="4"/>
        <v>0</v>
      </c>
      <c r="M35" s="201">
        <f t="shared" si="5"/>
        <v>0</v>
      </c>
      <c r="N35" s="542">
        <f t="shared" si="6"/>
        <v>100</v>
      </c>
      <c r="O35" s="543">
        <f t="shared" si="0"/>
        <v>9000</v>
      </c>
      <c r="P35" s="201">
        <f t="shared" si="7"/>
        <v>0</v>
      </c>
      <c r="Q35" s="201">
        <f t="shared" si="1"/>
        <v>0</v>
      </c>
      <c r="R35" s="201">
        <f t="shared" si="8"/>
        <v>0</v>
      </c>
      <c r="S35" s="541">
        <f t="shared" si="9"/>
        <v>0</v>
      </c>
      <c r="T35" s="541" t="e" vm="1">
        <f t="shared" si="10"/>
        <v>#VALUE!</v>
      </c>
      <c r="U35" s="201">
        <f t="shared" si="11"/>
        <v>0</v>
      </c>
      <c r="V35" s="374">
        <f t="shared" si="12"/>
        <v>0</v>
      </c>
      <c r="W35" s="201">
        <f t="shared" si="13"/>
        <v>0</v>
      </c>
      <c r="X35" s="201">
        <f t="shared" si="14"/>
        <v>0</v>
      </c>
      <c r="Y35" s="201">
        <f t="shared" si="15"/>
        <v>0</v>
      </c>
      <c r="Z35" s="201">
        <f t="shared" si="16"/>
        <v>0</v>
      </c>
      <c r="AA35" s="201">
        <f t="shared" si="17"/>
        <v>0</v>
      </c>
      <c r="AB35" s="375">
        <f t="shared" si="18"/>
        <v>0</v>
      </c>
      <c r="AC35" s="202">
        <f t="shared" si="19"/>
        <v>0</v>
      </c>
      <c r="AD35" s="376">
        <f t="shared" si="20"/>
        <v>0</v>
      </c>
      <c r="AE35" s="549">
        <f t="shared" si="21"/>
        <v>0</v>
      </c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</row>
    <row r="36" spans="1:72" s="377" customFormat="1">
      <c r="A36" s="192">
        <v>23</v>
      </c>
      <c r="B36" s="470"/>
      <c r="C36" s="192"/>
      <c r="D36" s="192"/>
      <c r="E36" s="373"/>
      <c r="F36" s="373"/>
      <c r="G36" s="192"/>
      <c r="H36" s="192"/>
      <c r="I36" s="192"/>
      <c r="J36" s="201">
        <f t="shared" si="2"/>
        <v>0</v>
      </c>
      <c r="K36" s="541">
        <f t="shared" si="3"/>
        <v>0.3</v>
      </c>
      <c r="L36" s="165">
        <f t="shared" si="4"/>
        <v>0</v>
      </c>
      <c r="M36" s="201">
        <f t="shared" si="5"/>
        <v>0</v>
      </c>
      <c r="N36" s="542">
        <f t="shared" si="6"/>
        <v>100</v>
      </c>
      <c r="O36" s="543">
        <f t="shared" si="0"/>
        <v>9000</v>
      </c>
      <c r="P36" s="201">
        <f t="shared" si="7"/>
        <v>0</v>
      </c>
      <c r="Q36" s="201">
        <f t="shared" si="1"/>
        <v>0</v>
      </c>
      <c r="R36" s="201">
        <f t="shared" si="8"/>
        <v>0</v>
      </c>
      <c r="S36" s="541">
        <f t="shared" si="9"/>
        <v>0</v>
      </c>
      <c r="T36" s="541" t="e" vm="1">
        <f t="shared" si="10"/>
        <v>#VALUE!</v>
      </c>
      <c r="U36" s="201">
        <f t="shared" si="11"/>
        <v>0</v>
      </c>
      <c r="V36" s="374">
        <f t="shared" si="12"/>
        <v>0</v>
      </c>
      <c r="W36" s="201">
        <f t="shared" si="13"/>
        <v>0</v>
      </c>
      <c r="X36" s="201">
        <f t="shared" si="14"/>
        <v>0</v>
      </c>
      <c r="Y36" s="201">
        <f t="shared" si="15"/>
        <v>0</v>
      </c>
      <c r="Z36" s="201">
        <f t="shared" si="16"/>
        <v>0</v>
      </c>
      <c r="AA36" s="201">
        <f t="shared" si="17"/>
        <v>0</v>
      </c>
      <c r="AB36" s="375">
        <f t="shared" si="18"/>
        <v>0</v>
      </c>
      <c r="AC36" s="202">
        <f t="shared" si="19"/>
        <v>0</v>
      </c>
      <c r="AD36" s="376">
        <f t="shared" si="20"/>
        <v>0</v>
      </c>
      <c r="AE36" s="549">
        <f t="shared" si="21"/>
        <v>0</v>
      </c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</row>
    <row r="37" spans="1:72" s="377" customFormat="1">
      <c r="A37" s="192">
        <v>24</v>
      </c>
      <c r="B37" s="470"/>
      <c r="C37" s="192"/>
      <c r="D37" s="192"/>
      <c r="E37" s="373"/>
      <c r="F37" s="373"/>
      <c r="G37" s="192"/>
      <c r="H37" s="192"/>
      <c r="I37" s="192"/>
      <c r="J37" s="201">
        <f t="shared" si="2"/>
        <v>0</v>
      </c>
      <c r="K37" s="541">
        <f t="shared" si="3"/>
        <v>0.3</v>
      </c>
      <c r="L37" s="165">
        <f t="shared" si="4"/>
        <v>0</v>
      </c>
      <c r="M37" s="201">
        <f t="shared" si="5"/>
        <v>0</v>
      </c>
      <c r="N37" s="542">
        <f t="shared" si="6"/>
        <v>100</v>
      </c>
      <c r="O37" s="543">
        <f t="shared" si="0"/>
        <v>9000</v>
      </c>
      <c r="P37" s="201">
        <f t="shared" si="7"/>
        <v>0</v>
      </c>
      <c r="Q37" s="201">
        <f t="shared" si="1"/>
        <v>0</v>
      </c>
      <c r="R37" s="201">
        <f t="shared" si="8"/>
        <v>0</v>
      </c>
      <c r="S37" s="541">
        <f t="shared" si="9"/>
        <v>0</v>
      </c>
      <c r="T37" s="541" t="e" vm="1">
        <f t="shared" si="10"/>
        <v>#VALUE!</v>
      </c>
      <c r="U37" s="201">
        <f t="shared" si="11"/>
        <v>0</v>
      </c>
      <c r="V37" s="374">
        <f t="shared" si="12"/>
        <v>0</v>
      </c>
      <c r="W37" s="201">
        <f t="shared" si="13"/>
        <v>0</v>
      </c>
      <c r="X37" s="201">
        <f t="shared" si="14"/>
        <v>0</v>
      </c>
      <c r="Y37" s="201">
        <f t="shared" si="15"/>
        <v>0</v>
      </c>
      <c r="Z37" s="201">
        <f t="shared" si="16"/>
        <v>0</v>
      </c>
      <c r="AA37" s="201">
        <f t="shared" si="17"/>
        <v>0</v>
      </c>
      <c r="AB37" s="375">
        <f t="shared" si="18"/>
        <v>0</v>
      </c>
      <c r="AC37" s="202">
        <f t="shared" si="19"/>
        <v>0</v>
      </c>
      <c r="AD37" s="376">
        <f t="shared" si="20"/>
        <v>0</v>
      </c>
      <c r="AE37" s="549">
        <f t="shared" si="21"/>
        <v>0</v>
      </c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</row>
    <row r="38" spans="1:72" s="377" customFormat="1">
      <c r="A38" s="192">
        <v>25</v>
      </c>
      <c r="B38" s="470"/>
      <c r="C38" s="192"/>
      <c r="D38" s="192"/>
      <c r="E38" s="373"/>
      <c r="F38" s="373"/>
      <c r="G38" s="192"/>
      <c r="H38" s="192"/>
      <c r="I38" s="192"/>
      <c r="J38" s="201">
        <f t="shared" si="2"/>
        <v>0</v>
      </c>
      <c r="K38" s="541">
        <f t="shared" si="3"/>
        <v>0.3</v>
      </c>
      <c r="L38" s="165">
        <f t="shared" si="4"/>
        <v>0</v>
      </c>
      <c r="M38" s="201">
        <f t="shared" si="5"/>
        <v>0</v>
      </c>
      <c r="N38" s="542">
        <f t="shared" si="6"/>
        <v>100</v>
      </c>
      <c r="O38" s="543">
        <f t="shared" si="0"/>
        <v>9000</v>
      </c>
      <c r="P38" s="201">
        <f t="shared" si="7"/>
        <v>0</v>
      </c>
      <c r="Q38" s="201">
        <f t="shared" si="1"/>
        <v>0</v>
      </c>
      <c r="R38" s="201">
        <f t="shared" si="8"/>
        <v>0</v>
      </c>
      <c r="S38" s="541">
        <f t="shared" si="9"/>
        <v>0</v>
      </c>
      <c r="T38" s="541" t="e" vm="1">
        <f t="shared" si="10"/>
        <v>#VALUE!</v>
      </c>
      <c r="U38" s="201">
        <f t="shared" si="11"/>
        <v>0</v>
      </c>
      <c r="V38" s="374">
        <f t="shared" si="12"/>
        <v>0</v>
      </c>
      <c r="W38" s="201">
        <f t="shared" si="13"/>
        <v>0</v>
      </c>
      <c r="X38" s="201">
        <f t="shared" si="14"/>
        <v>0</v>
      </c>
      <c r="Y38" s="201">
        <f t="shared" si="15"/>
        <v>0</v>
      </c>
      <c r="Z38" s="201">
        <f t="shared" si="16"/>
        <v>0</v>
      </c>
      <c r="AA38" s="201">
        <f t="shared" si="17"/>
        <v>0</v>
      </c>
      <c r="AB38" s="375">
        <f t="shared" si="18"/>
        <v>0</v>
      </c>
      <c r="AC38" s="202">
        <f t="shared" si="19"/>
        <v>0</v>
      </c>
      <c r="AD38" s="376">
        <f t="shared" si="20"/>
        <v>0</v>
      </c>
      <c r="AE38" s="549">
        <f t="shared" si="21"/>
        <v>0</v>
      </c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</row>
    <row r="39" spans="1:72" s="377" customFormat="1">
      <c r="A39" s="192">
        <v>26</v>
      </c>
      <c r="B39" s="470"/>
      <c r="C39" s="192"/>
      <c r="D39" s="192"/>
      <c r="E39" s="373"/>
      <c r="F39" s="373"/>
      <c r="G39" s="192"/>
      <c r="H39" s="192"/>
      <c r="I39" s="192"/>
      <c r="J39" s="201">
        <f t="shared" si="2"/>
        <v>0</v>
      </c>
      <c r="K39" s="541">
        <f t="shared" si="3"/>
        <v>0.3</v>
      </c>
      <c r="L39" s="165">
        <f t="shared" si="4"/>
        <v>0</v>
      </c>
      <c r="M39" s="201">
        <f t="shared" si="5"/>
        <v>0</v>
      </c>
      <c r="N39" s="542">
        <f t="shared" si="6"/>
        <v>100</v>
      </c>
      <c r="O39" s="543">
        <f t="shared" si="0"/>
        <v>9000</v>
      </c>
      <c r="P39" s="201">
        <f t="shared" si="7"/>
        <v>0</v>
      </c>
      <c r="Q39" s="201">
        <f t="shared" si="1"/>
        <v>0</v>
      </c>
      <c r="R39" s="201">
        <f t="shared" si="8"/>
        <v>0</v>
      </c>
      <c r="S39" s="541">
        <f t="shared" si="9"/>
        <v>0</v>
      </c>
      <c r="T39" s="541" t="e" vm="1">
        <f t="shared" si="10"/>
        <v>#VALUE!</v>
      </c>
      <c r="U39" s="201">
        <f t="shared" si="11"/>
        <v>0</v>
      </c>
      <c r="V39" s="374">
        <f t="shared" si="12"/>
        <v>0</v>
      </c>
      <c r="W39" s="201">
        <f t="shared" si="13"/>
        <v>0</v>
      </c>
      <c r="X39" s="201">
        <f t="shared" si="14"/>
        <v>0</v>
      </c>
      <c r="Y39" s="201">
        <f t="shared" si="15"/>
        <v>0</v>
      </c>
      <c r="Z39" s="201">
        <f t="shared" si="16"/>
        <v>0</v>
      </c>
      <c r="AA39" s="201">
        <f t="shared" si="17"/>
        <v>0</v>
      </c>
      <c r="AB39" s="375">
        <f t="shared" si="18"/>
        <v>0</v>
      </c>
      <c r="AC39" s="202">
        <f t="shared" si="19"/>
        <v>0</v>
      </c>
      <c r="AD39" s="376">
        <f t="shared" si="20"/>
        <v>0</v>
      </c>
      <c r="AE39" s="549">
        <f t="shared" si="21"/>
        <v>0</v>
      </c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</row>
    <row r="40" spans="1:72" s="377" customFormat="1">
      <c r="A40" s="192">
        <v>27</v>
      </c>
      <c r="B40" s="470"/>
      <c r="C40" s="192"/>
      <c r="D40" s="192"/>
      <c r="E40" s="373"/>
      <c r="F40" s="373"/>
      <c r="G40" s="192"/>
      <c r="H40" s="192"/>
      <c r="I40" s="192"/>
      <c r="J40" s="201">
        <f t="shared" si="2"/>
        <v>0</v>
      </c>
      <c r="K40" s="541">
        <f t="shared" si="3"/>
        <v>0.3</v>
      </c>
      <c r="L40" s="165">
        <f t="shared" si="4"/>
        <v>0</v>
      </c>
      <c r="M40" s="201">
        <f t="shared" si="5"/>
        <v>0</v>
      </c>
      <c r="N40" s="542">
        <f t="shared" si="6"/>
        <v>100</v>
      </c>
      <c r="O40" s="543">
        <f t="shared" si="0"/>
        <v>9000</v>
      </c>
      <c r="P40" s="201">
        <f t="shared" si="7"/>
        <v>0</v>
      </c>
      <c r="Q40" s="201">
        <f t="shared" si="1"/>
        <v>0</v>
      </c>
      <c r="R40" s="201">
        <f t="shared" si="8"/>
        <v>0</v>
      </c>
      <c r="S40" s="541">
        <f t="shared" si="9"/>
        <v>0</v>
      </c>
      <c r="T40" s="541" t="e" vm="1">
        <f t="shared" si="10"/>
        <v>#VALUE!</v>
      </c>
      <c r="U40" s="201">
        <f t="shared" si="11"/>
        <v>0</v>
      </c>
      <c r="V40" s="374">
        <f t="shared" si="12"/>
        <v>0</v>
      </c>
      <c r="W40" s="201">
        <f t="shared" si="13"/>
        <v>0</v>
      </c>
      <c r="X40" s="201">
        <f t="shared" si="14"/>
        <v>0</v>
      </c>
      <c r="Y40" s="201">
        <f t="shared" si="15"/>
        <v>0</v>
      </c>
      <c r="Z40" s="201">
        <f t="shared" si="16"/>
        <v>0</v>
      </c>
      <c r="AA40" s="201">
        <f t="shared" si="17"/>
        <v>0</v>
      </c>
      <c r="AB40" s="375">
        <f t="shared" si="18"/>
        <v>0</v>
      </c>
      <c r="AC40" s="202">
        <f t="shared" si="19"/>
        <v>0</v>
      </c>
      <c r="AD40" s="376">
        <f t="shared" si="20"/>
        <v>0</v>
      </c>
      <c r="AE40" s="549">
        <f t="shared" si="21"/>
        <v>0</v>
      </c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</row>
    <row r="41" spans="1:72" s="377" customFormat="1">
      <c r="A41" s="192">
        <v>28</v>
      </c>
      <c r="B41" s="470"/>
      <c r="C41" s="192"/>
      <c r="D41" s="192"/>
      <c r="E41" s="373"/>
      <c r="F41" s="373"/>
      <c r="G41" s="192"/>
      <c r="H41" s="192"/>
      <c r="I41" s="192"/>
      <c r="J41" s="201">
        <f t="shared" si="2"/>
        <v>0</v>
      </c>
      <c r="K41" s="541">
        <f t="shared" si="3"/>
        <v>0.3</v>
      </c>
      <c r="L41" s="165">
        <f t="shared" si="4"/>
        <v>0</v>
      </c>
      <c r="M41" s="201">
        <f t="shared" si="5"/>
        <v>0</v>
      </c>
      <c r="N41" s="542">
        <f t="shared" si="6"/>
        <v>100</v>
      </c>
      <c r="O41" s="543">
        <f t="shared" si="0"/>
        <v>9000</v>
      </c>
      <c r="P41" s="201">
        <f t="shared" si="7"/>
        <v>0</v>
      </c>
      <c r="Q41" s="201">
        <f t="shared" si="1"/>
        <v>0</v>
      </c>
      <c r="R41" s="201">
        <f t="shared" si="8"/>
        <v>0</v>
      </c>
      <c r="S41" s="541">
        <f t="shared" si="9"/>
        <v>0</v>
      </c>
      <c r="T41" s="541" t="e" vm="1">
        <f t="shared" si="10"/>
        <v>#VALUE!</v>
      </c>
      <c r="U41" s="201">
        <f t="shared" si="11"/>
        <v>0</v>
      </c>
      <c r="V41" s="374">
        <f t="shared" si="12"/>
        <v>0</v>
      </c>
      <c r="W41" s="201">
        <f t="shared" si="13"/>
        <v>0</v>
      </c>
      <c r="X41" s="201">
        <f t="shared" si="14"/>
        <v>0</v>
      </c>
      <c r="Y41" s="201">
        <f t="shared" si="15"/>
        <v>0</v>
      </c>
      <c r="Z41" s="201">
        <f t="shared" si="16"/>
        <v>0</v>
      </c>
      <c r="AA41" s="201">
        <f t="shared" si="17"/>
        <v>0</v>
      </c>
      <c r="AB41" s="375">
        <f t="shared" si="18"/>
        <v>0</v>
      </c>
      <c r="AC41" s="202">
        <f t="shared" si="19"/>
        <v>0</v>
      </c>
      <c r="AD41" s="376">
        <f t="shared" si="20"/>
        <v>0</v>
      </c>
      <c r="AE41" s="549">
        <f t="shared" si="21"/>
        <v>0</v>
      </c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</row>
    <row r="42" spans="1:72" s="377" customFormat="1">
      <c r="A42" s="192">
        <v>29</v>
      </c>
      <c r="B42" s="470"/>
      <c r="C42" s="192"/>
      <c r="D42" s="192"/>
      <c r="E42" s="373"/>
      <c r="F42" s="373"/>
      <c r="G42" s="192"/>
      <c r="H42" s="192"/>
      <c r="I42" s="192"/>
      <c r="J42" s="201">
        <f t="shared" si="2"/>
        <v>0</v>
      </c>
      <c r="K42" s="541">
        <f t="shared" si="3"/>
        <v>0.3</v>
      </c>
      <c r="L42" s="165">
        <f t="shared" si="4"/>
        <v>0</v>
      </c>
      <c r="M42" s="201">
        <f t="shared" si="5"/>
        <v>0</v>
      </c>
      <c r="N42" s="542">
        <f t="shared" si="6"/>
        <v>100</v>
      </c>
      <c r="O42" s="543">
        <f t="shared" si="0"/>
        <v>9000</v>
      </c>
      <c r="P42" s="201">
        <f t="shared" si="7"/>
        <v>0</v>
      </c>
      <c r="Q42" s="201">
        <f t="shared" si="1"/>
        <v>0</v>
      </c>
      <c r="R42" s="201">
        <f t="shared" si="8"/>
        <v>0</v>
      </c>
      <c r="S42" s="541">
        <f t="shared" si="9"/>
        <v>0</v>
      </c>
      <c r="T42" s="541" t="e" vm="1">
        <f t="shared" si="10"/>
        <v>#VALUE!</v>
      </c>
      <c r="U42" s="201">
        <f t="shared" si="11"/>
        <v>0</v>
      </c>
      <c r="V42" s="374">
        <f t="shared" si="12"/>
        <v>0</v>
      </c>
      <c r="W42" s="201">
        <f t="shared" si="13"/>
        <v>0</v>
      </c>
      <c r="X42" s="201">
        <f t="shared" si="14"/>
        <v>0</v>
      </c>
      <c r="Y42" s="201">
        <f t="shared" si="15"/>
        <v>0</v>
      </c>
      <c r="Z42" s="201">
        <f t="shared" si="16"/>
        <v>0</v>
      </c>
      <c r="AA42" s="201">
        <f t="shared" si="17"/>
        <v>0</v>
      </c>
      <c r="AB42" s="375">
        <f t="shared" si="18"/>
        <v>0</v>
      </c>
      <c r="AC42" s="202">
        <f t="shared" si="19"/>
        <v>0</v>
      </c>
      <c r="AD42" s="376">
        <f t="shared" si="20"/>
        <v>0</v>
      </c>
      <c r="AE42" s="549">
        <f t="shared" si="21"/>
        <v>0</v>
      </c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</row>
    <row r="43" spans="1:72" s="377" customFormat="1">
      <c r="A43" s="192">
        <v>30</v>
      </c>
      <c r="B43" s="470"/>
      <c r="C43" s="192"/>
      <c r="D43" s="192"/>
      <c r="E43" s="373"/>
      <c r="F43" s="373"/>
      <c r="G43" s="192"/>
      <c r="H43" s="192"/>
      <c r="I43" s="192"/>
      <c r="J43" s="201">
        <f t="shared" si="2"/>
        <v>0</v>
      </c>
      <c r="K43" s="541">
        <f t="shared" si="3"/>
        <v>0.3</v>
      </c>
      <c r="L43" s="165">
        <f t="shared" si="4"/>
        <v>0</v>
      </c>
      <c r="M43" s="201">
        <f t="shared" si="5"/>
        <v>0</v>
      </c>
      <c r="N43" s="542">
        <f t="shared" si="6"/>
        <v>100</v>
      </c>
      <c r="O43" s="543">
        <f t="shared" si="0"/>
        <v>9000</v>
      </c>
      <c r="P43" s="201">
        <f t="shared" si="7"/>
        <v>0</v>
      </c>
      <c r="Q43" s="201">
        <f t="shared" si="1"/>
        <v>0</v>
      </c>
      <c r="R43" s="201">
        <f t="shared" si="8"/>
        <v>0</v>
      </c>
      <c r="S43" s="541">
        <f t="shared" si="9"/>
        <v>0</v>
      </c>
      <c r="T43" s="541" t="e" vm="1">
        <f t="shared" si="10"/>
        <v>#VALUE!</v>
      </c>
      <c r="U43" s="201">
        <f t="shared" si="11"/>
        <v>0</v>
      </c>
      <c r="V43" s="374">
        <f t="shared" si="12"/>
        <v>0</v>
      </c>
      <c r="W43" s="201">
        <f t="shared" si="13"/>
        <v>0</v>
      </c>
      <c r="X43" s="201">
        <f t="shared" si="14"/>
        <v>0</v>
      </c>
      <c r="Y43" s="201">
        <f t="shared" si="15"/>
        <v>0</v>
      </c>
      <c r="Z43" s="201">
        <f t="shared" si="16"/>
        <v>0</v>
      </c>
      <c r="AA43" s="201">
        <f t="shared" si="17"/>
        <v>0</v>
      </c>
      <c r="AB43" s="375">
        <f t="shared" si="18"/>
        <v>0</v>
      </c>
      <c r="AC43" s="202">
        <f t="shared" si="19"/>
        <v>0</v>
      </c>
      <c r="AD43" s="376">
        <f t="shared" si="20"/>
        <v>0</v>
      </c>
      <c r="AE43" s="549">
        <f t="shared" si="21"/>
        <v>0</v>
      </c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</row>
    <row r="44" spans="1:72" s="377" customFormat="1">
      <c r="A44" s="192">
        <v>31</v>
      </c>
      <c r="B44" s="470"/>
      <c r="C44" s="192"/>
      <c r="D44" s="192"/>
      <c r="E44" s="373"/>
      <c r="F44" s="373"/>
      <c r="G44" s="192"/>
      <c r="H44" s="192"/>
      <c r="I44" s="192"/>
      <c r="J44" s="201">
        <f t="shared" si="2"/>
        <v>0</v>
      </c>
      <c r="K44" s="541">
        <f t="shared" si="3"/>
        <v>0.3</v>
      </c>
      <c r="L44" s="165">
        <f t="shared" si="4"/>
        <v>0</v>
      </c>
      <c r="M44" s="201">
        <f t="shared" si="5"/>
        <v>0</v>
      </c>
      <c r="N44" s="542">
        <f t="shared" si="6"/>
        <v>100</v>
      </c>
      <c r="O44" s="543">
        <f t="shared" si="0"/>
        <v>9000</v>
      </c>
      <c r="P44" s="201">
        <f t="shared" si="7"/>
        <v>0</v>
      </c>
      <c r="Q44" s="201">
        <f t="shared" si="1"/>
        <v>0</v>
      </c>
      <c r="R44" s="201">
        <f t="shared" si="8"/>
        <v>0</v>
      </c>
      <c r="S44" s="541">
        <f t="shared" si="9"/>
        <v>0</v>
      </c>
      <c r="T44" s="541" t="e" vm="1">
        <f t="shared" si="10"/>
        <v>#VALUE!</v>
      </c>
      <c r="U44" s="201">
        <f t="shared" si="11"/>
        <v>0</v>
      </c>
      <c r="V44" s="374">
        <f t="shared" si="12"/>
        <v>0</v>
      </c>
      <c r="W44" s="201">
        <f t="shared" si="13"/>
        <v>0</v>
      </c>
      <c r="X44" s="201">
        <f t="shared" si="14"/>
        <v>0</v>
      </c>
      <c r="Y44" s="201">
        <f t="shared" si="15"/>
        <v>0</v>
      </c>
      <c r="Z44" s="201">
        <f t="shared" si="16"/>
        <v>0</v>
      </c>
      <c r="AA44" s="201">
        <f t="shared" si="17"/>
        <v>0</v>
      </c>
      <c r="AB44" s="375">
        <f t="shared" si="18"/>
        <v>0</v>
      </c>
      <c r="AC44" s="202">
        <f t="shared" si="19"/>
        <v>0</v>
      </c>
      <c r="AD44" s="376">
        <f t="shared" si="20"/>
        <v>0</v>
      </c>
      <c r="AE44" s="549">
        <f t="shared" si="21"/>
        <v>0</v>
      </c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</row>
    <row r="45" spans="1:72" s="377" customFormat="1">
      <c r="A45" s="192">
        <v>32</v>
      </c>
      <c r="B45" s="470"/>
      <c r="C45" s="192"/>
      <c r="D45" s="192"/>
      <c r="E45" s="373"/>
      <c r="F45" s="373"/>
      <c r="G45" s="192"/>
      <c r="H45" s="192"/>
      <c r="I45" s="192"/>
      <c r="J45" s="201">
        <f t="shared" si="2"/>
        <v>0</v>
      </c>
      <c r="K45" s="541">
        <f t="shared" si="3"/>
        <v>0.3</v>
      </c>
      <c r="L45" s="165">
        <f t="shared" si="4"/>
        <v>0</v>
      </c>
      <c r="M45" s="201">
        <f>(F45=1.1)*IF((J45+2*P$9)&lt;F$3,F$3,J45+2*P$9)+(F45=1.2)*(J45+P$9+P$7/2)+(F45=2.1)*IF(L45&lt;F$3,F$3,L45)+(F45=2.2)*L45</f>
        <v>0</v>
      </c>
      <c r="N45" s="542">
        <f t="shared" si="6"/>
        <v>100</v>
      </c>
      <c r="O45" s="543">
        <f t="shared" si="0"/>
        <v>9000</v>
      </c>
      <c r="P45" s="201">
        <f t="shared" si="7"/>
        <v>0</v>
      </c>
      <c r="Q45" s="201">
        <f t="shared" si="1"/>
        <v>0</v>
      </c>
      <c r="R45" s="201">
        <f t="shared" si="8"/>
        <v>0</v>
      </c>
      <c r="S45" s="541">
        <f t="shared" si="9"/>
        <v>0</v>
      </c>
      <c r="T45" s="541" t="e" vm="1">
        <f t="shared" si="10"/>
        <v>#VALUE!</v>
      </c>
      <c r="U45" s="201">
        <f t="shared" si="11"/>
        <v>0</v>
      </c>
      <c r="V45" s="374">
        <f t="shared" si="12"/>
        <v>0</v>
      </c>
      <c r="W45" s="201">
        <f t="shared" si="13"/>
        <v>0</v>
      </c>
      <c r="X45" s="201">
        <f t="shared" si="14"/>
        <v>0</v>
      </c>
      <c r="Y45" s="201">
        <f t="shared" si="15"/>
        <v>0</v>
      </c>
      <c r="Z45" s="201">
        <f t="shared" si="16"/>
        <v>0</v>
      </c>
      <c r="AA45" s="201">
        <f t="shared" si="17"/>
        <v>0</v>
      </c>
      <c r="AB45" s="375">
        <f t="shared" si="18"/>
        <v>0</v>
      </c>
      <c r="AC45" s="202">
        <f t="shared" si="19"/>
        <v>0</v>
      </c>
      <c r="AD45" s="376">
        <f t="shared" si="20"/>
        <v>0</v>
      </c>
      <c r="AE45" s="549">
        <f t="shared" si="21"/>
        <v>0</v>
      </c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</row>
    <row r="46" spans="1:72" s="377" customFormat="1">
      <c r="A46" s="192">
        <v>33</v>
      </c>
      <c r="B46" s="470"/>
      <c r="C46" s="192"/>
      <c r="D46" s="192"/>
      <c r="E46" s="373"/>
      <c r="F46" s="373"/>
      <c r="G46" s="192"/>
      <c r="H46" s="192"/>
      <c r="I46" s="192"/>
      <c r="J46" s="201">
        <f t="shared" si="2"/>
        <v>0</v>
      </c>
      <c r="K46" s="541">
        <f t="shared" si="3"/>
        <v>0.3</v>
      </c>
      <c r="L46" s="165">
        <f t="shared" si="4"/>
        <v>0</v>
      </c>
      <c r="M46" s="201">
        <f t="shared" si="5"/>
        <v>0</v>
      </c>
      <c r="N46" s="542">
        <f t="shared" si="6"/>
        <v>100</v>
      </c>
      <c r="O46" s="543">
        <f t="shared" si="0"/>
        <v>9000</v>
      </c>
      <c r="P46" s="201">
        <f t="shared" si="7"/>
        <v>0</v>
      </c>
      <c r="Q46" s="201">
        <f t="shared" si="1"/>
        <v>0</v>
      </c>
      <c r="R46" s="201">
        <f t="shared" si="8"/>
        <v>0</v>
      </c>
      <c r="S46" s="541">
        <f t="shared" si="9"/>
        <v>0</v>
      </c>
      <c r="T46" s="541" t="e" vm="1">
        <f t="shared" si="10"/>
        <v>#VALUE!</v>
      </c>
      <c r="U46" s="201">
        <f t="shared" si="11"/>
        <v>0</v>
      </c>
      <c r="V46" s="374">
        <f t="shared" si="12"/>
        <v>0</v>
      </c>
      <c r="W46" s="201">
        <f t="shared" si="13"/>
        <v>0</v>
      </c>
      <c r="X46" s="201">
        <f t="shared" si="14"/>
        <v>0</v>
      </c>
      <c r="Y46" s="201">
        <f t="shared" si="15"/>
        <v>0</v>
      </c>
      <c r="Z46" s="201">
        <f t="shared" si="16"/>
        <v>0</v>
      </c>
      <c r="AA46" s="201">
        <f t="shared" si="17"/>
        <v>0</v>
      </c>
      <c r="AB46" s="375">
        <f t="shared" si="18"/>
        <v>0</v>
      </c>
      <c r="AC46" s="202">
        <f t="shared" si="19"/>
        <v>0</v>
      </c>
      <c r="AD46" s="376">
        <f t="shared" si="20"/>
        <v>0</v>
      </c>
      <c r="AE46" s="549">
        <f t="shared" si="21"/>
        <v>0</v>
      </c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</row>
    <row r="47" spans="1:72" s="377" customFormat="1">
      <c r="A47" s="192">
        <v>34</v>
      </c>
      <c r="B47" s="470"/>
      <c r="C47" s="192"/>
      <c r="D47" s="192"/>
      <c r="E47" s="373"/>
      <c r="F47" s="373"/>
      <c r="G47" s="192"/>
      <c r="H47" s="192"/>
      <c r="I47" s="192"/>
      <c r="J47" s="201">
        <f t="shared" si="2"/>
        <v>0</v>
      </c>
      <c r="K47" s="541">
        <f t="shared" si="3"/>
        <v>0.3</v>
      </c>
      <c r="L47" s="165">
        <f t="shared" si="4"/>
        <v>0</v>
      </c>
      <c r="M47" s="201">
        <f t="shared" si="5"/>
        <v>0</v>
      </c>
      <c r="N47" s="542">
        <f t="shared" si="6"/>
        <v>100</v>
      </c>
      <c r="O47" s="543">
        <f t="shared" si="0"/>
        <v>9000</v>
      </c>
      <c r="P47" s="201">
        <f t="shared" si="7"/>
        <v>0</v>
      </c>
      <c r="Q47" s="201">
        <f t="shared" si="1"/>
        <v>0</v>
      </c>
      <c r="R47" s="201">
        <f t="shared" si="8"/>
        <v>0</v>
      </c>
      <c r="S47" s="541">
        <f t="shared" si="9"/>
        <v>0</v>
      </c>
      <c r="T47" s="541" t="e" vm="1">
        <f t="shared" si="10"/>
        <v>#VALUE!</v>
      </c>
      <c r="U47" s="201">
        <f t="shared" si="11"/>
        <v>0</v>
      </c>
      <c r="V47" s="374">
        <f t="shared" si="12"/>
        <v>0</v>
      </c>
      <c r="W47" s="201">
        <f t="shared" si="13"/>
        <v>0</v>
      </c>
      <c r="X47" s="201">
        <f t="shared" si="14"/>
        <v>0</v>
      </c>
      <c r="Y47" s="201">
        <f t="shared" si="15"/>
        <v>0</v>
      </c>
      <c r="Z47" s="201">
        <f t="shared" si="16"/>
        <v>0</v>
      </c>
      <c r="AA47" s="201">
        <f t="shared" si="17"/>
        <v>0</v>
      </c>
      <c r="AB47" s="375">
        <f t="shared" si="18"/>
        <v>0</v>
      </c>
      <c r="AC47" s="202">
        <f t="shared" si="19"/>
        <v>0</v>
      </c>
      <c r="AD47" s="376">
        <f t="shared" si="20"/>
        <v>0</v>
      </c>
      <c r="AE47" s="549">
        <f t="shared" si="21"/>
        <v>0</v>
      </c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</row>
    <row r="48" spans="1:72" s="377" customFormat="1">
      <c r="A48" s="192">
        <v>35</v>
      </c>
      <c r="B48" s="470"/>
      <c r="C48" s="192"/>
      <c r="D48" s="192"/>
      <c r="E48" s="373"/>
      <c r="F48" s="373"/>
      <c r="G48" s="192"/>
      <c r="H48" s="192"/>
      <c r="I48" s="192"/>
      <c r="J48" s="201">
        <f t="shared" si="2"/>
        <v>0</v>
      </c>
      <c r="K48" s="541">
        <f t="shared" si="3"/>
        <v>0.3</v>
      </c>
      <c r="L48" s="165">
        <f t="shared" si="4"/>
        <v>0</v>
      </c>
      <c r="M48" s="201">
        <f t="shared" si="5"/>
        <v>0</v>
      </c>
      <c r="N48" s="542">
        <f t="shared" si="6"/>
        <v>100</v>
      </c>
      <c r="O48" s="543">
        <f t="shared" si="0"/>
        <v>9000</v>
      </c>
      <c r="P48" s="201">
        <f t="shared" si="7"/>
        <v>0</v>
      </c>
      <c r="Q48" s="201">
        <f t="shared" si="1"/>
        <v>0</v>
      </c>
      <c r="R48" s="201">
        <f t="shared" si="8"/>
        <v>0</v>
      </c>
      <c r="S48" s="541">
        <f t="shared" si="9"/>
        <v>0</v>
      </c>
      <c r="T48" s="541" t="e" vm="1">
        <f t="shared" si="10"/>
        <v>#VALUE!</v>
      </c>
      <c r="U48" s="201">
        <f t="shared" si="11"/>
        <v>0</v>
      </c>
      <c r="V48" s="374">
        <f t="shared" si="12"/>
        <v>0</v>
      </c>
      <c r="W48" s="201">
        <f t="shared" si="13"/>
        <v>0</v>
      </c>
      <c r="X48" s="201">
        <f t="shared" si="14"/>
        <v>0</v>
      </c>
      <c r="Y48" s="201">
        <f t="shared" si="15"/>
        <v>0</v>
      </c>
      <c r="Z48" s="201">
        <f t="shared" si="16"/>
        <v>0</v>
      </c>
      <c r="AA48" s="201">
        <f t="shared" si="17"/>
        <v>0</v>
      </c>
      <c r="AB48" s="375">
        <f t="shared" si="18"/>
        <v>0</v>
      </c>
      <c r="AC48" s="202">
        <f t="shared" si="19"/>
        <v>0</v>
      </c>
      <c r="AD48" s="376">
        <f t="shared" si="20"/>
        <v>0</v>
      </c>
      <c r="AE48" s="549">
        <f t="shared" si="21"/>
        <v>0</v>
      </c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</row>
    <row r="49" spans="1:72" s="377" customFormat="1">
      <c r="A49" s="192">
        <v>36</v>
      </c>
      <c r="B49" s="470"/>
      <c r="C49" s="192"/>
      <c r="D49" s="192"/>
      <c r="E49" s="373"/>
      <c r="F49" s="373"/>
      <c r="G49" s="192"/>
      <c r="H49" s="192"/>
      <c r="I49" s="192"/>
      <c r="J49" s="201">
        <f t="shared" si="2"/>
        <v>0</v>
      </c>
      <c r="K49" s="541">
        <f t="shared" si="3"/>
        <v>0.3</v>
      </c>
      <c r="L49" s="165">
        <f t="shared" si="4"/>
        <v>0</v>
      </c>
      <c r="M49" s="201">
        <f t="shared" si="5"/>
        <v>0</v>
      </c>
      <c r="N49" s="542">
        <f t="shared" si="6"/>
        <v>100</v>
      </c>
      <c r="O49" s="543">
        <f t="shared" si="0"/>
        <v>9000</v>
      </c>
      <c r="P49" s="201">
        <f t="shared" si="7"/>
        <v>0</v>
      </c>
      <c r="Q49" s="201">
        <f t="shared" si="1"/>
        <v>0</v>
      </c>
      <c r="R49" s="201">
        <f t="shared" si="8"/>
        <v>0</v>
      </c>
      <c r="S49" s="541">
        <f t="shared" si="9"/>
        <v>0</v>
      </c>
      <c r="T49" s="541" t="e" vm="1">
        <f t="shared" si="10"/>
        <v>#VALUE!</v>
      </c>
      <c r="U49" s="201">
        <f t="shared" si="11"/>
        <v>0</v>
      </c>
      <c r="V49" s="374">
        <f t="shared" si="12"/>
        <v>0</v>
      </c>
      <c r="W49" s="201">
        <f t="shared" si="13"/>
        <v>0</v>
      </c>
      <c r="X49" s="201">
        <f t="shared" si="14"/>
        <v>0</v>
      </c>
      <c r="Y49" s="201">
        <f t="shared" si="15"/>
        <v>0</v>
      </c>
      <c r="Z49" s="201">
        <f t="shared" si="16"/>
        <v>0</v>
      </c>
      <c r="AA49" s="201">
        <f t="shared" si="17"/>
        <v>0</v>
      </c>
      <c r="AB49" s="375">
        <f t="shared" si="18"/>
        <v>0</v>
      </c>
      <c r="AC49" s="202">
        <f t="shared" si="19"/>
        <v>0</v>
      </c>
      <c r="AD49" s="376">
        <f t="shared" si="20"/>
        <v>0</v>
      </c>
      <c r="AE49" s="549">
        <f t="shared" si="21"/>
        <v>0</v>
      </c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</row>
    <row r="50" spans="1:72" s="377" customFormat="1">
      <c r="A50" s="192">
        <v>37</v>
      </c>
      <c r="B50" s="470"/>
      <c r="C50" s="192"/>
      <c r="D50" s="192"/>
      <c r="E50" s="373"/>
      <c r="F50" s="373"/>
      <c r="G50" s="192"/>
      <c r="H50" s="192"/>
      <c r="I50" s="192"/>
      <c r="J50" s="201">
        <f t="shared" si="2"/>
        <v>0</v>
      </c>
      <c r="K50" s="541">
        <f t="shared" si="3"/>
        <v>0.3</v>
      </c>
      <c r="L50" s="165">
        <f t="shared" si="4"/>
        <v>0</v>
      </c>
      <c r="M50" s="201">
        <f t="shared" si="5"/>
        <v>0</v>
      </c>
      <c r="N50" s="542">
        <f t="shared" si="6"/>
        <v>100</v>
      </c>
      <c r="O50" s="543">
        <f t="shared" si="0"/>
        <v>9000</v>
      </c>
      <c r="P50" s="201">
        <f t="shared" si="7"/>
        <v>0</v>
      </c>
      <c r="Q50" s="201">
        <f t="shared" si="1"/>
        <v>0</v>
      </c>
      <c r="R50" s="201">
        <f t="shared" si="8"/>
        <v>0</v>
      </c>
      <c r="S50" s="541">
        <f t="shared" si="9"/>
        <v>0</v>
      </c>
      <c r="T50" s="541" t="e" vm="1">
        <f t="shared" si="10"/>
        <v>#VALUE!</v>
      </c>
      <c r="U50" s="201">
        <f t="shared" si="11"/>
        <v>0</v>
      </c>
      <c r="V50" s="374">
        <f t="shared" si="12"/>
        <v>0</v>
      </c>
      <c r="W50" s="201">
        <f t="shared" si="13"/>
        <v>0</v>
      </c>
      <c r="X50" s="201">
        <f t="shared" si="14"/>
        <v>0</v>
      </c>
      <c r="Y50" s="201">
        <f t="shared" si="15"/>
        <v>0</v>
      </c>
      <c r="Z50" s="201">
        <f t="shared" si="16"/>
        <v>0</v>
      </c>
      <c r="AA50" s="201">
        <f t="shared" si="17"/>
        <v>0</v>
      </c>
      <c r="AB50" s="375">
        <f t="shared" si="18"/>
        <v>0</v>
      </c>
      <c r="AC50" s="202">
        <f t="shared" si="19"/>
        <v>0</v>
      </c>
      <c r="AD50" s="376">
        <f t="shared" si="20"/>
        <v>0</v>
      </c>
      <c r="AE50" s="549">
        <f t="shared" si="21"/>
        <v>0</v>
      </c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</row>
    <row r="51" spans="1:72" s="377" customFormat="1">
      <c r="A51" s="192">
        <v>38</v>
      </c>
      <c r="B51" s="470"/>
      <c r="C51" s="192"/>
      <c r="D51" s="192"/>
      <c r="E51" s="373"/>
      <c r="F51" s="373"/>
      <c r="G51" s="192"/>
      <c r="H51" s="192"/>
      <c r="I51" s="192"/>
      <c r="J51" s="201">
        <f t="shared" si="2"/>
        <v>0</v>
      </c>
      <c r="K51" s="541">
        <f t="shared" si="3"/>
        <v>0.3</v>
      </c>
      <c r="L51" s="165">
        <f t="shared" si="4"/>
        <v>0</v>
      </c>
      <c r="M51" s="201">
        <f t="shared" si="5"/>
        <v>0</v>
      </c>
      <c r="N51" s="542">
        <f t="shared" si="6"/>
        <v>100</v>
      </c>
      <c r="O51" s="543">
        <f t="shared" si="0"/>
        <v>9000</v>
      </c>
      <c r="P51" s="201">
        <f t="shared" si="7"/>
        <v>0</v>
      </c>
      <c r="Q51" s="201">
        <f t="shared" si="1"/>
        <v>0</v>
      </c>
      <c r="R51" s="201">
        <f t="shared" si="8"/>
        <v>0</v>
      </c>
      <c r="S51" s="541">
        <f t="shared" si="9"/>
        <v>0</v>
      </c>
      <c r="T51" s="541" t="e" vm="1">
        <f t="shared" si="10"/>
        <v>#VALUE!</v>
      </c>
      <c r="U51" s="201">
        <f t="shared" si="11"/>
        <v>0</v>
      </c>
      <c r="V51" s="374">
        <f t="shared" si="12"/>
        <v>0</v>
      </c>
      <c r="W51" s="201">
        <f t="shared" si="13"/>
        <v>0</v>
      </c>
      <c r="X51" s="201">
        <f t="shared" si="14"/>
        <v>0</v>
      </c>
      <c r="Y51" s="201">
        <f t="shared" si="15"/>
        <v>0</v>
      </c>
      <c r="Z51" s="201">
        <f t="shared" si="16"/>
        <v>0</v>
      </c>
      <c r="AA51" s="201">
        <f t="shared" si="17"/>
        <v>0</v>
      </c>
      <c r="AB51" s="375">
        <f t="shared" si="18"/>
        <v>0</v>
      </c>
      <c r="AC51" s="202">
        <f t="shared" si="19"/>
        <v>0</v>
      </c>
      <c r="AD51" s="376">
        <f t="shared" si="20"/>
        <v>0</v>
      </c>
      <c r="AE51" s="549">
        <f t="shared" si="21"/>
        <v>0</v>
      </c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</row>
    <row r="52" spans="1:72" s="377" customFormat="1">
      <c r="A52" s="192">
        <v>39</v>
      </c>
      <c r="B52" s="470"/>
      <c r="C52" s="192"/>
      <c r="D52" s="192"/>
      <c r="E52" s="373"/>
      <c r="F52" s="373"/>
      <c r="G52" s="192"/>
      <c r="H52" s="192"/>
      <c r="I52" s="192"/>
      <c r="J52" s="201">
        <f t="shared" si="2"/>
        <v>0</v>
      </c>
      <c r="K52" s="541">
        <f t="shared" si="3"/>
        <v>0.3</v>
      </c>
      <c r="L52" s="165">
        <f t="shared" si="4"/>
        <v>0</v>
      </c>
      <c r="M52" s="201">
        <f t="shared" si="5"/>
        <v>0</v>
      </c>
      <c r="N52" s="542">
        <f t="shared" si="6"/>
        <v>100</v>
      </c>
      <c r="O52" s="543">
        <f t="shared" si="0"/>
        <v>9000</v>
      </c>
      <c r="P52" s="201">
        <f t="shared" si="7"/>
        <v>0</v>
      </c>
      <c r="Q52" s="201">
        <f t="shared" si="1"/>
        <v>0</v>
      </c>
      <c r="R52" s="201">
        <f t="shared" si="8"/>
        <v>0</v>
      </c>
      <c r="S52" s="541">
        <f t="shared" si="9"/>
        <v>0</v>
      </c>
      <c r="T52" s="541" t="e" vm="1">
        <f t="shared" si="10"/>
        <v>#VALUE!</v>
      </c>
      <c r="U52" s="201">
        <f t="shared" si="11"/>
        <v>0</v>
      </c>
      <c r="V52" s="374">
        <f t="shared" si="12"/>
        <v>0</v>
      </c>
      <c r="W52" s="201">
        <f t="shared" si="13"/>
        <v>0</v>
      </c>
      <c r="X52" s="201">
        <f t="shared" si="14"/>
        <v>0</v>
      </c>
      <c r="Y52" s="201">
        <f t="shared" si="15"/>
        <v>0</v>
      </c>
      <c r="Z52" s="201">
        <f t="shared" si="16"/>
        <v>0</v>
      </c>
      <c r="AA52" s="201">
        <f t="shared" si="17"/>
        <v>0</v>
      </c>
      <c r="AB52" s="375">
        <f t="shared" si="18"/>
        <v>0</v>
      </c>
      <c r="AC52" s="202">
        <f t="shared" si="19"/>
        <v>0</v>
      </c>
      <c r="AD52" s="376">
        <f t="shared" si="20"/>
        <v>0</v>
      </c>
      <c r="AE52" s="549">
        <f t="shared" si="21"/>
        <v>0</v>
      </c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</row>
    <row r="53" spans="1:72" s="377" customFormat="1">
      <c r="A53" s="192">
        <v>40</v>
      </c>
      <c r="B53" s="470"/>
      <c r="C53" s="192"/>
      <c r="D53" s="192"/>
      <c r="E53" s="373"/>
      <c r="F53" s="373"/>
      <c r="G53" s="192"/>
      <c r="H53" s="192"/>
      <c r="I53" s="192"/>
      <c r="J53" s="201">
        <f t="shared" si="2"/>
        <v>0</v>
      </c>
      <c r="K53" s="541">
        <f t="shared" si="3"/>
        <v>0.3</v>
      </c>
      <c r="L53" s="165">
        <f t="shared" si="4"/>
        <v>0</v>
      </c>
      <c r="M53" s="201">
        <f t="shared" si="5"/>
        <v>0</v>
      </c>
      <c r="N53" s="542">
        <f t="shared" si="6"/>
        <v>100</v>
      </c>
      <c r="O53" s="543">
        <f t="shared" si="0"/>
        <v>9000</v>
      </c>
      <c r="P53" s="201">
        <f t="shared" si="7"/>
        <v>0</v>
      </c>
      <c r="Q53" s="201">
        <f t="shared" si="1"/>
        <v>0</v>
      </c>
      <c r="R53" s="201">
        <f t="shared" si="8"/>
        <v>0</v>
      </c>
      <c r="S53" s="541">
        <f t="shared" si="9"/>
        <v>0</v>
      </c>
      <c r="T53" s="541" t="e" vm="1">
        <f t="shared" si="10"/>
        <v>#VALUE!</v>
      </c>
      <c r="U53" s="201">
        <f t="shared" si="11"/>
        <v>0</v>
      </c>
      <c r="V53" s="374">
        <f t="shared" si="12"/>
        <v>0</v>
      </c>
      <c r="W53" s="201">
        <f t="shared" si="13"/>
        <v>0</v>
      </c>
      <c r="X53" s="201">
        <f t="shared" si="14"/>
        <v>0</v>
      </c>
      <c r="Y53" s="201">
        <f t="shared" si="15"/>
        <v>0</v>
      </c>
      <c r="Z53" s="201">
        <f t="shared" si="16"/>
        <v>0</v>
      </c>
      <c r="AA53" s="201">
        <f t="shared" si="17"/>
        <v>0</v>
      </c>
      <c r="AB53" s="375">
        <f t="shared" si="18"/>
        <v>0</v>
      </c>
      <c r="AC53" s="202">
        <f t="shared" si="19"/>
        <v>0</v>
      </c>
      <c r="AD53" s="376">
        <f t="shared" si="20"/>
        <v>0</v>
      </c>
      <c r="AE53" s="549">
        <f t="shared" si="21"/>
        <v>0</v>
      </c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</row>
    <row r="54" spans="1:72" s="464" customFormat="1" ht="17.25" thickBot="1">
      <c r="A54" s="209">
        <v>41</v>
      </c>
      <c r="B54" s="472"/>
      <c r="C54" s="209"/>
      <c r="D54" s="209"/>
      <c r="E54" s="378"/>
      <c r="F54" s="378"/>
      <c r="G54" s="209"/>
      <c r="H54" s="209"/>
      <c r="I54" s="209"/>
      <c r="J54" s="214">
        <f t="shared" si="2"/>
        <v>0</v>
      </c>
      <c r="K54" s="544">
        <f t="shared" si="3"/>
        <v>0.3</v>
      </c>
      <c r="L54" s="379">
        <f t="shared" si="4"/>
        <v>0</v>
      </c>
      <c r="M54" s="201">
        <f t="shared" si="5"/>
        <v>0</v>
      </c>
      <c r="N54" s="545">
        <f t="shared" si="6"/>
        <v>100</v>
      </c>
      <c r="O54" s="546">
        <f t="shared" si="0"/>
        <v>9000</v>
      </c>
      <c r="P54" s="214">
        <f t="shared" si="7"/>
        <v>0</v>
      </c>
      <c r="Q54" s="214">
        <f t="shared" si="1"/>
        <v>0</v>
      </c>
      <c r="R54" s="214">
        <f t="shared" si="8"/>
        <v>0</v>
      </c>
      <c r="S54" s="544">
        <f t="shared" si="9"/>
        <v>0</v>
      </c>
      <c r="T54" s="544" t="e" vm="1">
        <f t="shared" si="10"/>
        <v>#VALUE!</v>
      </c>
      <c r="U54" s="214">
        <f t="shared" si="11"/>
        <v>0</v>
      </c>
      <c r="V54" s="380">
        <f t="shared" si="12"/>
        <v>0</v>
      </c>
      <c r="W54" s="214">
        <f t="shared" si="13"/>
        <v>0</v>
      </c>
      <c r="X54" s="214">
        <f t="shared" si="14"/>
        <v>0</v>
      </c>
      <c r="Y54" s="214">
        <f t="shared" si="15"/>
        <v>0</v>
      </c>
      <c r="Z54" s="214">
        <f t="shared" si="16"/>
        <v>0</v>
      </c>
      <c r="AA54" s="214">
        <f t="shared" si="17"/>
        <v>0</v>
      </c>
      <c r="AB54" s="381">
        <f t="shared" si="18"/>
        <v>0</v>
      </c>
      <c r="AC54" s="215">
        <f t="shared" si="19"/>
        <v>0</v>
      </c>
      <c r="AD54" s="382">
        <f t="shared" si="20"/>
        <v>0</v>
      </c>
      <c r="AE54" s="550">
        <f t="shared" si="21"/>
        <v>0</v>
      </c>
      <c r="AF54" s="281"/>
      <c r="AG54" s="281"/>
      <c r="AH54" s="281"/>
      <c r="AI54" s="281"/>
      <c r="AJ54" s="281"/>
      <c r="AK54" s="281"/>
      <c r="AL54" s="281"/>
      <c r="AM54" s="281"/>
      <c r="AN54" s="281"/>
      <c r="AO54" s="281"/>
      <c r="AP54" s="281"/>
      <c r="AQ54" s="281"/>
      <c r="AR54" s="281"/>
      <c r="AS54" s="281"/>
      <c r="AT54" s="281"/>
      <c r="AU54" s="281"/>
      <c r="AV54" s="281"/>
      <c r="AW54" s="281"/>
      <c r="AX54" s="281"/>
      <c r="AY54" s="281"/>
      <c r="AZ54" s="281"/>
      <c r="BA54" s="281"/>
      <c r="BB54" s="281"/>
      <c r="BC54" s="281"/>
      <c r="BD54" s="281"/>
      <c r="BE54" s="281"/>
      <c r="BF54" s="281"/>
      <c r="BG54" s="281"/>
      <c r="BH54" s="281"/>
      <c r="BI54" s="281"/>
      <c r="BJ54" s="281"/>
      <c r="BK54" s="281"/>
      <c r="BL54" s="281"/>
      <c r="BM54" s="281"/>
      <c r="BN54" s="281"/>
      <c r="BO54" s="281"/>
      <c r="BP54" s="281"/>
      <c r="BQ54" s="281"/>
      <c r="BR54" s="281"/>
      <c r="BS54" s="281"/>
      <c r="BT54" s="281"/>
    </row>
    <row r="55" spans="1:72">
      <c r="A55" s="184"/>
      <c r="AE55" s="551"/>
    </row>
    <row r="56" spans="1:72" s="389" customFormat="1">
      <c r="A56" s="383"/>
      <c r="B56" s="384" t="s">
        <v>154</v>
      </c>
      <c r="C56" s="385"/>
      <c r="D56" s="385"/>
      <c r="E56" s="385"/>
      <c r="F56" s="385"/>
      <c r="G56" s="385"/>
      <c r="H56" s="386">
        <f>SUM(H13:H55)</f>
        <v>0</v>
      </c>
      <c r="I56" s="386">
        <f>SUM(I13:I55)</f>
        <v>0</v>
      </c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7">
        <f>SUM(U14:U54)</f>
        <v>0</v>
      </c>
      <c r="V56" s="387">
        <f>SUM(V13:V54)</f>
        <v>0</v>
      </c>
      <c r="W56" s="387">
        <f>SUM(W13:W55)</f>
        <v>0</v>
      </c>
      <c r="X56" s="387">
        <f>SUM(X14:X54)</f>
        <v>0</v>
      </c>
      <c r="Y56" s="387">
        <f>SUM(Y13:Y55)</f>
        <v>0</v>
      </c>
      <c r="Z56" s="387">
        <f>SUM(Z14:Z54)</f>
        <v>0</v>
      </c>
      <c r="AA56" s="385"/>
      <c r="AB56" s="388">
        <f>SUM(AB14:AB54)</f>
        <v>0</v>
      </c>
      <c r="AC56" s="384"/>
      <c r="AD56" s="384"/>
      <c r="AE56" s="552">
        <f>SUM(AE14:AE54)</f>
        <v>0</v>
      </c>
      <c r="AF56" s="385"/>
      <c r="AG56" s="385"/>
      <c r="AH56" s="385"/>
      <c r="AI56" s="385"/>
      <c r="AJ56" s="385"/>
      <c r="AK56" s="385"/>
      <c r="AL56" s="385"/>
      <c r="AM56" s="385"/>
      <c r="AN56" s="385"/>
      <c r="AO56" s="385"/>
      <c r="AP56" s="385"/>
      <c r="AQ56" s="385"/>
      <c r="AR56" s="385"/>
      <c r="AS56" s="385"/>
      <c r="AT56" s="385"/>
      <c r="AU56" s="385"/>
      <c r="AV56" s="385"/>
      <c r="AW56" s="385"/>
      <c r="AX56" s="385"/>
      <c r="AY56" s="385"/>
      <c r="AZ56" s="385"/>
      <c r="BA56" s="385"/>
      <c r="BB56" s="385"/>
      <c r="BC56" s="385"/>
      <c r="BD56" s="385"/>
      <c r="BE56" s="385"/>
      <c r="BF56" s="385"/>
      <c r="BG56" s="385"/>
      <c r="BH56" s="385"/>
      <c r="BI56" s="385"/>
      <c r="BJ56" s="385"/>
      <c r="BK56" s="385"/>
      <c r="BL56" s="385"/>
      <c r="BM56" s="385"/>
      <c r="BN56" s="385"/>
      <c r="BO56" s="385"/>
      <c r="BP56" s="385"/>
      <c r="BQ56" s="385"/>
      <c r="BR56" s="385"/>
      <c r="BS56" s="385"/>
      <c r="BT56" s="385"/>
    </row>
    <row r="57" spans="1:72" s="389" customFormat="1">
      <c r="A57" s="390"/>
      <c r="B57" s="220" t="s">
        <v>155</v>
      </c>
      <c r="C57" s="384">
        <f>SUM(C14:C54)</f>
        <v>0</v>
      </c>
      <c r="D57" s="391" t="str">
        <f>IF(P4=1,"METERS","FEET")</f>
        <v>METERS</v>
      </c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92">
        <f>V56/I$4</f>
        <v>0</v>
      </c>
      <c r="W57" s="393">
        <f>W56/I$6</f>
        <v>0</v>
      </c>
      <c r="X57" s="385"/>
      <c r="Y57" s="385"/>
      <c r="Z57" s="394">
        <f>Z56/I$7</f>
        <v>0</v>
      </c>
      <c r="AA57" s="385"/>
      <c r="AB57" s="385"/>
      <c r="AC57" s="384">
        <f>SUM(AC13:AC54)</f>
        <v>0</v>
      </c>
      <c r="AD57" s="386">
        <f>SUM(AD13:AD54)</f>
        <v>0</v>
      </c>
      <c r="AE57" s="392"/>
      <c r="AF57" s="385"/>
      <c r="AG57" s="385"/>
      <c r="AH57" s="385"/>
      <c r="AI57" s="385"/>
      <c r="AJ57" s="385"/>
      <c r="AK57" s="385"/>
      <c r="AL57" s="385"/>
      <c r="AM57" s="385"/>
      <c r="AN57" s="385"/>
      <c r="AO57" s="385"/>
      <c r="AP57" s="385"/>
      <c r="AQ57" s="385"/>
      <c r="AR57" s="385"/>
      <c r="AS57" s="385"/>
      <c r="AT57" s="385"/>
      <c r="AU57" s="385"/>
      <c r="AV57" s="385"/>
      <c r="AW57" s="385"/>
      <c r="AX57" s="385"/>
      <c r="AY57" s="385"/>
      <c r="AZ57" s="385"/>
      <c r="BA57" s="385"/>
      <c r="BB57" s="385"/>
      <c r="BC57" s="385"/>
      <c r="BD57" s="385"/>
      <c r="BE57" s="385"/>
      <c r="BF57" s="385"/>
      <c r="BG57" s="385"/>
      <c r="BH57" s="385"/>
      <c r="BI57" s="385"/>
      <c r="BJ57" s="385"/>
      <c r="BK57" s="385"/>
      <c r="BL57" s="385"/>
      <c r="BM57" s="385"/>
      <c r="BN57" s="385"/>
      <c r="BO57" s="385"/>
      <c r="BP57" s="385"/>
      <c r="BQ57" s="385"/>
      <c r="BR57" s="385"/>
      <c r="BS57" s="385"/>
      <c r="BT57" s="385"/>
    </row>
    <row r="58" spans="1:72" ht="17.25" thickBot="1">
      <c r="A58" s="184"/>
    </row>
    <row r="59" spans="1:72" ht="17.25" thickBot="1">
      <c r="A59" s="184"/>
      <c r="Y59" s="395"/>
      <c r="Z59" s="396"/>
      <c r="AA59" s="396"/>
      <c r="AB59" s="372"/>
    </row>
    <row r="60" spans="1:72" ht="17.25" thickBot="1">
      <c r="B60" s="397" t="s">
        <v>156</v>
      </c>
      <c r="C60" s="398">
        <f>SUMIFS(U14:U54,E14:E54,"&gt;1",E14:E54,"&lt;2")</f>
        <v>0</v>
      </c>
      <c r="D60" s="216"/>
      <c r="G60" s="147" t="s">
        <v>157</v>
      </c>
      <c r="H60" s="319"/>
      <c r="I60" s="399">
        <f>AC57</f>
        <v>0</v>
      </c>
      <c r="K60" s="277"/>
      <c r="M60" s="151" t="s">
        <v>158</v>
      </c>
      <c r="N60" s="319"/>
      <c r="O60" s="400">
        <f>IF(AC57=0,0,Y56/AC57)</f>
        <v>0</v>
      </c>
      <c r="X60" s="277"/>
      <c r="Y60" s="401" t="s">
        <v>56</v>
      </c>
      <c r="Z60" s="402" t="s">
        <v>57</v>
      </c>
      <c r="AA60" s="402" t="s">
        <v>159</v>
      </c>
      <c r="AB60" s="403" t="s">
        <v>160</v>
      </c>
    </row>
    <row r="61" spans="1:72">
      <c r="B61" s="404" t="s">
        <v>161</v>
      </c>
      <c r="C61" s="398">
        <f>SUMIFS(U14:U54,E14:E54,"&gt;=2",E14:E54,"&lt;3")</f>
        <v>0</v>
      </c>
      <c r="D61" s="216"/>
      <c r="G61" s="156" t="s">
        <v>162</v>
      </c>
      <c r="H61" s="327"/>
      <c r="I61" s="406">
        <f>AD57</f>
        <v>0</v>
      </c>
      <c r="K61" s="277"/>
      <c r="M61" s="158" t="s">
        <v>163</v>
      </c>
      <c r="N61" s="327"/>
      <c r="O61" s="407">
        <f>Y56/F6</f>
        <v>0</v>
      </c>
      <c r="X61" s="277"/>
      <c r="Y61" s="408"/>
      <c r="Z61" s="409"/>
      <c r="AA61" s="409"/>
      <c r="AB61" s="410"/>
    </row>
    <row r="62" spans="1:72">
      <c r="B62" s="404" t="s">
        <v>164</v>
      </c>
      <c r="C62" s="405">
        <f>V56</f>
        <v>0</v>
      </c>
      <c r="D62" s="216"/>
      <c r="G62" s="156" t="s">
        <v>165</v>
      </c>
      <c r="H62" s="327"/>
      <c r="I62" s="406">
        <f>AD57*3.28</f>
        <v>0</v>
      </c>
      <c r="K62" s="277"/>
      <c r="M62" s="158" t="s">
        <v>166</v>
      </c>
      <c r="N62" s="327"/>
      <c r="O62" s="407">
        <f>IF(O61=0,0,AC57/O61)</f>
        <v>0</v>
      </c>
      <c r="X62" s="277"/>
      <c r="Y62" s="332" t="s">
        <v>167</v>
      </c>
      <c r="Z62" s="411">
        <f>X56</f>
        <v>0</v>
      </c>
      <c r="AA62" s="411">
        <f>(P5-TRUNC(P5))*Z62</f>
        <v>0</v>
      </c>
      <c r="AB62" s="412">
        <f>Z62+AA62</f>
        <v>0</v>
      </c>
    </row>
    <row r="63" spans="1:72">
      <c r="B63" s="404" t="s">
        <v>168</v>
      </c>
      <c r="C63" s="405">
        <f>H56</f>
        <v>0</v>
      </c>
      <c r="D63" s="216"/>
      <c r="G63" s="156" t="s">
        <v>169</v>
      </c>
      <c r="H63" s="327"/>
      <c r="I63" s="406">
        <f>IF(P4=1,C57,C57*1/3.28)</f>
        <v>0</v>
      </c>
      <c r="K63" s="277"/>
      <c r="M63" s="158" t="s">
        <v>170</v>
      </c>
      <c r="N63" s="327"/>
      <c r="O63" s="407">
        <f>IF(O61=0,0,I61/O61)</f>
        <v>0</v>
      </c>
      <c r="X63" s="277"/>
      <c r="Y63" s="332" t="s">
        <v>171</v>
      </c>
      <c r="Z63" s="411">
        <f>Y56</f>
        <v>0</v>
      </c>
      <c r="AA63" s="411">
        <f>(P5-TRUNC(P5))*Z63</f>
        <v>0</v>
      </c>
      <c r="AB63" s="412">
        <f>Z63+AA63</f>
        <v>0</v>
      </c>
    </row>
    <row r="64" spans="1:72">
      <c r="B64" s="404" t="s">
        <v>172</v>
      </c>
      <c r="C64" s="405">
        <f>X56</f>
        <v>0</v>
      </c>
      <c r="D64" s="216"/>
      <c r="G64" s="156" t="s">
        <v>173</v>
      </c>
      <c r="H64" s="327"/>
      <c r="I64" s="406">
        <f>IF(P4=0,C57,C57*3.28)</f>
        <v>0</v>
      </c>
      <c r="K64" s="277"/>
      <c r="M64" s="158" t="s">
        <v>174</v>
      </c>
      <c r="N64" s="327"/>
      <c r="O64" s="407">
        <f>O63*3.28</f>
        <v>0</v>
      </c>
      <c r="X64" s="277"/>
      <c r="Y64" s="332" t="s">
        <v>175</v>
      </c>
      <c r="Z64" s="411">
        <f>Z56</f>
        <v>0</v>
      </c>
      <c r="AA64" s="411">
        <f>(P5-TRUNC(P5))*Z64</f>
        <v>0</v>
      </c>
      <c r="AB64" s="412">
        <f>Z64+AA64</f>
        <v>0</v>
      </c>
    </row>
    <row r="65" spans="1:33" ht="17.25" thickBot="1">
      <c r="B65" s="404" t="s">
        <v>176</v>
      </c>
      <c r="C65" s="405">
        <f>0.7*Y56</f>
        <v>0</v>
      </c>
      <c r="D65" s="216"/>
      <c r="G65" s="156" t="s">
        <v>177</v>
      </c>
      <c r="H65" s="327"/>
      <c r="I65" s="406">
        <f>IF(AB56=0,0,X56/AB56*100)</f>
        <v>0</v>
      </c>
      <c r="K65" s="277"/>
      <c r="M65" s="158" t="s">
        <v>178</v>
      </c>
      <c r="N65" s="327"/>
      <c r="O65" s="407">
        <f>IF(O61=0,0,I63/O61)</f>
        <v>0</v>
      </c>
      <c r="X65" s="277"/>
      <c r="Y65" s="413"/>
      <c r="Z65" s="414"/>
      <c r="AA65" s="415"/>
      <c r="AB65" s="416"/>
    </row>
    <row r="66" spans="1:33">
      <c r="B66" s="404" t="s">
        <v>179</v>
      </c>
      <c r="C66" s="405">
        <f>0.3*Y56</f>
        <v>0</v>
      </c>
      <c r="D66" s="216"/>
      <c r="G66" s="156" t="s">
        <v>180</v>
      </c>
      <c r="H66" s="327"/>
      <c r="I66" s="406">
        <f>IF(AB56=0,0,Y56/AB56*100)</f>
        <v>0</v>
      </c>
      <c r="K66" s="277"/>
      <c r="M66" s="158" t="s">
        <v>181</v>
      </c>
      <c r="N66" s="327"/>
      <c r="O66" s="407">
        <f>IF(O61=0,0,I64/O61)</f>
        <v>0</v>
      </c>
      <c r="X66" s="277"/>
      <c r="Y66" s="417"/>
      <c r="Z66" s="418"/>
      <c r="AA66" s="419"/>
      <c r="AB66" s="420"/>
    </row>
    <row r="67" spans="1:33" ht="17.25" thickBot="1">
      <c r="B67" s="404" t="s">
        <v>182</v>
      </c>
      <c r="C67" s="405">
        <f>Y56</f>
        <v>0</v>
      </c>
      <c r="D67" s="216"/>
      <c r="G67" s="178" t="s">
        <v>183</v>
      </c>
      <c r="H67" s="345"/>
      <c r="I67" s="421">
        <f>IF(I65=0,0,100-I65-I66)</f>
        <v>0</v>
      </c>
      <c r="K67" s="277"/>
      <c r="M67" s="158" t="s">
        <v>184</v>
      </c>
      <c r="N67" s="327"/>
      <c r="O67" s="422">
        <f>IF(I63=0,0,Y56/I63)</f>
        <v>0</v>
      </c>
      <c r="X67" s="277"/>
      <c r="Y67" s="423" t="s">
        <v>185</v>
      </c>
      <c r="Z67" s="424">
        <f>SUM(Z61:Z65)</f>
        <v>0</v>
      </c>
      <c r="AA67" s="424">
        <f>SUM(AA61:AA65)</f>
        <v>0</v>
      </c>
      <c r="AB67" s="425">
        <f>SUM(AB61:AB65)</f>
        <v>0</v>
      </c>
    </row>
    <row r="68" spans="1:33" ht="17.25" thickBot="1">
      <c r="B68" s="426" t="s">
        <v>186</v>
      </c>
      <c r="C68" s="427">
        <f>Z56</f>
        <v>0</v>
      </c>
      <c r="D68" s="216"/>
      <c r="I68" s="360"/>
      <c r="K68" s="277"/>
      <c r="M68" s="350" t="s">
        <v>187</v>
      </c>
      <c r="N68" s="345"/>
      <c r="O68" s="428">
        <f>IF(I61=0,0,Y56/I61)</f>
        <v>0</v>
      </c>
      <c r="X68" s="277"/>
      <c r="Y68" s="429"/>
      <c r="Z68" s="430"/>
      <c r="AA68" s="430"/>
      <c r="AB68" s="431"/>
    </row>
    <row r="69" spans="1:33">
      <c r="A69" s="184"/>
      <c r="B69" s="216"/>
    </row>
    <row r="70" spans="1:33">
      <c r="A70" s="184"/>
      <c r="B70" s="216"/>
    </row>
    <row r="71" spans="1:33">
      <c r="A71" s="184"/>
      <c r="B71" s="216"/>
    </row>
    <row r="72" spans="1:33">
      <c r="A72" s="184"/>
      <c r="B72" s="216"/>
    </row>
    <row r="73" spans="1:33" ht="17.25" thickBot="1">
      <c r="A73" s="216" t="s">
        <v>371</v>
      </c>
      <c r="B73" s="432"/>
    </row>
    <row r="74" spans="1:33">
      <c r="A74" s="433" t="s">
        <v>188</v>
      </c>
      <c r="B74" s="297">
        <v>151</v>
      </c>
      <c r="C74" s="297">
        <v>201</v>
      </c>
      <c r="D74" s="297">
        <v>251</v>
      </c>
      <c r="E74" s="297">
        <v>301</v>
      </c>
      <c r="F74" s="309">
        <v>302</v>
      </c>
      <c r="G74" s="297">
        <v>376</v>
      </c>
      <c r="H74" s="297">
        <v>377</v>
      </c>
      <c r="I74" s="297">
        <v>451</v>
      </c>
      <c r="J74" s="297">
        <v>452</v>
      </c>
      <c r="K74" s="297">
        <v>455</v>
      </c>
      <c r="L74" s="297">
        <v>527</v>
      </c>
      <c r="M74" s="297">
        <v>529</v>
      </c>
      <c r="N74" s="297">
        <v>530</v>
      </c>
      <c r="O74" s="297">
        <v>602</v>
      </c>
      <c r="P74" s="297">
        <v>604</v>
      </c>
      <c r="Q74" s="297">
        <v>605</v>
      </c>
      <c r="R74" s="297">
        <v>677</v>
      </c>
      <c r="S74" s="297">
        <v>679</v>
      </c>
      <c r="T74" s="297">
        <v>680</v>
      </c>
      <c r="U74" s="297">
        <v>752</v>
      </c>
      <c r="V74" s="297">
        <v>754</v>
      </c>
      <c r="W74" s="297">
        <v>755</v>
      </c>
      <c r="X74" s="297">
        <v>827</v>
      </c>
      <c r="Y74" s="297">
        <v>829</v>
      </c>
      <c r="Z74" s="297">
        <v>830</v>
      </c>
      <c r="AA74" s="297">
        <v>902</v>
      </c>
      <c r="AB74" s="297">
        <v>904</v>
      </c>
      <c r="AC74" s="297">
        <v>905</v>
      </c>
      <c r="AD74" s="297">
        <v>977</v>
      </c>
      <c r="AE74" s="297">
        <v>978</v>
      </c>
      <c r="AF74" s="142">
        <v>979</v>
      </c>
      <c r="AG74" s="142">
        <v>980</v>
      </c>
    </row>
    <row r="75" spans="1:33">
      <c r="A75" s="434" t="s">
        <v>189</v>
      </c>
      <c r="B75" s="309">
        <v>0</v>
      </c>
      <c r="C75" s="309">
        <v>0</v>
      </c>
      <c r="D75" s="309">
        <v>0</v>
      </c>
      <c r="E75" s="309">
        <v>0</v>
      </c>
      <c r="F75" s="309">
        <v>125.6</v>
      </c>
      <c r="G75" s="309">
        <v>0</v>
      </c>
      <c r="H75" s="309">
        <v>154.9</v>
      </c>
      <c r="I75" s="309">
        <v>0</v>
      </c>
      <c r="J75" s="302">
        <v>159.5</v>
      </c>
      <c r="K75" s="302">
        <v>199.6</v>
      </c>
      <c r="L75" s="309">
        <v>174.1</v>
      </c>
      <c r="M75" s="302">
        <v>203.4</v>
      </c>
      <c r="N75" s="309">
        <v>240.1</v>
      </c>
      <c r="O75" s="309">
        <v>234.4</v>
      </c>
      <c r="P75" s="302">
        <v>269</v>
      </c>
      <c r="Q75" s="435">
        <v>316.60000000000002</v>
      </c>
      <c r="R75" s="302">
        <v>359.2</v>
      </c>
      <c r="S75" s="302">
        <v>408.8</v>
      </c>
      <c r="T75" s="302">
        <v>479</v>
      </c>
      <c r="U75" s="302">
        <v>473.4</v>
      </c>
      <c r="V75" s="302">
        <v>541.1</v>
      </c>
      <c r="W75" s="302">
        <v>632.4</v>
      </c>
      <c r="X75" s="302">
        <v>549.1</v>
      </c>
      <c r="Y75" s="302">
        <v>698.3</v>
      </c>
      <c r="Z75" s="302">
        <v>733.9</v>
      </c>
      <c r="AA75" s="302">
        <v>658.8</v>
      </c>
      <c r="AB75" s="436">
        <v>753.6</v>
      </c>
      <c r="AC75" s="435">
        <v>879.9</v>
      </c>
      <c r="AD75" s="435">
        <v>722.8</v>
      </c>
      <c r="AE75" s="302">
        <v>760.9</v>
      </c>
      <c r="AF75" s="142">
        <v>865.8</v>
      </c>
      <c r="AG75" s="142">
        <v>1013.4</v>
      </c>
    </row>
    <row r="76" spans="1:33">
      <c r="A76" s="437">
        <v>42064</v>
      </c>
      <c r="B76" s="309">
        <v>1052</v>
      </c>
      <c r="C76" s="309">
        <v>1053</v>
      </c>
      <c r="D76" s="309">
        <v>1054</v>
      </c>
      <c r="E76" s="309">
        <v>1055</v>
      </c>
      <c r="F76" s="309">
        <v>1202</v>
      </c>
      <c r="G76" s="309">
        <v>1203</v>
      </c>
      <c r="H76" s="309">
        <v>1204</v>
      </c>
      <c r="I76" s="309">
        <v>1205</v>
      </c>
      <c r="J76" s="309">
        <v>1352</v>
      </c>
      <c r="K76" s="309">
        <v>1353</v>
      </c>
      <c r="L76" s="309">
        <v>1354</v>
      </c>
      <c r="M76" s="309">
        <v>1355</v>
      </c>
      <c r="N76" s="309">
        <v>1502</v>
      </c>
      <c r="O76" s="309">
        <v>1503</v>
      </c>
      <c r="P76" s="309">
        <v>1504</v>
      </c>
      <c r="Q76" s="309">
        <v>1505</v>
      </c>
      <c r="R76" s="309">
        <v>1652</v>
      </c>
      <c r="S76" s="309">
        <v>1653</v>
      </c>
      <c r="T76" s="309">
        <v>1654</v>
      </c>
      <c r="U76" s="309">
        <v>1655</v>
      </c>
      <c r="V76" s="309">
        <v>1802</v>
      </c>
      <c r="W76" s="309">
        <v>1803</v>
      </c>
      <c r="X76" s="309">
        <v>1804</v>
      </c>
      <c r="Y76" s="309">
        <v>1805</v>
      </c>
      <c r="Z76" s="309">
        <v>1952</v>
      </c>
      <c r="AA76" s="309">
        <v>1953</v>
      </c>
      <c r="AB76" s="309">
        <v>1954</v>
      </c>
      <c r="AC76" s="309">
        <v>1955</v>
      </c>
      <c r="AD76" s="309">
        <v>2102</v>
      </c>
      <c r="AE76" s="309">
        <v>2103</v>
      </c>
      <c r="AF76" s="142">
        <v>2104</v>
      </c>
      <c r="AG76" s="142">
        <v>2105</v>
      </c>
    </row>
    <row r="77" spans="1:33" ht="17.25" thickBot="1">
      <c r="A77" s="438" t="s">
        <v>190</v>
      </c>
      <c r="B77" s="313">
        <v>827.8</v>
      </c>
      <c r="C77" s="313">
        <v>869.3</v>
      </c>
      <c r="D77" s="313">
        <v>995.3</v>
      </c>
      <c r="E77" s="313">
        <v>1159.5</v>
      </c>
      <c r="F77" s="313">
        <v>1037.5</v>
      </c>
      <c r="G77" s="313">
        <v>1089.8</v>
      </c>
      <c r="H77" s="313">
        <v>1246.7</v>
      </c>
      <c r="I77" s="313">
        <v>1452.7</v>
      </c>
      <c r="J77" s="439">
        <v>1334.2</v>
      </c>
      <c r="K77" s="439">
        <v>1400.8</v>
      </c>
      <c r="L77" s="313">
        <v>1602.5</v>
      </c>
      <c r="M77" s="439">
        <v>1866.2</v>
      </c>
      <c r="N77" s="313">
        <v>1631.9</v>
      </c>
      <c r="O77" s="313">
        <v>1712.7</v>
      </c>
      <c r="P77" s="439">
        <v>1958.1</v>
      </c>
      <c r="Q77" s="440">
        <v>2284.6</v>
      </c>
      <c r="R77" s="439">
        <v>1954.2</v>
      </c>
      <c r="S77" s="439">
        <v>2053.4</v>
      </c>
      <c r="T77" s="439">
        <v>2346.9</v>
      </c>
      <c r="U77" s="439">
        <v>2736.1</v>
      </c>
      <c r="V77" s="439">
        <v>2361.3000000000002</v>
      </c>
      <c r="W77" s="439">
        <v>2482.6999999999998</v>
      </c>
      <c r="X77" s="439">
        <v>2834.3</v>
      </c>
      <c r="Y77" s="439">
        <v>3307.4</v>
      </c>
      <c r="Z77" s="439">
        <v>2738.5</v>
      </c>
      <c r="AA77" s="439">
        <v>2878.7</v>
      </c>
      <c r="AB77" s="313">
        <v>3285.5</v>
      </c>
      <c r="AC77" s="440">
        <v>3835.3</v>
      </c>
      <c r="AD77" s="440">
        <v>3142.4</v>
      </c>
      <c r="AE77" s="439">
        <v>3296.3</v>
      </c>
      <c r="AF77" s="142">
        <v>3769.8</v>
      </c>
      <c r="AG77" s="142">
        <v>4396.8</v>
      </c>
    </row>
    <row r="78" spans="1:33">
      <c r="A78" s="216"/>
      <c r="J78" s="441"/>
      <c r="K78" s="441"/>
      <c r="M78" s="441"/>
      <c r="P78" s="441"/>
      <c r="Q78" s="442"/>
      <c r="R78" s="441"/>
      <c r="S78" s="441"/>
      <c r="T78" s="441"/>
      <c r="U78" s="441"/>
      <c r="V78" s="441"/>
      <c r="W78" s="441"/>
      <c r="X78" s="441"/>
      <c r="Y78" s="441"/>
      <c r="Z78" s="441"/>
      <c r="AA78" s="441"/>
      <c r="AC78" s="442"/>
      <c r="AD78" s="442"/>
      <c r="AE78" s="441"/>
    </row>
    <row r="79" spans="1:33" ht="17.25" thickBot="1">
      <c r="A79" s="216" t="s">
        <v>191</v>
      </c>
      <c r="J79" s="441"/>
      <c r="K79" s="441"/>
      <c r="M79" s="441"/>
      <c r="P79" s="441"/>
      <c r="Q79" s="442"/>
      <c r="R79" s="441"/>
      <c r="S79" s="441"/>
      <c r="T79" s="441"/>
      <c r="U79" s="441"/>
      <c r="V79" s="441"/>
      <c r="W79" s="441"/>
      <c r="X79" s="441"/>
      <c r="Y79" s="441"/>
      <c r="Z79" s="441"/>
      <c r="AA79" s="441"/>
      <c r="AC79" s="442"/>
      <c r="AD79" s="442"/>
      <c r="AE79" s="441"/>
    </row>
    <row r="80" spans="1:33">
      <c r="A80" s="443" t="s">
        <v>192</v>
      </c>
      <c r="B80" s="289"/>
      <c r="C80" s="289">
        <v>1</v>
      </c>
      <c r="D80" s="289">
        <v>1.2</v>
      </c>
      <c r="E80" s="289">
        <v>1.4</v>
      </c>
      <c r="F80" s="289">
        <v>1.6</v>
      </c>
      <c r="G80" s="289">
        <v>1.8</v>
      </c>
      <c r="H80" s="289">
        <v>2</v>
      </c>
      <c r="I80" s="289">
        <v>2.2000000000000002</v>
      </c>
      <c r="J80" s="289">
        <v>2.2999999999999998</v>
      </c>
      <c r="K80" s="289">
        <v>2.4</v>
      </c>
      <c r="L80" s="289">
        <v>2.6</v>
      </c>
      <c r="M80" s="289">
        <v>2.8</v>
      </c>
      <c r="N80" s="289">
        <v>3</v>
      </c>
      <c r="O80" s="289">
        <v>3.2</v>
      </c>
      <c r="P80" s="289">
        <v>3.4</v>
      </c>
      <c r="Q80" s="289">
        <v>3.6</v>
      </c>
      <c r="R80" s="289">
        <v>3.8</v>
      </c>
      <c r="S80" s="289">
        <v>4</v>
      </c>
      <c r="T80" s="289">
        <v>4.2</v>
      </c>
      <c r="U80" s="289">
        <v>4.4000000000000004</v>
      </c>
      <c r="V80" s="289">
        <v>4.5999999999999996</v>
      </c>
      <c r="W80" s="289">
        <v>4.8</v>
      </c>
      <c r="X80" s="289">
        <v>5</v>
      </c>
      <c r="Y80" s="289">
        <v>5.2</v>
      </c>
      <c r="Z80" s="289">
        <v>5.4</v>
      </c>
      <c r="AA80" s="289">
        <v>5.6</v>
      </c>
      <c r="AB80" s="289">
        <v>5.8</v>
      </c>
      <c r="AC80" s="291">
        <v>6</v>
      </c>
    </row>
    <row r="81" spans="1:32">
      <c r="A81" s="444" t="s">
        <v>193</v>
      </c>
      <c r="B81" s="445"/>
      <c r="C81" s="445">
        <v>120</v>
      </c>
      <c r="D81" s="445">
        <v>135</v>
      </c>
      <c r="E81" s="445">
        <v>160</v>
      </c>
      <c r="F81" s="445">
        <v>180</v>
      </c>
      <c r="G81" s="445">
        <v>240</v>
      </c>
      <c r="H81" s="445">
        <v>270</v>
      </c>
      <c r="I81" s="445">
        <v>325</v>
      </c>
      <c r="J81" s="445">
        <v>350</v>
      </c>
      <c r="K81" s="445">
        <v>380</v>
      </c>
      <c r="L81" s="445">
        <v>440</v>
      </c>
      <c r="M81" s="445">
        <v>500</v>
      </c>
      <c r="N81" s="445">
        <v>550</v>
      </c>
      <c r="O81" s="445">
        <v>605</v>
      </c>
      <c r="P81" s="445">
        <v>665</v>
      </c>
      <c r="Q81" s="445">
        <v>710</v>
      </c>
      <c r="R81" s="445">
        <v>760</v>
      </c>
      <c r="S81" s="445">
        <v>800</v>
      </c>
      <c r="T81" s="445">
        <v>850</v>
      </c>
      <c r="U81" s="445">
        <v>900</v>
      </c>
      <c r="V81" s="445">
        <v>920</v>
      </c>
      <c r="W81" s="445">
        <v>925</v>
      </c>
      <c r="X81" s="445">
        <v>925</v>
      </c>
      <c r="Y81" s="445">
        <v>920</v>
      </c>
      <c r="Z81" s="445">
        <v>900</v>
      </c>
      <c r="AA81" s="445">
        <v>830</v>
      </c>
      <c r="AB81" s="445">
        <v>750</v>
      </c>
      <c r="AC81" s="446">
        <v>710</v>
      </c>
    </row>
    <row r="82" spans="1:32">
      <c r="A82" s="444" t="s">
        <v>194</v>
      </c>
      <c r="B82" s="445"/>
      <c r="C82" s="445">
        <v>1</v>
      </c>
      <c r="D82" s="445">
        <v>1.2</v>
      </c>
      <c r="E82" s="445">
        <v>1.4</v>
      </c>
      <c r="F82" s="445">
        <v>1.6</v>
      </c>
      <c r="G82" s="445">
        <v>1.8</v>
      </c>
      <c r="H82" s="445">
        <v>2</v>
      </c>
      <c r="I82" s="445">
        <v>2.2000000000000002</v>
      </c>
      <c r="J82" s="445">
        <v>2.2999999999999998</v>
      </c>
      <c r="K82" s="445">
        <v>2.4</v>
      </c>
      <c r="L82" s="445">
        <v>2.6</v>
      </c>
      <c r="M82" s="445">
        <v>2.8</v>
      </c>
      <c r="N82" s="445">
        <v>3</v>
      </c>
      <c r="O82" s="445">
        <v>3.2</v>
      </c>
      <c r="P82" s="445">
        <v>3.4</v>
      </c>
      <c r="Q82" s="445">
        <v>3.6</v>
      </c>
      <c r="R82" s="445">
        <v>3.8</v>
      </c>
      <c r="S82" s="445">
        <v>4</v>
      </c>
      <c r="T82" s="445">
        <v>4.2</v>
      </c>
      <c r="U82" s="445">
        <v>4.4000000000000004</v>
      </c>
      <c r="V82" s="445">
        <v>4.5999999999999996</v>
      </c>
      <c r="W82" s="445">
        <v>4.8</v>
      </c>
      <c r="X82" s="445">
        <v>5</v>
      </c>
      <c r="Y82" s="445">
        <v>5.2</v>
      </c>
      <c r="Z82" s="445">
        <v>5.4</v>
      </c>
      <c r="AA82" s="445">
        <v>5.6</v>
      </c>
      <c r="AB82" s="445">
        <v>5.8</v>
      </c>
      <c r="AC82" s="446">
        <v>6</v>
      </c>
    </row>
    <row r="83" spans="1:32" ht="17.25" thickBot="1">
      <c r="A83" s="447" t="s">
        <v>195</v>
      </c>
      <c r="B83" s="293"/>
      <c r="C83" s="293">
        <v>74</v>
      </c>
      <c r="D83" s="293">
        <v>98</v>
      </c>
      <c r="E83" s="293">
        <v>119</v>
      </c>
      <c r="F83" s="293">
        <v>145</v>
      </c>
      <c r="G83" s="293">
        <v>165</v>
      </c>
      <c r="H83" s="293">
        <v>175</v>
      </c>
      <c r="I83" s="293">
        <v>180</v>
      </c>
      <c r="J83" s="293">
        <v>183</v>
      </c>
      <c r="K83" s="293">
        <v>185</v>
      </c>
      <c r="L83" s="293">
        <v>190</v>
      </c>
      <c r="M83" s="293">
        <v>195</v>
      </c>
      <c r="N83" s="293">
        <v>200</v>
      </c>
      <c r="O83" s="293">
        <v>203</v>
      </c>
      <c r="P83" s="293">
        <v>203</v>
      </c>
      <c r="Q83" s="293">
        <v>203</v>
      </c>
      <c r="R83" s="293">
        <v>203</v>
      </c>
      <c r="S83" s="293">
        <v>203</v>
      </c>
      <c r="T83" s="293">
        <v>203</v>
      </c>
      <c r="U83" s="293">
        <v>203</v>
      </c>
      <c r="V83" s="293">
        <v>203</v>
      </c>
      <c r="W83" s="293">
        <v>203</v>
      </c>
      <c r="X83" s="293">
        <v>203</v>
      </c>
      <c r="Y83" s="293">
        <v>203</v>
      </c>
      <c r="Z83" s="293">
        <v>203</v>
      </c>
      <c r="AA83" s="293">
        <v>203</v>
      </c>
      <c r="AB83" s="293">
        <v>203</v>
      </c>
      <c r="AC83" s="295">
        <v>196</v>
      </c>
    </row>
    <row r="84" spans="1:32">
      <c r="A84" s="216"/>
    </row>
    <row r="85" spans="1:32" ht="17.25" thickBot="1">
      <c r="A85" s="216" t="s">
        <v>196</v>
      </c>
    </row>
    <row r="86" spans="1:32">
      <c r="A86" s="448" t="s">
        <v>197</v>
      </c>
      <c r="B86" s="449"/>
      <c r="C86" s="449">
        <v>100</v>
      </c>
      <c r="D86" s="449">
        <v>150</v>
      </c>
      <c r="E86" s="449">
        <v>200</v>
      </c>
      <c r="F86" s="449">
        <v>250</v>
      </c>
      <c r="G86" s="449">
        <v>300</v>
      </c>
      <c r="H86" s="450">
        <v>375</v>
      </c>
      <c r="I86" s="450">
        <v>450</v>
      </c>
      <c r="J86" s="449">
        <v>0</v>
      </c>
      <c r="K86" s="449">
        <v>0</v>
      </c>
      <c r="L86" s="449">
        <v>2.4</v>
      </c>
      <c r="M86" s="451">
        <v>3</v>
      </c>
      <c r="N86" s="449">
        <v>3.7</v>
      </c>
      <c r="O86" s="449">
        <v>4.3</v>
      </c>
      <c r="P86" s="451">
        <v>4.9000000000000004</v>
      </c>
      <c r="Q86" s="452">
        <v>5.5</v>
      </c>
      <c r="R86" s="451">
        <v>6.1</v>
      </c>
      <c r="S86" s="451">
        <v>6.7</v>
      </c>
      <c r="T86" s="451">
        <v>7.3</v>
      </c>
      <c r="U86" s="453">
        <v>7.6</v>
      </c>
    </row>
    <row r="87" spans="1:32" ht="17.25" thickBot="1">
      <c r="A87" s="454" t="s">
        <v>146</v>
      </c>
      <c r="B87" s="455" t="s">
        <v>370</v>
      </c>
      <c r="C87" s="456">
        <v>18</v>
      </c>
      <c r="D87" s="456">
        <v>31</v>
      </c>
      <c r="E87" s="456">
        <v>46</v>
      </c>
      <c r="F87" s="456">
        <v>70</v>
      </c>
      <c r="G87" s="457">
        <v>99</v>
      </c>
      <c r="H87" s="457">
        <v>133</v>
      </c>
      <c r="I87" s="457">
        <v>219</v>
      </c>
      <c r="J87" s="458">
        <v>0</v>
      </c>
      <c r="K87" s="458">
        <v>0</v>
      </c>
      <c r="L87" s="458">
        <v>0.1</v>
      </c>
      <c r="M87" s="459">
        <v>0.2</v>
      </c>
      <c r="N87" s="458">
        <v>0.4</v>
      </c>
      <c r="O87" s="458">
        <v>0.7</v>
      </c>
      <c r="P87" s="459">
        <v>0.9</v>
      </c>
      <c r="Q87" s="460">
        <v>1.2</v>
      </c>
      <c r="R87" s="459">
        <v>1.5</v>
      </c>
      <c r="S87" s="459">
        <v>1.6</v>
      </c>
      <c r="T87" s="458">
        <v>1.8</v>
      </c>
      <c r="U87" s="461">
        <v>2</v>
      </c>
      <c r="AF87" s="216"/>
    </row>
    <row r="88" spans="1:32">
      <c r="C88" s="142" t="s">
        <v>198</v>
      </c>
      <c r="D88" s="142" t="s">
        <v>198</v>
      </c>
      <c r="E88" s="142" t="s">
        <v>369</v>
      </c>
      <c r="F88" s="142" t="s">
        <v>369</v>
      </c>
      <c r="G88" s="142" t="s">
        <v>369</v>
      </c>
      <c r="H88" s="142" t="s">
        <v>369</v>
      </c>
      <c r="I88" s="142" t="s">
        <v>369</v>
      </c>
    </row>
  </sheetData>
  <mergeCells count="1">
    <mergeCell ref="A1:AE1"/>
  </mergeCells>
  <printOptions horizontalCentered="1" verticalCentered="1" gridLines="1"/>
  <pageMargins left="0.5" right="0.25" top="0.25" bottom="0.25" header="0.25" footer="0.25"/>
  <pageSetup paperSize="3" scale="61" orientation="landscape" horizontalDpi="4294967295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BT88"/>
  <sheetViews>
    <sheetView view="pageBreakPreview" zoomScale="70" zoomScaleNormal="100" zoomScaleSheetLayoutView="70" workbookViewId="0">
      <selection activeCell="R7" sqref="R7"/>
    </sheetView>
  </sheetViews>
  <sheetFormatPr defaultColWidth="12.42578125" defaultRowHeight="16.5"/>
  <cols>
    <col min="1" max="1" width="6.7109375" style="142" customWidth="1"/>
    <col min="2" max="2" width="25.28515625" style="142" customWidth="1"/>
    <col min="3" max="3" width="10" style="142" customWidth="1"/>
    <col min="4" max="5" width="7.5703125" style="142" customWidth="1"/>
    <col min="6" max="6" width="9" style="142" customWidth="1"/>
    <col min="7" max="7" width="7.140625" style="142" customWidth="1"/>
    <col min="8" max="8" width="10.5703125" style="142" bestFit="1" customWidth="1"/>
    <col min="9" max="9" width="9.85546875" style="142" customWidth="1"/>
    <col min="10" max="10" width="7.7109375" style="142" customWidth="1"/>
    <col min="11" max="11" width="9.85546875" style="142" customWidth="1"/>
    <col min="12" max="12" width="7.42578125" style="142" bestFit="1" customWidth="1"/>
    <col min="13" max="13" width="9.85546875" style="142" customWidth="1"/>
    <col min="14" max="14" width="8.85546875" style="142" customWidth="1"/>
    <col min="15" max="15" width="11.140625" style="142" bestFit="1" customWidth="1"/>
    <col min="16" max="17" width="9" style="142" customWidth="1"/>
    <col min="18" max="18" width="9.140625" style="142" customWidth="1"/>
    <col min="19" max="19" width="9.85546875" style="142" customWidth="1"/>
    <col min="20" max="20" width="10.5703125" style="142" customWidth="1"/>
    <col min="21" max="21" width="12.140625" style="142" customWidth="1"/>
    <col min="22" max="22" width="11.140625" style="142" customWidth="1"/>
    <col min="23" max="23" width="11.5703125" style="142" bestFit="1" customWidth="1"/>
    <col min="24" max="24" width="12" style="142" bestFit="1" customWidth="1"/>
    <col min="25" max="25" width="16.28515625" style="142" bestFit="1" customWidth="1"/>
    <col min="26" max="26" width="13.42578125" style="142" customWidth="1"/>
    <col min="27" max="27" width="14.42578125" style="142" customWidth="1"/>
    <col min="28" max="28" width="18.7109375" style="142" bestFit="1" customWidth="1"/>
    <col min="29" max="29" width="8.7109375" style="142" bestFit="1" customWidth="1"/>
    <col min="30" max="30" width="12.5703125" style="142" bestFit="1" customWidth="1"/>
    <col min="31" max="31" width="16.7109375" style="142" bestFit="1" customWidth="1"/>
    <col min="32" max="32" width="11.140625" style="142" bestFit="1" customWidth="1"/>
    <col min="33" max="72" width="12.42578125" style="142"/>
    <col min="73" max="255" width="12.42578125" style="145"/>
    <col min="256" max="256" width="6.7109375" style="145" customWidth="1"/>
    <col min="257" max="257" width="25.28515625" style="145" customWidth="1"/>
    <col min="258" max="258" width="10" style="145" customWidth="1"/>
    <col min="259" max="260" width="7.5703125" style="145" customWidth="1"/>
    <col min="261" max="261" width="9" style="145" customWidth="1"/>
    <col min="262" max="262" width="7.140625" style="145" customWidth="1"/>
    <col min="263" max="263" width="10.5703125" style="145" bestFit="1" customWidth="1"/>
    <col min="264" max="264" width="9.85546875" style="145" customWidth="1"/>
    <col min="265" max="265" width="7.7109375" style="145" customWidth="1"/>
    <col min="266" max="266" width="9.85546875" style="145" customWidth="1"/>
    <col min="267" max="267" width="7.42578125" style="145" bestFit="1" customWidth="1"/>
    <col min="268" max="268" width="9.85546875" style="145" customWidth="1"/>
    <col min="269" max="269" width="8.85546875" style="145" customWidth="1"/>
    <col min="270" max="270" width="11.140625" style="145" bestFit="1" customWidth="1"/>
    <col min="271" max="272" width="9" style="145" customWidth="1"/>
    <col min="273" max="273" width="9.140625" style="145" customWidth="1"/>
    <col min="274" max="274" width="9.85546875" style="145" customWidth="1"/>
    <col min="275" max="275" width="10.5703125" style="145" customWidth="1"/>
    <col min="276" max="276" width="12.140625" style="145" customWidth="1"/>
    <col min="277" max="277" width="11.140625" style="145" customWidth="1"/>
    <col min="278" max="278" width="11.5703125" style="145" bestFit="1" customWidth="1"/>
    <col min="279" max="279" width="12" style="145" bestFit="1" customWidth="1"/>
    <col min="280" max="280" width="16.28515625" style="145" bestFit="1" customWidth="1"/>
    <col min="281" max="281" width="13.42578125" style="145" customWidth="1"/>
    <col min="282" max="282" width="14.42578125" style="145" customWidth="1"/>
    <col min="283" max="283" width="18.7109375" style="145" bestFit="1" customWidth="1"/>
    <col min="284" max="284" width="7.85546875" style="145" customWidth="1"/>
    <col min="285" max="285" width="9.85546875" style="145" customWidth="1"/>
    <col min="286" max="287" width="11" style="145" bestFit="1" customWidth="1"/>
    <col min="288" max="288" width="11.140625" style="145" bestFit="1" customWidth="1"/>
    <col min="289" max="511" width="12.42578125" style="145"/>
    <col min="512" max="512" width="6.7109375" style="145" customWidth="1"/>
    <col min="513" max="513" width="25.28515625" style="145" customWidth="1"/>
    <col min="514" max="514" width="10" style="145" customWidth="1"/>
    <col min="515" max="516" width="7.5703125" style="145" customWidth="1"/>
    <col min="517" max="517" width="9" style="145" customWidth="1"/>
    <col min="518" max="518" width="7.140625" style="145" customWidth="1"/>
    <col min="519" max="519" width="10.5703125" style="145" bestFit="1" customWidth="1"/>
    <col min="520" max="520" width="9.85546875" style="145" customWidth="1"/>
    <col min="521" max="521" width="7.7109375" style="145" customWidth="1"/>
    <col min="522" max="522" width="9.85546875" style="145" customWidth="1"/>
    <col min="523" max="523" width="7.42578125" style="145" bestFit="1" customWidth="1"/>
    <col min="524" max="524" width="9.85546875" style="145" customWidth="1"/>
    <col min="525" max="525" width="8.85546875" style="145" customWidth="1"/>
    <col min="526" max="526" width="11.140625" style="145" bestFit="1" customWidth="1"/>
    <col min="527" max="528" width="9" style="145" customWidth="1"/>
    <col min="529" max="529" width="9.140625" style="145" customWidth="1"/>
    <col min="530" max="530" width="9.85546875" style="145" customWidth="1"/>
    <col min="531" max="531" width="10.5703125" style="145" customWidth="1"/>
    <col min="532" max="532" width="12.140625" style="145" customWidth="1"/>
    <col min="533" max="533" width="11.140625" style="145" customWidth="1"/>
    <col min="534" max="534" width="11.5703125" style="145" bestFit="1" customWidth="1"/>
    <col min="535" max="535" width="12" style="145" bestFit="1" customWidth="1"/>
    <col min="536" max="536" width="16.28515625" style="145" bestFit="1" customWidth="1"/>
    <col min="537" max="537" width="13.42578125" style="145" customWidth="1"/>
    <col min="538" max="538" width="14.42578125" style="145" customWidth="1"/>
    <col min="539" max="539" width="18.7109375" style="145" bestFit="1" customWidth="1"/>
    <col min="540" max="540" width="7.85546875" style="145" customWidth="1"/>
    <col min="541" max="541" width="9.85546875" style="145" customWidth="1"/>
    <col min="542" max="543" width="11" style="145" bestFit="1" customWidth="1"/>
    <col min="544" max="544" width="11.140625" style="145" bestFit="1" customWidth="1"/>
    <col min="545" max="767" width="12.42578125" style="145"/>
    <col min="768" max="768" width="6.7109375" style="145" customWidth="1"/>
    <col min="769" max="769" width="25.28515625" style="145" customWidth="1"/>
    <col min="770" max="770" width="10" style="145" customWidth="1"/>
    <col min="771" max="772" width="7.5703125" style="145" customWidth="1"/>
    <col min="773" max="773" width="9" style="145" customWidth="1"/>
    <col min="774" max="774" width="7.140625" style="145" customWidth="1"/>
    <col min="775" max="775" width="10.5703125" style="145" bestFit="1" customWidth="1"/>
    <col min="776" max="776" width="9.85546875" style="145" customWidth="1"/>
    <col min="777" max="777" width="7.7109375" style="145" customWidth="1"/>
    <col min="778" max="778" width="9.85546875" style="145" customWidth="1"/>
    <col min="779" max="779" width="7.42578125" style="145" bestFit="1" customWidth="1"/>
    <col min="780" max="780" width="9.85546875" style="145" customWidth="1"/>
    <col min="781" max="781" width="8.85546875" style="145" customWidth="1"/>
    <col min="782" max="782" width="11.140625" style="145" bestFit="1" customWidth="1"/>
    <col min="783" max="784" width="9" style="145" customWidth="1"/>
    <col min="785" max="785" width="9.140625" style="145" customWidth="1"/>
    <col min="786" max="786" width="9.85546875" style="145" customWidth="1"/>
    <col min="787" max="787" width="10.5703125" style="145" customWidth="1"/>
    <col min="788" max="788" width="12.140625" style="145" customWidth="1"/>
    <col min="789" max="789" width="11.140625" style="145" customWidth="1"/>
    <col min="790" max="790" width="11.5703125" style="145" bestFit="1" customWidth="1"/>
    <col min="791" max="791" width="12" style="145" bestFit="1" customWidth="1"/>
    <col min="792" max="792" width="16.28515625" style="145" bestFit="1" customWidth="1"/>
    <col min="793" max="793" width="13.42578125" style="145" customWidth="1"/>
    <col min="794" max="794" width="14.42578125" style="145" customWidth="1"/>
    <col min="795" max="795" width="18.7109375" style="145" bestFit="1" customWidth="1"/>
    <col min="796" max="796" width="7.85546875" style="145" customWidth="1"/>
    <col min="797" max="797" width="9.85546875" style="145" customWidth="1"/>
    <col min="798" max="799" width="11" style="145" bestFit="1" customWidth="1"/>
    <col min="800" max="800" width="11.140625" style="145" bestFit="1" customWidth="1"/>
    <col min="801" max="1023" width="12.42578125" style="145"/>
    <col min="1024" max="1024" width="6.7109375" style="145" customWidth="1"/>
    <col min="1025" max="1025" width="25.28515625" style="145" customWidth="1"/>
    <col min="1026" max="1026" width="10" style="145" customWidth="1"/>
    <col min="1027" max="1028" width="7.5703125" style="145" customWidth="1"/>
    <col min="1029" max="1029" width="9" style="145" customWidth="1"/>
    <col min="1030" max="1030" width="7.140625" style="145" customWidth="1"/>
    <col min="1031" max="1031" width="10.5703125" style="145" bestFit="1" customWidth="1"/>
    <col min="1032" max="1032" width="9.85546875" style="145" customWidth="1"/>
    <col min="1033" max="1033" width="7.7109375" style="145" customWidth="1"/>
    <col min="1034" max="1034" width="9.85546875" style="145" customWidth="1"/>
    <col min="1035" max="1035" width="7.42578125" style="145" bestFit="1" customWidth="1"/>
    <col min="1036" max="1036" width="9.85546875" style="145" customWidth="1"/>
    <col min="1037" max="1037" width="8.85546875" style="145" customWidth="1"/>
    <col min="1038" max="1038" width="11.140625" style="145" bestFit="1" customWidth="1"/>
    <col min="1039" max="1040" width="9" style="145" customWidth="1"/>
    <col min="1041" max="1041" width="9.140625" style="145" customWidth="1"/>
    <col min="1042" max="1042" width="9.85546875" style="145" customWidth="1"/>
    <col min="1043" max="1043" width="10.5703125" style="145" customWidth="1"/>
    <col min="1044" max="1044" width="12.140625" style="145" customWidth="1"/>
    <col min="1045" max="1045" width="11.140625" style="145" customWidth="1"/>
    <col min="1046" max="1046" width="11.5703125" style="145" bestFit="1" customWidth="1"/>
    <col min="1047" max="1047" width="12" style="145" bestFit="1" customWidth="1"/>
    <col min="1048" max="1048" width="16.28515625" style="145" bestFit="1" customWidth="1"/>
    <col min="1049" max="1049" width="13.42578125" style="145" customWidth="1"/>
    <col min="1050" max="1050" width="14.42578125" style="145" customWidth="1"/>
    <col min="1051" max="1051" width="18.7109375" style="145" bestFit="1" customWidth="1"/>
    <col min="1052" max="1052" width="7.85546875" style="145" customWidth="1"/>
    <col min="1053" max="1053" width="9.85546875" style="145" customWidth="1"/>
    <col min="1054" max="1055" width="11" style="145" bestFit="1" customWidth="1"/>
    <col min="1056" max="1056" width="11.140625" style="145" bestFit="1" customWidth="1"/>
    <col min="1057" max="1279" width="12.42578125" style="145"/>
    <col min="1280" max="1280" width="6.7109375" style="145" customWidth="1"/>
    <col min="1281" max="1281" width="25.28515625" style="145" customWidth="1"/>
    <col min="1282" max="1282" width="10" style="145" customWidth="1"/>
    <col min="1283" max="1284" width="7.5703125" style="145" customWidth="1"/>
    <col min="1285" max="1285" width="9" style="145" customWidth="1"/>
    <col min="1286" max="1286" width="7.140625" style="145" customWidth="1"/>
    <col min="1287" max="1287" width="10.5703125" style="145" bestFit="1" customWidth="1"/>
    <col min="1288" max="1288" width="9.85546875" style="145" customWidth="1"/>
    <col min="1289" max="1289" width="7.7109375" style="145" customWidth="1"/>
    <col min="1290" max="1290" width="9.85546875" style="145" customWidth="1"/>
    <col min="1291" max="1291" width="7.42578125" style="145" bestFit="1" customWidth="1"/>
    <col min="1292" max="1292" width="9.85546875" style="145" customWidth="1"/>
    <col min="1293" max="1293" width="8.85546875" style="145" customWidth="1"/>
    <col min="1294" max="1294" width="11.140625" style="145" bestFit="1" customWidth="1"/>
    <col min="1295" max="1296" width="9" style="145" customWidth="1"/>
    <col min="1297" max="1297" width="9.140625" style="145" customWidth="1"/>
    <col min="1298" max="1298" width="9.85546875" style="145" customWidth="1"/>
    <col min="1299" max="1299" width="10.5703125" style="145" customWidth="1"/>
    <col min="1300" max="1300" width="12.140625" style="145" customWidth="1"/>
    <col min="1301" max="1301" width="11.140625" style="145" customWidth="1"/>
    <col min="1302" max="1302" width="11.5703125" style="145" bestFit="1" customWidth="1"/>
    <col min="1303" max="1303" width="12" style="145" bestFit="1" customWidth="1"/>
    <col min="1304" max="1304" width="16.28515625" style="145" bestFit="1" customWidth="1"/>
    <col min="1305" max="1305" width="13.42578125" style="145" customWidth="1"/>
    <col min="1306" max="1306" width="14.42578125" style="145" customWidth="1"/>
    <col min="1307" max="1307" width="18.7109375" style="145" bestFit="1" customWidth="1"/>
    <col min="1308" max="1308" width="7.85546875" style="145" customWidth="1"/>
    <col min="1309" max="1309" width="9.85546875" style="145" customWidth="1"/>
    <col min="1310" max="1311" width="11" style="145" bestFit="1" customWidth="1"/>
    <col min="1312" max="1312" width="11.140625" style="145" bestFit="1" customWidth="1"/>
    <col min="1313" max="1535" width="12.42578125" style="145"/>
    <col min="1536" max="1536" width="6.7109375" style="145" customWidth="1"/>
    <col min="1537" max="1537" width="25.28515625" style="145" customWidth="1"/>
    <col min="1538" max="1538" width="10" style="145" customWidth="1"/>
    <col min="1539" max="1540" width="7.5703125" style="145" customWidth="1"/>
    <col min="1541" max="1541" width="9" style="145" customWidth="1"/>
    <col min="1542" max="1542" width="7.140625" style="145" customWidth="1"/>
    <col min="1543" max="1543" width="10.5703125" style="145" bestFit="1" customWidth="1"/>
    <col min="1544" max="1544" width="9.85546875" style="145" customWidth="1"/>
    <col min="1545" max="1545" width="7.7109375" style="145" customWidth="1"/>
    <col min="1546" max="1546" width="9.85546875" style="145" customWidth="1"/>
    <col min="1547" max="1547" width="7.42578125" style="145" bestFit="1" customWidth="1"/>
    <col min="1548" max="1548" width="9.85546875" style="145" customWidth="1"/>
    <col min="1549" max="1549" width="8.85546875" style="145" customWidth="1"/>
    <col min="1550" max="1550" width="11.140625" style="145" bestFit="1" customWidth="1"/>
    <col min="1551" max="1552" width="9" style="145" customWidth="1"/>
    <col min="1553" max="1553" width="9.140625" style="145" customWidth="1"/>
    <col min="1554" max="1554" width="9.85546875" style="145" customWidth="1"/>
    <col min="1555" max="1555" width="10.5703125" style="145" customWidth="1"/>
    <col min="1556" max="1556" width="12.140625" style="145" customWidth="1"/>
    <col min="1557" max="1557" width="11.140625" style="145" customWidth="1"/>
    <col min="1558" max="1558" width="11.5703125" style="145" bestFit="1" customWidth="1"/>
    <col min="1559" max="1559" width="12" style="145" bestFit="1" customWidth="1"/>
    <col min="1560" max="1560" width="16.28515625" style="145" bestFit="1" customWidth="1"/>
    <col min="1561" max="1561" width="13.42578125" style="145" customWidth="1"/>
    <col min="1562" max="1562" width="14.42578125" style="145" customWidth="1"/>
    <col min="1563" max="1563" width="18.7109375" style="145" bestFit="1" customWidth="1"/>
    <col min="1564" max="1564" width="7.85546875" style="145" customWidth="1"/>
    <col min="1565" max="1565" width="9.85546875" style="145" customWidth="1"/>
    <col min="1566" max="1567" width="11" style="145" bestFit="1" customWidth="1"/>
    <col min="1568" max="1568" width="11.140625" style="145" bestFit="1" customWidth="1"/>
    <col min="1569" max="1791" width="12.42578125" style="145"/>
    <col min="1792" max="1792" width="6.7109375" style="145" customWidth="1"/>
    <col min="1793" max="1793" width="25.28515625" style="145" customWidth="1"/>
    <col min="1794" max="1794" width="10" style="145" customWidth="1"/>
    <col min="1795" max="1796" width="7.5703125" style="145" customWidth="1"/>
    <col min="1797" max="1797" width="9" style="145" customWidth="1"/>
    <col min="1798" max="1798" width="7.140625" style="145" customWidth="1"/>
    <col min="1799" max="1799" width="10.5703125" style="145" bestFit="1" customWidth="1"/>
    <col min="1800" max="1800" width="9.85546875" style="145" customWidth="1"/>
    <col min="1801" max="1801" width="7.7109375" style="145" customWidth="1"/>
    <col min="1802" max="1802" width="9.85546875" style="145" customWidth="1"/>
    <col min="1803" max="1803" width="7.42578125" style="145" bestFit="1" customWidth="1"/>
    <col min="1804" max="1804" width="9.85546875" style="145" customWidth="1"/>
    <col min="1805" max="1805" width="8.85546875" style="145" customWidth="1"/>
    <col min="1806" max="1806" width="11.140625" style="145" bestFit="1" customWidth="1"/>
    <col min="1807" max="1808" width="9" style="145" customWidth="1"/>
    <col min="1809" max="1809" width="9.140625" style="145" customWidth="1"/>
    <col min="1810" max="1810" width="9.85546875" style="145" customWidth="1"/>
    <col min="1811" max="1811" width="10.5703125" style="145" customWidth="1"/>
    <col min="1812" max="1812" width="12.140625" style="145" customWidth="1"/>
    <col min="1813" max="1813" width="11.140625" style="145" customWidth="1"/>
    <col min="1814" max="1814" width="11.5703125" style="145" bestFit="1" customWidth="1"/>
    <col min="1815" max="1815" width="12" style="145" bestFit="1" customWidth="1"/>
    <col min="1816" max="1816" width="16.28515625" style="145" bestFit="1" customWidth="1"/>
    <col min="1817" max="1817" width="13.42578125" style="145" customWidth="1"/>
    <col min="1818" max="1818" width="14.42578125" style="145" customWidth="1"/>
    <col min="1819" max="1819" width="18.7109375" style="145" bestFit="1" customWidth="1"/>
    <col min="1820" max="1820" width="7.85546875" style="145" customWidth="1"/>
    <col min="1821" max="1821" width="9.85546875" style="145" customWidth="1"/>
    <col min="1822" max="1823" width="11" style="145" bestFit="1" customWidth="1"/>
    <col min="1824" max="1824" width="11.140625" style="145" bestFit="1" customWidth="1"/>
    <col min="1825" max="2047" width="12.42578125" style="145"/>
    <col min="2048" max="2048" width="6.7109375" style="145" customWidth="1"/>
    <col min="2049" max="2049" width="25.28515625" style="145" customWidth="1"/>
    <col min="2050" max="2050" width="10" style="145" customWidth="1"/>
    <col min="2051" max="2052" width="7.5703125" style="145" customWidth="1"/>
    <col min="2053" max="2053" width="9" style="145" customWidth="1"/>
    <col min="2054" max="2054" width="7.140625" style="145" customWidth="1"/>
    <col min="2055" max="2055" width="10.5703125" style="145" bestFit="1" customWidth="1"/>
    <col min="2056" max="2056" width="9.85546875" style="145" customWidth="1"/>
    <col min="2057" max="2057" width="7.7109375" style="145" customWidth="1"/>
    <col min="2058" max="2058" width="9.85546875" style="145" customWidth="1"/>
    <col min="2059" max="2059" width="7.42578125" style="145" bestFit="1" customWidth="1"/>
    <col min="2060" max="2060" width="9.85546875" style="145" customWidth="1"/>
    <col min="2061" max="2061" width="8.85546875" style="145" customWidth="1"/>
    <col min="2062" max="2062" width="11.140625" style="145" bestFit="1" customWidth="1"/>
    <col min="2063" max="2064" width="9" style="145" customWidth="1"/>
    <col min="2065" max="2065" width="9.140625" style="145" customWidth="1"/>
    <col min="2066" max="2066" width="9.85546875" style="145" customWidth="1"/>
    <col min="2067" max="2067" width="10.5703125" style="145" customWidth="1"/>
    <col min="2068" max="2068" width="12.140625" style="145" customWidth="1"/>
    <col min="2069" max="2069" width="11.140625" style="145" customWidth="1"/>
    <col min="2070" max="2070" width="11.5703125" style="145" bestFit="1" customWidth="1"/>
    <col min="2071" max="2071" width="12" style="145" bestFit="1" customWidth="1"/>
    <col min="2072" max="2072" width="16.28515625" style="145" bestFit="1" customWidth="1"/>
    <col min="2073" max="2073" width="13.42578125" style="145" customWidth="1"/>
    <col min="2074" max="2074" width="14.42578125" style="145" customWidth="1"/>
    <col min="2075" max="2075" width="18.7109375" style="145" bestFit="1" customWidth="1"/>
    <col min="2076" max="2076" width="7.85546875" style="145" customWidth="1"/>
    <col min="2077" max="2077" width="9.85546875" style="145" customWidth="1"/>
    <col min="2078" max="2079" width="11" style="145" bestFit="1" customWidth="1"/>
    <col min="2080" max="2080" width="11.140625" style="145" bestFit="1" customWidth="1"/>
    <col min="2081" max="2303" width="12.42578125" style="145"/>
    <col min="2304" max="2304" width="6.7109375" style="145" customWidth="1"/>
    <col min="2305" max="2305" width="25.28515625" style="145" customWidth="1"/>
    <col min="2306" max="2306" width="10" style="145" customWidth="1"/>
    <col min="2307" max="2308" width="7.5703125" style="145" customWidth="1"/>
    <col min="2309" max="2309" width="9" style="145" customWidth="1"/>
    <col min="2310" max="2310" width="7.140625" style="145" customWidth="1"/>
    <col min="2311" max="2311" width="10.5703125" style="145" bestFit="1" customWidth="1"/>
    <col min="2312" max="2312" width="9.85546875" style="145" customWidth="1"/>
    <col min="2313" max="2313" width="7.7109375" style="145" customWidth="1"/>
    <col min="2314" max="2314" width="9.85546875" style="145" customWidth="1"/>
    <col min="2315" max="2315" width="7.42578125" style="145" bestFit="1" customWidth="1"/>
    <col min="2316" max="2316" width="9.85546875" style="145" customWidth="1"/>
    <col min="2317" max="2317" width="8.85546875" style="145" customWidth="1"/>
    <col min="2318" max="2318" width="11.140625" style="145" bestFit="1" customWidth="1"/>
    <col min="2319" max="2320" width="9" style="145" customWidth="1"/>
    <col min="2321" max="2321" width="9.140625" style="145" customWidth="1"/>
    <col min="2322" max="2322" width="9.85546875" style="145" customWidth="1"/>
    <col min="2323" max="2323" width="10.5703125" style="145" customWidth="1"/>
    <col min="2324" max="2324" width="12.140625" style="145" customWidth="1"/>
    <col min="2325" max="2325" width="11.140625" style="145" customWidth="1"/>
    <col min="2326" max="2326" width="11.5703125" style="145" bestFit="1" customWidth="1"/>
    <col min="2327" max="2327" width="12" style="145" bestFit="1" customWidth="1"/>
    <col min="2328" max="2328" width="16.28515625" style="145" bestFit="1" customWidth="1"/>
    <col min="2329" max="2329" width="13.42578125" style="145" customWidth="1"/>
    <col min="2330" max="2330" width="14.42578125" style="145" customWidth="1"/>
    <col min="2331" max="2331" width="18.7109375" style="145" bestFit="1" customWidth="1"/>
    <col min="2332" max="2332" width="7.85546875" style="145" customWidth="1"/>
    <col min="2333" max="2333" width="9.85546875" style="145" customWidth="1"/>
    <col min="2334" max="2335" width="11" style="145" bestFit="1" customWidth="1"/>
    <col min="2336" max="2336" width="11.140625" style="145" bestFit="1" customWidth="1"/>
    <col min="2337" max="2559" width="12.42578125" style="145"/>
    <col min="2560" max="2560" width="6.7109375" style="145" customWidth="1"/>
    <col min="2561" max="2561" width="25.28515625" style="145" customWidth="1"/>
    <col min="2562" max="2562" width="10" style="145" customWidth="1"/>
    <col min="2563" max="2564" width="7.5703125" style="145" customWidth="1"/>
    <col min="2565" max="2565" width="9" style="145" customWidth="1"/>
    <col min="2566" max="2566" width="7.140625" style="145" customWidth="1"/>
    <col min="2567" max="2567" width="10.5703125" style="145" bestFit="1" customWidth="1"/>
    <col min="2568" max="2568" width="9.85546875" style="145" customWidth="1"/>
    <col min="2569" max="2569" width="7.7109375" style="145" customWidth="1"/>
    <col min="2570" max="2570" width="9.85546875" style="145" customWidth="1"/>
    <col min="2571" max="2571" width="7.42578125" style="145" bestFit="1" customWidth="1"/>
    <col min="2572" max="2572" width="9.85546875" style="145" customWidth="1"/>
    <col min="2573" max="2573" width="8.85546875" style="145" customWidth="1"/>
    <col min="2574" max="2574" width="11.140625" style="145" bestFit="1" customWidth="1"/>
    <col min="2575" max="2576" width="9" style="145" customWidth="1"/>
    <col min="2577" max="2577" width="9.140625" style="145" customWidth="1"/>
    <col min="2578" max="2578" width="9.85546875" style="145" customWidth="1"/>
    <col min="2579" max="2579" width="10.5703125" style="145" customWidth="1"/>
    <col min="2580" max="2580" width="12.140625" style="145" customWidth="1"/>
    <col min="2581" max="2581" width="11.140625" style="145" customWidth="1"/>
    <col min="2582" max="2582" width="11.5703125" style="145" bestFit="1" customWidth="1"/>
    <col min="2583" max="2583" width="12" style="145" bestFit="1" customWidth="1"/>
    <col min="2584" max="2584" width="16.28515625" style="145" bestFit="1" customWidth="1"/>
    <col min="2585" max="2585" width="13.42578125" style="145" customWidth="1"/>
    <col min="2586" max="2586" width="14.42578125" style="145" customWidth="1"/>
    <col min="2587" max="2587" width="18.7109375" style="145" bestFit="1" customWidth="1"/>
    <col min="2588" max="2588" width="7.85546875" style="145" customWidth="1"/>
    <col min="2589" max="2589" width="9.85546875" style="145" customWidth="1"/>
    <col min="2590" max="2591" width="11" style="145" bestFit="1" customWidth="1"/>
    <col min="2592" max="2592" width="11.140625" style="145" bestFit="1" customWidth="1"/>
    <col min="2593" max="2815" width="12.42578125" style="145"/>
    <col min="2816" max="2816" width="6.7109375" style="145" customWidth="1"/>
    <col min="2817" max="2817" width="25.28515625" style="145" customWidth="1"/>
    <col min="2818" max="2818" width="10" style="145" customWidth="1"/>
    <col min="2819" max="2820" width="7.5703125" style="145" customWidth="1"/>
    <col min="2821" max="2821" width="9" style="145" customWidth="1"/>
    <col min="2822" max="2822" width="7.140625" style="145" customWidth="1"/>
    <col min="2823" max="2823" width="10.5703125" style="145" bestFit="1" customWidth="1"/>
    <col min="2824" max="2824" width="9.85546875" style="145" customWidth="1"/>
    <col min="2825" max="2825" width="7.7109375" style="145" customWidth="1"/>
    <col min="2826" max="2826" width="9.85546875" style="145" customWidth="1"/>
    <col min="2827" max="2827" width="7.42578125" style="145" bestFit="1" customWidth="1"/>
    <col min="2828" max="2828" width="9.85546875" style="145" customWidth="1"/>
    <col min="2829" max="2829" width="8.85546875" style="145" customWidth="1"/>
    <col min="2830" max="2830" width="11.140625" style="145" bestFit="1" customWidth="1"/>
    <col min="2831" max="2832" width="9" style="145" customWidth="1"/>
    <col min="2833" max="2833" width="9.140625" style="145" customWidth="1"/>
    <col min="2834" max="2834" width="9.85546875" style="145" customWidth="1"/>
    <col min="2835" max="2835" width="10.5703125" style="145" customWidth="1"/>
    <col min="2836" max="2836" width="12.140625" style="145" customWidth="1"/>
    <col min="2837" max="2837" width="11.140625" style="145" customWidth="1"/>
    <col min="2838" max="2838" width="11.5703125" style="145" bestFit="1" customWidth="1"/>
    <col min="2839" max="2839" width="12" style="145" bestFit="1" customWidth="1"/>
    <col min="2840" max="2840" width="16.28515625" style="145" bestFit="1" customWidth="1"/>
    <col min="2841" max="2841" width="13.42578125" style="145" customWidth="1"/>
    <col min="2842" max="2842" width="14.42578125" style="145" customWidth="1"/>
    <col min="2843" max="2843" width="18.7109375" style="145" bestFit="1" customWidth="1"/>
    <col min="2844" max="2844" width="7.85546875" style="145" customWidth="1"/>
    <col min="2845" max="2845" width="9.85546875" style="145" customWidth="1"/>
    <col min="2846" max="2847" width="11" style="145" bestFit="1" customWidth="1"/>
    <col min="2848" max="2848" width="11.140625" style="145" bestFit="1" customWidth="1"/>
    <col min="2849" max="3071" width="12.42578125" style="145"/>
    <col min="3072" max="3072" width="6.7109375" style="145" customWidth="1"/>
    <col min="3073" max="3073" width="25.28515625" style="145" customWidth="1"/>
    <col min="3074" max="3074" width="10" style="145" customWidth="1"/>
    <col min="3075" max="3076" width="7.5703125" style="145" customWidth="1"/>
    <col min="3077" max="3077" width="9" style="145" customWidth="1"/>
    <col min="3078" max="3078" width="7.140625" style="145" customWidth="1"/>
    <col min="3079" max="3079" width="10.5703125" style="145" bestFit="1" customWidth="1"/>
    <col min="3080" max="3080" width="9.85546875" style="145" customWidth="1"/>
    <col min="3081" max="3081" width="7.7109375" style="145" customWidth="1"/>
    <col min="3082" max="3082" width="9.85546875" style="145" customWidth="1"/>
    <col min="3083" max="3083" width="7.42578125" style="145" bestFit="1" customWidth="1"/>
    <col min="3084" max="3084" width="9.85546875" style="145" customWidth="1"/>
    <col min="3085" max="3085" width="8.85546875" style="145" customWidth="1"/>
    <col min="3086" max="3086" width="11.140625" style="145" bestFit="1" customWidth="1"/>
    <col min="3087" max="3088" width="9" style="145" customWidth="1"/>
    <col min="3089" max="3089" width="9.140625" style="145" customWidth="1"/>
    <col min="3090" max="3090" width="9.85546875" style="145" customWidth="1"/>
    <col min="3091" max="3091" width="10.5703125" style="145" customWidth="1"/>
    <col min="3092" max="3092" width="12.140625" style="145" customWidth="1"/>
    <col min="3093" max="3093" width="11.140625" style="145" customWidth="1"/>
    <col min="3094" max="3094" width="11.5703125" style="145" bestFit="1" customWidth="1"/>
    <col min="3095" max="3095" width="12" style="145" bestFit="1" customWidth="1"/>
    <col min="3096" max="3096" width="16.28515625" style="145" bestFit="1" customWidth="1"/>
    <col min="3097" max="3097" width="13.42578125" style="145" customWidth="1"/>
    <col min="3098" max="3098" width="14.42578125" style="145" customWidth="1"/>
    <col min="3099" max="3099" width="18.7109375" style="145" bestFit="1" customWidth="1"/>
    <col min="3100" max="3100" width="7.85546875" style="145" customWidth="1"/>
    <col min="3101" max="3101" width="9.85546875" style="145" customWidth="1"/>
    <col min="3102" max="3103" width="11" style="145" bestFit="1" customWidth="1"/>
    <col min="3104" max="3104" width="11.140625" style="145" bestFit="1" customWidth="1"/>
    <col min="3105" max="3327" width="12.42578125" style="145"/>
    <col min="3328" max="3328" width="6.7109375" style="145" customWidth="1"/>
    <col min="3329" max="3329" width="25.28515625" style="145" customWidth="1"/>
    <col min="3330" max="3330" width="10" style="145" customWidth="1"/>
    <col min="3331" max="3332" width="7.5703125" style="145" customWidth="1"/>
    <col min="3333" max="3333" width="9" style="145" customWidth="1"/>
    <col min="3334" max="3334" width="7.140625" style="145" customWidth="1"/>
    <col min="3335" max="3335" width="10.5703125" style="145" bestFit="1" customWidth="1"/>
    <col min="3336" max="3336" width="9.85546875" style="145" customWidth="1"/>
    <col min="3337" max="3337" width="7.7109375" style="145" customWidth="1"/>
    <col min="3338" max="3338" width="9.85546875" style="145" customWidth="1"/>
    <col min="3339" max="3339" width="7.42578125" style="145" bestFit="1" customWidth="1"/>
    <col min="3340" max="3340" width="9.85546875" style="145" customWidth="1"/>
    <col min="3341" max="3341" width="8.85546875" style="145" customWidth="1"/>
    <col min="3342" max="3342" width="11.140625" style="145" bestFit="1" customWidth="1"/>
    <col min="3343" max="3344" width="9" style="145" customWidth="1"/>
    <col min="3345" max="3345" width="9.140625" style="145" customWidth="1"/>
    <col min="3346" max="3346" width="9.85546875" style="145" customWidth="1"/>
    <col min="3347" max="3347" width="10.5703125" style="145" customWidth="1"/>
    <col min="3348" max="3348" width="12.140625" style="145" customWidth="1"/>
    <col min="3349" max="3349" width="11.140625" style="145" customWidth="1"/>
    <col min="3350" max="3350" width="11.5703125" style="145" bestFit="1" customWidth="1"/>
    <col min="3351" max="3351" width="12" style="145" bestFit="1" customWidth="1"/>
    <col min="3352" max="3352" width="16.28515625" style="145" bestFit="1" customWidth="1"/>
    <col min="3353" max="3353" width="13.42578125" style="145" customWidth="1"/>
    <col min="3354" max="3354" width="14.42578125" style="145" customWidth="1"/>
    <col min="3355" max="3355" width="18.7109375" style="145" bestFit="1" customWidth="1"/>
    <col min="3356" max="3356" width="7.85546875" style="145" customWidth="1"/>
    <col min="3357" max="3357" width="9.85546875" style="145" customWidth="1"/>
    <col min="3358" max="3359" width="11" style="145" bestFit="1" customWidth="1"/>
    <col min="3360" max="3360" width="11.140625" style="145" bestFit="1" customWidth="1"/>
    <col min="3361" max="3583" width="12.42578125" style="145"/>
    <col min="3584" max="3584" width="6.7109375" style="145" customWidth="1"/>
    <col min="3585" max="3585" width="25.28515625" style="145" customWidth="1"/>
    <col min="3586" max="3586" width="10" style="145" customWidth="1"/>
    <col min="3587" max="3588" width="7.5703125" style="145" customWidth="1"/>
    <col min="3589" max="3589" width="9" style="145" customWidth="1"/>
    <col min="3590" max="3590" width="7.140625" style="145" customWidth="1"/>
    <col min="3591" max="3591" width="10.5703125" style="145" bestFit="1" customWidth="1"/>
    <col min="3592" max="3592" width="9.85546875" style="145" customWidth="1"/>
    <col min="3593" max="3593" width="7.7109375" style="145" customWidth="1"/>
    <col min="3594" max="3594" width="9.85546875" style="145" customWidth="1"/>
    <col min="3595" max="3595" width="7.42578125" style="145" bestFit="1" customWidth="1"/>
    <col min="3596" max="3596" width="9.85546875" style="145" customWidth="1"/>
    <col min="3597" max="3597" width="8.85546875" style="145" customWidth="1"/>
    <col min="3598" max="3598" width="11.140625" style="145" bestFit="1" customWidth="1"/>
    <col min="3599" max="3600" width="9" style="145" customWidth="1"/>
    <col min="3601" max="3601" width="9.140625" style="145" customWidth="1"/>
    <col min="3602" max="3602" width="9.85546875" style="145" customWidth="1"/>
    <col min="3603" max="3603" width="10.5703125" style="145" customWidth="1"/>
    <col min="3604" max="3604" width="12.140625" style="145" customWidth="1"/>
    <col min="3605" max="3605" width="11.140625" style="145" customWidth="1"/>
    <col min="3606" max="3606" width="11.5703125" style="145" bestFit="1" customWidth="1"/>
    <col min="3607" max="3607" width="12" style="145" bestFit="1" customWidth="1"/>
    <col min="3608" max="3608" width="16.28515625" style="145" bestFit="1" customWidth="1"/>
    <col min="3609" max="3609" width="13.42578125" style="145" customWidth="1"/>
    <col min="3610" max="3610" width="14.42578125" style="145" customWidth="1"/>
    <col min="3611" max="3611" width="18.7109375" style="145" bestFit="1" customWidth="1"/>
    <col min="3612" max="3612" width="7.85546875" style="145" customWidth="1"/>
    <col min="3613" max="3613" width="9.85546875" style="145" customWidth="1"/>
    <col min="3614" max="3615" width="11" style="145" bestFit="1" customWidth="1"/>
    <col min="3616" max="3616" width="11.140625" style="145" bestFit="1" customWidth="1"/>
    <col min="3617" max="3839" width="12.42578125" style="145"/>
    <col min="3840" max="3840" width="6.7109375" style="145" customWidth="1"/>
    <col min="3841" max="3841" width="25.28515625" style="145" customWidth="1"/>
    <col min="3842" max="3842" width="10" style="145" customWidth="1"/>
    <col min="3843" max="3844" width="7.5703125" style="145" customWidth="1"/>
    <col min="3845" max="3845" width="9" style="145" customWidth="1"/>
    <col min="3846" max="3846" width="7.140625" style="145" customWidth="1"/>
    <col min="3847" max="3847" width="10.5703125" style="145" bestFit="1" customWidth="1"/>
    <col min="3848" max="3848" width="9.85546875" style="145" customWidth="1"/>
    <col min="3849" max="3849" width="7.7109375" style="145" customWidth="1"/>
    <col min="3850" max="3850" width="9.85546875" style="145" customWidth="1"/>
    <col min="3851" max="3851" width="7.42578125" style="145" bestFit="1" customWidth="1"/>
    <col min="3852" max="3852" width="9.85546875" style="145" customWidth="1"/>
    <col min="3853" max="3853" width="8.85546875" style="145" customWidth="1"/>
    <col min="3854" max="3854" width="11.140625" style="145" bestFit="1" customWidth="1"/>
    <col min="3855" max="3856" width="9" style="145" customWidth="1"/>
    <col min="3857" max="3857" width="9.140625" style="145" customWidth="1"/>
    <col min="3858" max="3858" width="9.85546875" style="145" customWidth="1"/>
    <col min="3859" max="3859" width="10.5703125" style="145" customWidth="1"/>
    <col min="3860" max="3860" width="12.140625" style="145" customWidth="1"/>
    <col min="3861" max="3861" width="11.140625" style="145" customWidth="1"/>
    <col min="3862" max="3862" width="11.5703125" style="145" bestFit="1" customWidth="1"/>
    <col min="3863" max="3863" width="12" style="145" bestFit="1" customWidth="1"/>
    <col min="3864" max="3864" width="16.28515625" style="145" bestFit="1" customWidth="1"/>
    <col min="3865" max="3865" width="13.42578125" style="145" customWidth="1"/>
    <col min="3866" max="3866" width="14.42578125" style="145" customWidth="1"/>
    <col min="3867" max="3867" width="18.7109375" style="145" bestFit="1" customWidth="1"/>
    <col min="3868" max="3868" width="7.85546875" style="145" customWidth="1"/>
    <col min="3869" max="3869" width="9.85546875" style="145" customWidth="1"/>
    <col min="3870" max="3871" width="11" style="145" bestFit="1" customWidth="1"/>
    <col min="3872" max="3872" width="11.140625" style="145" bestFit="1" customWidth="1"/>
    <col min="3873" max="4095" width="12.42578125" style="145"/>
    <col min="4096" max="4096" width="6.7109375" style="145" customWidth="1"/>
    <col min="4097" max="4097" width="25.28515625" style="145" customWidth="1"/>
    <col min="4098" max="4098" width="10" style="145" customWidth="1"/>
    <col min="4099" max="4100" width="7.5703125" style="145" customWidth="1"/>
    <col min="4101" max="4101" width="9" style="145" customWidth="1"/>
    <col min="4102" max="4102" width="7.140625" style="145" customWidth="1"/>
    <col min="4103" max="4103" width="10.5703125" style="145" bestFit="1" customWidth="1"/>
    <col min="4104" max="4104" width="9.85546875" style="145" customWidth="1"/>
    <col min="4105" max="4105" width="7.7109375" style="145" customWidth="1"/>
    <col min="4106" max="4106" width="9.85546875" style="145" customWidth="1"/>
    <col min="4107" max="4107" width="7.42578125" style="145" bestFit="1" customWidth="1"/>
    <col min="4108" max="4108" width="9.85546875" style="145" customWidth="1"/>
    <col min="4109" max="4109" width="8.85546875" style="145" customWidth="1"/>
    <col min="4110" max="4110" width="11.140625" style="145" bestFit="1" customWidth="1"/>
    <col min="4111" max="4112" width="9" style="145" customWidth="1"/>
    <col min="4113" max="4113" width="9.140625" style="145" customWidth="1"/>
    <col min="4114" max="4114" width="9.85546875" style="145" customWidth="1"/>
    <col min="4115" max="4115" width="10.5703125" style="145" customWidth="1"/>
    <col min="4116" max="4116" width="12.140625" style="145" customWidth="1"/>
    <col min="4117" max="4117" width="11.140625" style="145" customWidth="1"/>
    <col min="4118" max="4118" width="11.5703125" style="145" bestFit="1" customWidth="1"/>
    <col min="4119" max="4119" width="12" style="145" bestFit="1" customWidth="1"/>
    <col min="4120" max="4120" width="16.28515625" style="145" bestFit="1" customWidth="1"/>
    <col min="4121" max="4121" width="13.42578125" style="145" customWidth="1"/>
    <col min="4122" max="4122" width="14.42578125" style="145" customWidth="1"/>
    <col min="4123" max="4123" width="18.7109375" style="145" bestFit="1" customWidth="1"/>
    <col min="4124" max="4124" width="7.85546875" style="145" customWidth="1"/>
    <col min="4125" max="4125" width="9.85546875" style="145" customWidth="1"/>
    <col min="4126" max="4127" width="11" style="145" bestFit="1" customWidth="1"/>
    <col min="4128" max="4128" width="11.140625" style="145" bestFit="1" customWidth="1"/>
    <col min="4129" max="4351" width="12.42578125" style="145"/>
    <col min="4352" max="4352" width="6.7109375" style="145" customWidth="1"/>
    <col min="4353" max="4353" width="25.28515625" style="145" customWidth="1"/>
    <col min="4354" max="4354" width="10" style="145" customWidth="1"/>
    <col min="4355" max="4356" width="7.5703125" style="145" customWidth="1"/>
    <col min="4357" max="4357" width="9" style="145" customWidth="1"/>
    <col min="4358" max="4358" width="7.140625" style="145" customWidth="1"/>
    <col min="4359" max="4359" width="10.5703125" style="145" bestFit="1" customWidth="1"/>
    <col min="4360" max="4360" width="9.85546875" style="145" customWidth="1"/>
    <col min="4361" max="4361" width="7.7109375" style="145" customWidth="1"/>
    <col min="4362" max="4362" width="9.85546875" style="145" customWidth="1"/>
    <col min="4363" max="4363" width="7.42578125" style="145" bestFit="1" customWidth="1"/>
    <col min="4364" max="4364" width="9.85546875" style="145" customWidth="1"/>
    <col min="4365" max="4365" width="8.85546875" style="145" customWidth="1"/>
    <col min="4366" max="4366" width="11.140625" style="145" bestFit="1" customWidth="1"/>
    <col min="4367" max="4368" width="9" style="145" customWidth="1"/>
    <col min="4369" max="4369" width="9.140625" style="145" customWidth="1"/>
    <col min="4370" max="4370" width="9.85546875" style="145" customWidth="1"/>
    <col min="4371" max="4371" width="10.5703125" style="145" customWidth="1"/>
    <col min="4372" max="4372" width="12.140625" style="145" customWidth="1"/>
    <col min="4373" max="4373" width="11.140625" style="145" customWidth="1"/>
    <col min="4374" max="4374" width="11.5703125" style="145" bestFit="1" customWidth="1"/>
    <col min="4375" max="4375" width="12" style="145" bestFit="1" customWidth="1"/>
    <col min="4376" max="4376" width="16.28515625" style="145" bestFit="1" customWidth="1"/>
    <col min="4377" max="4377" width="13.42578125" style="145" customWidth="1"/>
    <col min="4378" max="4378" width="14.42578125" style="145" customWidth="1"/>
    <col min="4379" max="4379" width="18.7109375" style="145" bestFit="1" customWidth="1"/>
    <col min="4380" max="4380" width="7.85546875" style="145" customWidth="1"/>
    <col min="4381" max="4381" width="9.85546875" style="145" customWidth="1"/>
    <col min="4382" max="4383" width="11" style="145" bestFit="1" customWidth="1"/>
    <col min="4384" max="4384" width="11.140625" style="145" bestFit="1" customWidth="1"/>
    <col min="4385" max="4607" width="12.42578125" style="145"/>
    <col min="4608" max="4608" width="6.7109375" style="145" customWidth="1"/>
    <col min="4609" max="4609" width="25.28515625" style="145" customWidth="1"/>
    <col min="4610" max="4610" width="10" style="145" customWidth="1"/>
    <col min="4611" max="4612" width="7.5703125" style="145" customWidth="1"/>
    <col min="4613" max="4613" width="9" style="145" customWidth="1"/>
    <col min="4614" max="4614" width="7.140625" style="145" customWidth="1"/>
    <col min="4615" max="4615" width="10.5703125" style="145" bestFit="1" customWidth="1"/>
    <col min="4616" max="4616" width="9.85546875" style="145" customWidth="1"/>
    <col min="4617" max="4617" width="7.7109375" style="145" customWidth="1"/>
    <col min="4618" max="4618" width="9.85546875" style="145" customWidth="1"/>
    <col min="4619" max="4619" width="7.42578125" style="145" bestFit="1" customWidth="1"/>
    <col min="4620" max="4620" width="9.85546875" style="145" customWidth="1"/>
    <col min="4621" max="4621" width="8.85546875" style="145" customWidth="1"/>
    <col min="4622" max="4622" width="11.140625" style="145" bestFit="1" customWidth="1"/>
    <col min="4623" max="4624" width="9" style="145" customWidth="1"/>
    <col min="4625" max="4625" width="9.140625" style="145" customWidth="1"/>
    <col min="4626" max="4626" width="9.85546875" style="145" customWidth="1"/>
    <col min="4627" max="4627" width="10.5703125" style="145" customWidth="1"/>
    <col min="4628" max="4628" width="12.140625" style="145" customWidth="1"/>
    <col min="4629" max="4629" width="11.140625" style="145" customWidth="1"/>
    <col min="4630" max="4630" width="11.5703125" style="145" bestFit="1" customWidth="1"/>
    <col min="4631" max="4631" width="12" style="145" bestFit="1" customWidth="1"/>
    <col min="4632" max="4632" width="16.28515625" style="145" bestFit="1" customWidth="1"/>
    <col min="4633" max="4633" width="13.42578125" style="145" customWidth="1"/>
    <col min="4634" max="4634" width="14.42578125" style="145" customWidth="1"/>
    <col min="4635" max="4635" width="18.7109375" style="145" bestFit="1" customWidth="1"/>
    <col min="4636" max="4636" width="7.85546875" style="145" customWidth="1"/>
    <col min="4637" max="4637" width="9.85546875" style="145" customWidth="1"/>
    <col min="4638" max="4639" width="11" style="145" bestFit="1" customWidth="1"/>
    <col min="4640" max="4640" width="11.140625" style="145" bestFit="1" customWidth="1"/>
    <col min="4641" max="4863" width="12.42578125" style="145"/>
    <col min="4864" max="4864" width="6.7109375" style="145" customWidth="1"/>
    <col min="4865" max="4865" width="25.28515625" style="145" customWidth="1"/>
    <col min="4866" max="4866" width="10" style="145" customWidth="1"/>
    <col min="4867" max="4868" width="7.5703125" style="145" customWidth="1"/>
    <col min="4869" max="4869" width="9" style="145" customWidth="1"/>
    <col min="4870" max="4870" width="7.140625" style="145" customWidth="1"/>
    <col min="4871" max="4871" width="10.5703125" style="145" bestFit="1" customWidth="1"/>
    <col min="4872" max="4872" width="9.85546875" style="145" customWidth="1"/>
    <col min="4873" max="4873" width="7.7109375" style="145" customWidth="1"/>
    <col min="4874" max="4874" width="9.85546875" style="145" customWidth="1"/>
    <col min="4875" max="4875" width="7.42578125" style="145" bestFit="1" customWidth="1"/>
    <col min="4876" max="4876" width="9.85546875" style="145" customWidth="1"/>
    <col min="4877" max="4877" width="8.85546875" style="145" customWidth="1"/>
    <col min="4878" max="4878" width="11.140625" style="145" bestFit="1" customWidth="1"/>
    <col min="4879" max="4880" width="9" style="145" customWidth="1"/>
    <col min="4881" max="4881" width="9.140625" style="145" customWidth="1"/>
    <col min="4882" max="4882" width="9.85546875" style="145" customWidth="1"/>
    <col min="4883" max="4883" width="10.5703125" style="145" customWidth="1"/>
    <col min="4884" max="4884" width="12.140625" style="145" customWidth="1"/>
    <col min="4885" max="4885" width="11.140625" style="145" customWidth="1"/>
    <col min="4886" max="4886" width="11.5703125" style="145" bestFit="1" customWidth="1"/>
    <col min="4887" max="4887" width="12" style="145" bestFit="1" customWidth="1"/>
    <col min="4888" max="4888" width="16.28515625" style="145" bestFit="1" customWidth="1"/>
    <col min="4889" max="4889" width="13.42578125" style="145" customWidth="1"/>
    <col min="4890" max="4890" width="14.42578125" style="145" customWidth="1"/>
    <col min="4891" max="4891" width="18.7109375" style="145" bestFit="1" customWidth="1"/>
    <col min="4892" max="4892" width="7.85546875" style="145" customWidth="1"/>
    <col min="4893" max="4893" width="9.85546875" style="145" customWidth="1"/>
    <col min="4894" max="4895" width="11" style="145" bestFit="1" customWidth="1"/>
    <col min="4896" max="4896" width="11.140625" style="145" bestFit="1" customWidth="1"/>
    <col min="4897" max="5119" width="12.42578125" style="145"/>
    <col min="5120" max="5120" width="6.7109375" style="145" customWidth="1"/>
    <col min="5121" max="5121" width="25.28515625" style="145" customWidth="1"/>
    <col min="5122" max="5122" width="10" style="145" customWidth="1"/>
    <col min="5123" max="5124" width="7.5703125" style="145" customWidth="1"/>
    <col min="5125" max="5125" width="9" style="145" customWidth="1"/>
    <col min="5126" max="5126" width="7.140625" style="145" customWidth="1"/>
    <col min="5127" max="5127" width="10.5703125" style="145" bestFit="1" customWidth="1"/>
    <col min="5128" max="5128" width="9.85546875" style="145" customWidth="1"/>
    <col min="5129" max="5129" width="7.7109375" style="145" customWidth="1"/>
    <col min="5130" max="5130" width="9.85546875" style="145" customWidth="1"/>
    <col min="5131" max="5131" width="7.42578125" style="145" bestFit="1" customWidth="1"/>
    <col min="5132" max="5132" width="9.85546875" style="145" customWidth="1"/>
    <col min="5133" max="5133" width="8.85546875" style="145" customWidth="1"/>
    <col min="5134" max="5134" width="11.140625" style="145" bestFit="1" customWidth="1"/>
    <col min="5135" max="5136" width="9" style="145" customWidth="1"/>
    <col min="5137" max="5137" width="9.140625" style="145" customWidth="1"/>
    <col min="5138" max="5138" width="9.85546875" style="145" customWidth="1"/>
    <col min="5139" max="5139" width="10.5703125" style="145" customWidth="1"/>
    <col min="5140" max="5140" width="12.140625" style="145" customWidth="1"/>
    <col min="5141" max="5141" width="11.140625" style="145" customWidth="1"/>
    <col min="5142" max="5142" width="11.5703125" style="145" bestFit="1" customWidth="1"/>
    <col min="5143" max="5143" width="12" style="145" bestFit="1" customWidth="1"/>
    <col min="5144" max="5144" width="16.28515625" style="145" bestFit="1" customWidth="1"/>
    <col min="5145" max="5145" width="13.42578125" style="145" customWidth="1"/>
    <col min="5146" max="5146" width="14.42578125" style="145" customWidth="1"/>
    <col min="5147" max="5147" width="18.7109375" style="145" bestFit="1" customWidth="1"/>
    <col min="5148" max="5148" width="7.85546875" style="145" customWidth="1"/>
    <col min="5149" max="5149" width="9.85546875" style="145" customWidth="1"/>
    <col min="5150" max="5151" width="11" style="145" bestFit="1" customWidth="1"/>
    <col min="5152" max="5152" width="11.140625" style="145" bestFit="1" customWidth="1"/>
    <col min="5153" max="5375" width="12.42578125" style="145"/>
    <col min="5376" max="5376" width="6.7109375" style="145" customWidth="1"/>
    <col min="5377" max="5377" width="25.28515625" style="145" customWidth="1"/>
    <col min="5378" max="5378" width="10" style="145" customWidth="1"/>
    <col min="5379" max="5380" width="7.5703125" style="145" customWidth="1"/>
    <col min="5381" max="5381" width="9" style="145" customWidth="1"/>
    <col min="5382" max="5382" width="7.140625" style="145" customWidth="1"/>
    <col min="5383" max="5383" width="10.5703125" style="145" bestFit="1" customWidth="1"/>
    <col min="5384" max="5384" width="9.85546875" style="145" customWidth="1"/>
    <col min="5385" max="5385" width="7.7109375" style="145" customWidth="1"/>
    <col min="5386" max="5386" width="9.85546875" style="145" customWidth="1"/>
    <col min="5387" max="5387" width="7.42578125" style="145" bestFit="1" customWidth="1"/>
    <col min="5388" max="5388" width="9.85546875" style="145" customWidth="1"/>
    <col min="5389" max="5389" width="8.85546875" style="145" customWidth="1"/>
    <col min="5390" max="5390" width="11.140625" style="145" bestFit="1" customWidth="1"/>
    <col min="5391" max="5392" width="9" style="145" customWidth="1"/>
    <col min="5393" max="5393" width="9.140625" style="145" customWidth="1"/>
    <col min="5394" max="5394" width="9.85546875" style="145" customWidth="1"/>
    <col min="5395" max="5395" width="10.5703125" style="145" customWidth="1"/>
    <col min="5396" max="5396" width="12.140625" style="145" customWidth="1"/>
    <col min="5397" max="5397" width="11.140625" style="145" customWidth="1"/>
    <col min="5398" max="5398" width="11.5703125" style="145" bestFit="1" customWidth="1"/>
    <col min="5399" max="5399" width="12" style="145" bestFit="1" customWidth="1"/>
    <col min="5400" max="5400" width="16.28515625" style="145" bestFit="1" customWidth="1"/>
    <col min="5401" max="5401" width="13.42578125" style="145" customWidth="1"/>
    <col min="5402" max="5402" width="14.42578125" style="145" customWidth="1"/>
    <col min="5403" max="5403" width="18.7109375" style="145" bestFit="1" customWidth="1"/>
    <col min="5404" max="5404" width="7.85546875" style="145" customWidth="1"/>
    <col min="5405" max="5405" width="9.85546875" style="145" customWidth="1"/>
    <col min="5406" max="5407" width="11" style="145" bestFit="1" customWidth="1"/>
    <col min="5408" max="5408" width="11.140625" style="145" bestFit="1" customWidth="1"/>
    <col min="5409" max="5631" width="12.42578125" style="145"/>
    <col min="5632" max="5632" width="6.7109375" style="145" customWidth="1"/>
    <col min="5633" max="5633" width="25.28515625" style="145" customWidth="1"/>
    <col min="5634" max="5634" width="10" style="145" customWidth="1"/>
    <col min="5635" max="5636" width="7.5703125" style="145" customWidth="1"/>
    <col min="5637" max="5637" width="9" style="145" customWidth="1"/>
    <col min="5638" max="5638" width="7.140625" style="145" customWidth="1"/>
    <col min="5639" max="5639" width="10.5703125" style="145" bestFit="1" customWidth="1"/>
    <col min="5640" max="5640" width="9.85546875" style="145" customWidth="1"/>
    <col min="5641" max="5641" width="7.7109375" style="145" customWidth="1"/>
    <col min="5642" max="5642" width="9.85546875" style="145" customWidth="1"/>
    <col min="5643" max="5643" width="7.42578125" style="145" bestFit="1" customWidth="1"/>
    <col min="5644" max="5644" width="9.85546875" style="145" customWidth="1"/>
    <col min="5645" max="5645" width="8.85546875" style="145" customWidth="1"/>
    <col min="5646" max="5646" width="11.140625" style="145" bestFit="1" customWidth="1"/>
    <col min="5647" max="5648" width="9" style="145" customWidth="1"/>
    <col min="5649" max="5649" width="9.140625" style="145" customWidth="1"/>
    <col min="5650" max="5650" width="9.85546875" style="145" customWidth="1"/>
    <col min="5651" max="5651" width="10.5703125" style="145" customWidth="1"/>
    <col min="5652" max="5652" width="12.140625" style="145" customWidth="1"/>
    <col min="5653" max="5653" width="11.140625" style="145" customWidth="1"/>
    <col min="5654" max="5654" width="11.5703125" style="145" bestFit="1" customWidth="1"/>
    <col min="5655" max="5655" width="12" style="145" bestFit="1" customWidth="1"/>
    <col min="5656" max="5656" width="16.28515625" style="145" bestFit="1" customWidth="1"/>
    <col min="5657" max="5657" width="13.42578125" style="145" customWidth="1"/>
    <col min="5658" max="5658" width="14.42578125" style="145" customWidth="1"/>
    <col min="5659" max="5659" width="18.7109375" style="145" bestFit="1" customWidth="1"/>
    <col min="5660" max="5660" width="7.85546875" style="145" customWidth="1"/>
    <col min="5661" max="5661" width="9.85546875" style="145" customWidth="1"/>
    <col min="5662" max="5663" width="11" style="145" bestFit="1" customWidth="1"/>
    <col min="5664" max="5664" width="11.140625" style="145" bestFit="1" customWidth="1"/>
    <col min="5665" max="5887" width="12.42578125" style="145"/>
    <col min="5888" max="5888" width="6.7109375" style="145" customWidth="1"/>
    <col min="5889" max="5889" width="25.28515625" style="145" customWidth="1"/>
    <col min="5890" max="5890" width="10" style="145" customWidth="1"/>
    <col min="5891" max="5892" width="7.5703125" style="145" customWidth="1"/>
    <col min="5893" max="5893" width="9" style="145" customWidth="1"/>
    <col min="5894" max="5894" width="7.140625" style="145" customWidth="1"/>
    <col min="5895" max="5895" width="10.5703125" style="145" bestFit="1" customWidth="1"/>
    <col min="5896" max="5896" width="9.85546875" style="145" customWidth="1"/>
    <col min="5897" max="5897" width="7.7109375" style="145" customWidth="1"/>
    <col min="5898" max="5898" width="9.85546875" style="145" customWidth="1"/>
    <col min="5899" max="5899" width="7.42578125" style="145" bestFit="1" customWidth="1"/>
    <col min="5900" max="5900" width="9.85546875" style="145" customWidth="1"/>
    <col min="5901" max="5901" width="8.85546875" style="145" customWidth="1"/>
    <col min="5902" max="5902" width="11.140625" style="145" bestFit="1" customWidth="1"/>
    <col min="5903" max="5904" width="9" style="145" customWidth="1"/>
    <col min="5905" max="5905" width="9.140625" style="145" customWidth="1"/>
    <col min="5906" max="5906" width="9.85546875" style="145" customWidth="1"/>
    <col min="5907" max="5907" width="10.5703125" style="145" customWidth="1"/>
    <col min="5908" max="5908" width="12.140625" style="145" customWidth="1"/>
    <col min="5909" max="5909" width="11.140625" style="145" customWidth="1"/>
    <col min="5910" max="5910" width="11.5703125" style="145" bestFit="1" customWidth="1"/>
    <col min="5911" max="5911" width="12" style="145" bestFit="1" customWidth="1"/>
    <col min="5912" max="5912" width="16.28515625" style="145" bestFit="1" customWidth="1"/>
    <col min="5913" max="5913" width="13.42578125" style="145" customWidth="1"/>
    <col min="5914" max="5914" width="14.42578125" style="145" customWidth="1"/>
    <col min="5915" max="5915" width="18.7109375" style="145" bestFit="1" customWidth="1"/>
    <col min="5916" max="5916" width="7.85546875" style="145" customWidth="1"/>
    <col min="5917" max="5917" width="9.85546875" style="145" customWidth="1"/>
    <col min="5918" max="5919" width="11" style="145" bestFit="1" customWidth="1"/>
    <col min="5920" max="5920" width="11.140625" style="145" bestFit="1" customWidth="1"/>
    <col min="5921" max="6143" width="12.42578125" style="145"/>
    <col min="6144" max="6144" width="6.7109375" style="145" customWidth="1"/>
    <col min="6145" max="6145" width="25.28515625" style="145" customWidth="1"/>
    <col min="6146" max="6146" width="10" style="145" customWidth="1"/>
    <col min="6147" max="6148" width="7.5703125" style="145" customWidth="1"/>
    <col min="6149" max="6149" width="9" style="145" customWidth="1"/>
    <col min="6150" max="6150" width="7.140625" style="145" customWidth="1"/>
    <col min="6151" max="6151" width="10.5703125" style="145" bestFit="1" customWidth="1"/>
    <col min="6152" max="6152" width="9.85546875" style="145" customWidth="1"/>
    <col min="6153" max="6153" width="7.7109375" style="145" customWidth="1"/>
    <col min="6154" max="6154" width="9.85546875" style="145" customWidth="1"/>
    <col min="6155" max="6155" width="7.42578125" style="145" bestFit="1" customWidth="1"/>
    <col min="6156" max="6156" width="9.85546875" style="145" customWidth="1"/>
    <col min="6157" max="6157" width="8.85546875" style="145" customWidth="1"/>
    <col min="6158" max="6158" width="11.140625" style="145" bestFit="1" customWidth="1"/>
    <col min="6159" max="6160" width="9" style="145" customWidth="1"/>
    <col min="6161" max="6161" width="9.140625" style="145" customWidth="1"/>
    <col min="6162" max="6162" width="9.85546875" style="145" customWidth="1"/>
    <col min="6163" max="6163" width="10.5703125" style="145" customWidth="1"/>
    <col min="6164" max="6164" width="12.140625" style="145" customWidth="1"/>
    <col min="6165" max="6165" width="11.140625" style="145" customWidth="1"/>
    <col min="6166" max="6166" width="11.5703125" style="145" bestFit="1" customWidth="1"/>
    <col min="6167" max="6167" width="12" style="145" bestFit="1" customWidth="1"/>
    <col min="6168" max="6168" width="16.28515625" style="145" bestFit="1" customWidth="1"/>
    <col min="6169" max="6169" width="13.42578125" style="145" customWidth="1"/>
    <col min="6170" max="6170" width="14.42578125" style="145" customWidth="1"/>
    <col min="6171" max="6171" width="18.7109375" style="145" bestFit="1" customWidth="1"/>
    <col min="6172" max="6172" width="7.85546875" style="145" customWidth="1"/>
    <col min="6173" max="6173" width="9.85546875" style="145" customWidth="1"/>
    <col min="6174" max="6175" width="11" style="145" bestFit="1" customWidth="1"/>
    <col min="6176" max="6176" width="11.140625" style="145" bestFit="1" customWidth="1"/>
    <col min="6177" max="6399" width="12.42578125" style="145"/>
    <col min="6400" max="6400" width="6.7109375" style="145" customWidth="1"/>
    <col min="6401" max="6401" width="25.28515625" style="145" customWidth="1"/>
    <col min="6402" max="6402" width="10" style="145" customWidth="1"/>
    <col min="6403" max="6404" width="7.5703125" style="145" customWidth="1"/>
    <col min="6405" max="6405" width="9" style="145" customWidth="1"/>
    <col min="6406" max="6406" width="7.140625" style="145" customWidth="1"/>
    <col min="6407" max="6407" width="10.5703125" style="145" bestFit="1" customWidth="1"/>
    <col min="6408" max="6408" width="9.85546875" style="145" customWidth="1"/>
    <col min="6409" max="6409" width="7.7109375" style="145" customWidth="1"/>
    <col min="6410" max="6410" width="9.85546875" style="145" customWidth="1"/>
    <col min="6411" max="6411" width="7.42578125" style="145" bestFit="1" customWidth="1"/>
    <col min="6412" max="6412" width="9.85546875" style="145" customWidth="1"/>
    <col min="6413" max="6413" width="8.85546875" style="145" customWidth="1"/>
    <col min="6414" max="6414" width="11.140625" style="145" bestFit="1" customWidth="1"/>
    <col min="6415" max="6416" width="9" style="145" customWidth="1"/>
    <col min="6417" max="6417" width="9.140625" style="145" customWidth="1"/>
    <col min="6418" max="6418" width="9.85546875" style="145" customWidth="1"/>
    <col min="6419" max="6419" width="10.5703125" style="145" customWidth="1"/>
    <col min="6420" max="6420" width="12.140625" style="145" customWidth="1"/>
    <col min="6421" max="6421" width="11.140625" style="145" customWidth="1"/>
    <col min="6422" max="6422" width="11.5703125" style="145" bestFit="1" customWidth="1"/>
    <col min="6423" max="6423" width="12" style="145" bestFit="1" customWidth="1"/>
    <col min="6424" max="6424" width="16.28515625" style="145" bestFit="1" customWidth="1"/>
    <col min="6425" max="6425" width="13.42578125" style="145" customWidth="1"/>
    <col min="6426" max="6426" width="14.42578125" style="145" customWidth="1"/>
    <col min="6427" max="6427" width="18.7109375" style="145" bestFit="1" customWidth="1"/>
    <col min="6428" max="6428" width="7.85546875" style="145" customWidth="1"/>
    <col min="6429" max="6429" width="9.85546875" style="145" customWidth="1"/>
    <col min="6430" max="6431" width="11" style="145" bestFit="1" customWidth="1"/>
    <col min="6432" max="6432" width="11.140625" style="145" bestFit="1" customWidth="1"/>
    <col min="6433" max="6655" width="12.42578125" style="145"/>
    <col min="6656" max="6656" width="6.7109375" style="145" customWidth="1"/>
    <col min="6657" max="6657" width="25.28515625" style="145" customWidth="1"/>
    <col min="6658" max="6658" width="10" style="145" customWidth="1"/>
    <col min="6659" max="6660" width="7.5703125" style="145" customWidth="1"/>
    <col min="6661" max="6661" width="9" style="145" customWidth="1"/>
    <col min="6662" max="6662" width="7.140625" style="145" customWidth="1"/>
    <col min="6663" max="6663" width="10.5703125" style="145" bestFit="1" customWidth="1"/>
    <col min="6664" max="6664" width="9.85546875" style="145" customWidth="1"/>
    <col min="6665" max="6665" width="7.7109375" style="145" customWidth="1"/>
    <col min="6666" max="6666" width="9.85546875" style="145" customWidth="1"/>
    <col min="6667" max="6667" width="7.42578125" style="145" bestFit="1" customWidth="1"/>
    <col min="6668" max="6668" width="9.85546875" style="145" customWidth="1"/>
    <col min="6669" max="6669" width="8.85546875" style="145" customWidth="1"/>
    <col min="6670" max="6670" width="11.140625" style="145" bestFit="1" customWidth="1"/>
    <col min="6671" max="6672" width="9" style="145" customWidth="1"/>
    <col min="6673" max="6673" width="9.140625" style="145" customWidth="1"/>
    <col min="6674" max="6674" width="9.85546875" style="145" customWidth="1"/>
    <col min="6675" max="6675" width="10.5703125" style="145" customWidth="1"/>
    <col min="6676" max="6676" width="12.140625" style="145" customWidth="1"/>
    <col min="6677" max="6677" width="11.140625" style="145" customWidth="1"/>
    <col min="6678" max="6678" width="11.5703125" style="145" bestFit="1" customWidth="1"/>
    <col min="6679" max="6679" width="12" style="145" bestFit="1" customWidth="1"/>
    <col min="6680" max="6680" width="16.28515625" style="145" bestFit="1" customWidth="1"/>
    <col min="6681" max="6681" width="13.42578125" style="145" customWidth="1"/>
    <col min="6682" max="6682" width="14.42578125" style="145" customWidth="1"/>
    <col min="6683" max="6683" width="18.7109375" style="145" bestFit="1" customWidth="1"/>
    <col min="6684" max="6684" width="7.85546875" style="145" customWidth="1"/>
    <col min="6685" max="6685" width="9.85546875" style="145" customWidth="1"/>
    <col min="6686" max="6687" width="11" style="145" bestFit="1" customWidth="1"/>
    <col min="6688" max="6688" width="11.140625" style="145" bestFit="1" customWidth="1"/>
    <col min="6689" max="6911" width="12.42578125" style="145"/>
    <col min="6912" max="6912" width="6.7109375" style="145" customWidth="1"/>
    <col min="6913" max="6913" width="25.28515625" style="145" customWidth="1"/>
    <col min="6914" max="6914" width="10" style="145" customWidth="1"/>
    <col min="6915" max="6916" width="7.5703125" style="145" customWidth="1"/>
    <col min="6917" max="6917" width="9" style="145" customWidth="1"/>
    <col min="6918" max="6918" width="7.140625" style="145" customWidth="1"/>
    <col min="6919" max="6919" width="10.5703125" style="145" bestFit="1" customWidth="1"/>
    <col min="6920" max="6920" width="9.85546875" style="145" customWidth="1"/>
    <col min="6921" max="6921" width="7.7109375" style="145" customWidth="1"/>
    <col min="6922" max="6922" width="9.85546875" style="145" customWidth="1"/>
    <col min="6923" max="6923" width="7.42578125" style="145" bestFit="1" customWidth="1"/>
    <col min="6924" max="6924" width="9.85546875" style="145" customWidth="1"/>
    <col min="6925" max="6925" width="8.85546875" style="145" customWidth="1"/>
    <col min="6926" max="6926" width="11.140625" style="145" bestFit="1" customWidth="1"/>
    <col min="6927" max="6928" width="9" style="145" customWidth="1"/>
    <col min="6929" max="6929" width="9.140625" style="145" customWidth="1"/>
    <col min="6930" max="6930" width="9.85546875" style="145" customWidth="1"/>
    <col min="6931" max="6931" width="10.5703125" style="145" customWidth="1"/>
    <col min="6932" max="6932" width="12.140625" style="145" customWidth="1"/>
    <col min="6933" max="6933" width="11.140625" style="145" customWidth="1"/>
    <col min="6934" max="6934" width="11.5703125" style="145" bestFit="1" customWidth="1"/>
    <col min="6935" max="6935" width="12" style="145" bestFit="1" customWidth="1"/>
    <col min="6936" max="6936" width="16.28515625" style="145" bestFit="1" customWidth="1"/>
    <col min="6937" max="6937" width="13.42578125" style="145" customWidth="1"/>
    <col min="6938" max="6938" width="14.42578125" style="145" customWidth="1"/>
    <col min="6939" max="6939" width="18.7109375" style="145" bestFit="1" customWidth="1"/>
    <col min="6940" max="6940" width="7.85546875" style="145" customWidth="1"/>
    <col min="6941" max="6941" width="9.85546875" style="145" customWidth="1"/>
    <col min="6942" max="6943" width="11" style="145" bestFit="1" customWidth="1"/>
    <col min="6944" max="6944" width="11.140625" style="145" bestFit="1" customWidth="1"/>
    <col min="6945" max="7167" width="12.42578125" style="145"/>
    <col min="7168" max="7168" width="6.7109375" style="145" customWidth="1"/>
    <col min="7169" max="7169" width="25.28515625" style="145" customWidth="1"/>
    <col min="7170" max="7170" width="10" style="145" customWidth="1"/>
    <col min="7171" max="7172" width="7.5703125" style="145" customWidth="1"/>
    <col min="7173" max="7173" width="9" style="145" customWidth="1"/>
    <col min="7174" max="7174" width="7.140625" style="145" customWidth="1"/>
    <col min="7175" max="7175" width="10.5703125" style="145" bestFit="1" customWidth="1"/>
    <col min="7176" max="7176" width="9.85546875" style="145" customWidth="1"/>
    <col min="7177" max="7177" width="7.7109375" style="145" customWidth="1"/>
    <col min="7178" max="7178" width="9.85546875" style="145" customWidth="1"/>
    <col min="7179" max="7179" width="7.42578125" style="145" bestFit="1" customWidth="1"/>
    <col min="7180" max="7180" width="9.85546875" style="145" customWidth="1"/>
    <col min="7181" max="7181" width="8.85546875" style="145" customWidth="1"/>
    <col min="7182" max="7182" width="11.140625" style="145" bestFit="1" customWidth="1"/>
    <col min="7183" max="7184" width="9" style="145" customWidth="1"/>
    <col min="7185" max="7185" width="9.140625" style="145" customWidth="1"/>
    <col min="7186" max="7186" width="9.85546875" style="145" customWidth="1"/>
    <col min="7187" max="7187" width="10.5703125" style="145" customWidth="1"/>
    <col min="7188" max="7188" width="12.140625" style="145" customWidth="1"/>
    <col min="7189" max="7189" width="11.140625" style="145" customWidth="1"/>
    <col min="7190" max="7190" width="11.5703125" style="145" bestFit="1" customWidth="1"/>
    <col min="7191" max="7191" width="12" style="145" bestFit="1" customWidth="1"/>
    <col min="7192" max="7192" width="16.28515625" style="145" bestFit="1" customWidth="1"/>
    <col min="7193" max="7193" width="13.42578125" style="145" customWidth="1"/>
    <col min="7194" max="7194" width="14.42578125" style="145" customWidth="1"/>
    <col min="7195" max="7195" width="18.7109375" style="145" bestFit="1" customWidth="1"/>
    <col min="7196" max="7196" width="7.85546875" style="145" customWidth="1"/>
    <col min="7197" max="7197" width="9.85546875" style="145" customWidth="1"/>
    <col min="7198" max="7199" width="11" style="145" bestFit="1" customWidth="1"/>
    <col min="7200" max="7200" width="11.140625" style="145" bestFit="1" customWidth="1"/>
    <col min="7201" max="7423" width="12.42578125" style="145"/>
    <col min="7424" max="7424" width="6.7109375" style="145" customWidth="1"/>
    <col min="7425" max="7425" width="25.28515625" style="145" customWidth="1"/>
    <col min="7426" max="7426" width="10" style="145" customWidth="1"/>
    <col min="7427" max="7428" width="7.5703125" style="145" customWidth="1"/>
    <col min="7429" max="7429" width="9" style="145" customWidth="1"/>
    <col min="7430" max="7430" width="7.140625" style="145" customWidth="1"/>
    <col min="7431" max="7431" width="10.5703125" style="145" bestFit="1" customWidth="1"/>
    <col min="7432" max="7432" width="9.85546875" style="145" customWidth="1"/>
    <col min="7433" max="7433" width="7.7109375" style="145" customWidth="1"/>
    <col min="7434" max="7434" width="9.85546875" style="145" customWidth="1"/>
    <col min="7435" max="7435" width="7.42578125" style="145" bestFit="1" customWidth="1"/>
    <col min="7436" max="7436" width="9.85546875" style="145" customWidth="1"/>
    <col min="7437" max="7437" width="8.85546875" style="145" customWidth="1"/>
    <col min="7438" max="7438" width="11.140625" style="145" bestFit="1" customWidth="1"/>
    <col min="7439" max="7440" width="9" style="145" customWidth="1"/>
    <col min="7441" max="7441" width="9.140625" style="145" customWidth="1"/>
    <col min="7442" max="7442" width="9.85546875" style="145" customWidth="1"/>
    <col min="7443" max="7443" width="10.5703125" style="145" customWidth="1"/>
    <col min="7444" max="7444" width="12.140625" style="145" customWidth="1"/>
    <col min="7445" max="7445" width="11.140625" style="145" customWidth="1"/>
    <col min="7446" max="7446" width="11.5703125" style="145" bestFit="1" customWidth="1"/>
    <col min="7447" max="7447" width="12" style="145" bestFit="1" customWidth="1"/>
    <col min="7448" max="7448" width="16.28515625" style="145" bestFit="1" customWidth="1"/>
    <col min="7449" max="7449" width="13.42578125" style="145" customWidth="1"/>
    <col min="7450" max="7450" width="14.42578125" style="145" customWidth="1"/>
    <col min="7451" max="7451" width="18.7109375" style="145" bestFit="1" customWidth="1"/>
    <col min="7452" max="7452" width="7.85546875" style="145" customWidth="1"/>
    <col min="7453" max="7453" width="9.85546875" style="145" customWidth="1"/>
    <col min="7454" max="7455" width="11" style="145" bestFit="1" customWidth="1"/>
    <col min="7456" max="7456" width="11.140625" style="145" bestFit="1" customWidth="1"/>
    <col min="7457" max="7679" width="12.42578125" style="145"/>
    <col min="7680" max="7680" width="6.7109375" style="145" customWidth="1"/>
    <col min="7681" max="7681" width="25.28515625" style="145" customWidth="1"/>
    <col min="7682" max="7682" width="10" style="145" customWidth="1"/>
    <col min="7683" max="7684" width="7.5703125" style="145" customWidth="1"/>
    <col min="7685" max="7685" width="9" style="145" customWidth="1"/>
    <col min="7686" max="7686" width="7.140625" style="145" customWidth="1"/>
    <col min="7687" max="7687" width="10.5703125" style="145" bestFit="1" customWidth="1"/>
    <col min="7688" max="7688" width="9.85546875" style="145" customWidth="1"/>
    <col min="7689" max="7689" width="7.7109375" style="145" customWidth="1"/>
    <col min="7690" max="7690" width="9.85546875" style="145" customWidth="1"/>
    <col min="7691" max="7691" width="7.42578125" style="145" bestFit="1" customWidth="1"/>
    <col min="7692" max="7692" width="9.85546875" style="145" customWidth="1"/>
    <col min="7693" max="7693" width="8.85546875" style="145" customWidth="1"/>
    <col min="7694" max="7694" width="11.140625" style="145" bestFit="1" customWidth="1"/>
    <col min="7695" max="7696" width="9" style="145" customWidth="1"/>
    <col min="7697" max="7697" width="9.140625" style="145" customWidth="1"/>
    <col min="7698" max="7698" width="9.85546875" style="145" customWidth="1"/>
    <col min="7699" max="7699" width="10.5703125" style="145" customWidth="1"/>
    <col min="7700" max="7700" width="12.140625" style="145" customWidth="1"/>
    <col min="7701" max="7701" width="11.140625" style="145" customWidth="1"/>
    <col min="7702" max="7702" width="11.5703125" style="145" bestFit="1" customWidth="1"/>
    <col min="7703" max="7703" width="12" style="145" bestFit="1" customWidth="1"/>
    <col min="7704" max="7704" width="16.28515625" style="145" bestFit="1" customWidth="1"/>
    <col min="7705" max="7705" width="13.42578125" style="145" customWidth="1"/>
    <col min="7706" max="7706" width="14.42578125" style="145" customWidth="1"/>
    <col min="7707" max="7707" width="18.7109375" style="145" bestFit="1" customWidth="1"/>
    <col min="7708" max="7708" width="7.85546875" style="145" customWidth="1"/>
    <col min="7709" max="7709" width="9.85546875" style="145" customWidth="1"/>
    <col min="7710" max="7711" width="11" style="145" bestFit="1" customWidth="1"/>
    <col min="7712" max="7712" width="11.140625" style="145" bestFit="1" customWidth="1"/>
    <col min="7713" max="7935" width="12.42578125" style="145"/>
    <col min="7936" max="7936" width="6.7109375" style="145" customWidth="1"/>
    <col min="7937" max="7937" width="25.28515625" style="145" customWidth="1"/>
    <col min="7938" max="7938" width="10" style="145" customWidth="1"/>
    <col min="7939" max="7940" width="7.5703125" style="145" customWidth="1"/>
    <col min="7941" max="7941" width="9" style="145" customWidth="1"/>
    <col min="7942" max="7942" width="7.140625" style="145" customWidth="1"/>
    <col min="7943" max="7943" width="10.5703125" style="145" bestFit="1" customWidth="1"/>
    <col min="7944" max="7944" width="9.85546875" style="145" customWidth="1"/>
    <col min="7945" max="7945" width="7.7109375" style="145" customWidth="1"/>
    <col min="7946" max="7946" width="9.85546875" style="145" customWidth="1"/>
    <col min="7947" max="7947" width="7.42578125" style="145" bestFit="1" customWidth="1"/>
    <col min="7948" max="7948" width="9.85546875" style="145" customWidth="1"/>
    <col min="7949" max="7949" width="8.85546875" style="145" customWidth="1"/>
    <col min="7950" max="7950" width="11.140625" style="145" bestFit="1" customWidth="1"/>
    <col min="7951" max="7952" width="9" style="145" customWidth="1"/>
    <col min="7953" max="7953" width="9.140625" style="145" customWidth="1"/>
    <col min="7954" max="7954" width="9.85546875" style="145" customWidth="1"/>
    <col min="7955" max="7955" width="10.5703125" style="145" customWidth="1"/>
    <col min="7956" max="7956" width="12.140625" style="145" customWidth="1"/>
    <col min="7957" max="7957" width="11.140625" style="145" customWidth="1"/>
    <col min="7958" max="7958" width="11.5703125" style="145" bestFit="1" customWidth="1"/>
    <col min="7959" max="7959" width="12" style="145" bestFit="1" customWidth="1"/>
    <col min="7960" max="7960" width="16.28515625" style="145" bestFit="1" customWidth="1"/>
    <col min="7961" max="7961" width="13.42578125" style="145" customWidth="1"/>
    <col min="7962" max="7962" width="14.42578125" style="145" customWidth="1"/>
    <col min="7963" max="7963" width="18.7109375" style="145" bestFit="1" customWidth="1"/>
    <col min="7964" max="7964" width="7.85546875" style="145" customWidth="1"/>
    <col min="7965" max="7965" width="9.85546875" style="145" customWidth="1"/>
    <col min="7966" max="7967" width="11" style="145" bestFit="1" customWidth="1"/>
    <col min="7968" max="7968" width="11.140625" style="145" bestFit="1" customWidth="1"/>
    <col min="7969" max="8191" width="12.42578125" style="145"/>
    <col min="8192" max="8192" width="6.7109375" style="145" customWidth="1"/>
    <col min="8193" max="8193" width="25.28515625" style="145" customWidth="1"/>
    <col min="8194" max="8194" width="10" style="145" customWidth="1"/>
    <col min="8195" max="8196" width="7.5703125" style="145" customWidth="1"/>
    <col min="8197" max="8197" width="9" style="145" customWidth="1"/>
    <col min="8198" max="8198" width="7.140625" style="145" customWidth="1"/>
    <col min="8199" max="8199" width="10.5703125" style="145" bestFit="1" customWidth="1"/>
    <col min="8200" max="8200" width="9.85546875" style="145" customWidth="1"/>
    <col min="8201" max="8201" width="7.7109375" style="145" customWidth="1"/>
    <col min="8202" max="8202" width="9.85546875" style="145" customWidth="1"/>
    <col min="8203" max="8203" width="7.42578125" style="145" bestFit="1" customWidth="1"/>
    <col min="8204" max="8204" width="9.85546875" style="145" customWidth="1"/>
    <col min="8205" max="8205" width="8.85546875" style="145" customWidth="1"/>
    <col min="8206" max="8206" width="11.140625" style="145" bestFit="1" customWidth="1"/>
    <col min="8207" max="8208" width="9" style="145" customWidth="1"/>
    <col min="8209" max="8209" width="9.140625" style="145" customWidth="1"/>
    <col min="8210" max="8210" width="9.85546875" style="145" customWidth="1"/>
    <col min="8211" max="8211" width="10.5703125" style="145" customWidth="1"/>
    <col min="8212" max="8212" width="12.140625" style="145" customWidth="1"/>
    <col min="8213" max="8213" width="11.140625" style="145" customWidth="1"/>
    <col min="8214" max="8214" width="11.5703125" style="145" bestFit="1" customWidth="1"/>
    <col min="8215" max="8215" width="12" style="145" bestFit="1" customWidth="1"/>
    <col min="8216" max="8216" width="16.28515625" style="145" bestFit="1" customWidth="1"/>
    <col min="8217" max="8217" width="13.42578125" style="145" customWidth="1"/>
    <col min="8218" max="8218" width="14.42578125" style="145" customWidth="1"/>
    <col min="8219" max="8219" width="18.7109375" style="145" bestFit="1" customWidth="1"/>
    <col min="8220" max="8220" width="7.85546875" style="145" customWidth="1"/>
    <col min="8221" max="8221" width="9.85546875" style="145" customWidth="1"/>
    <col min="8222" max="8223" width="11" style="145" bestFit="1" customWidth="1"/>
    <col min="8224" max="8224" width="11.140625" style="145" bestFit="1" customWidth="1"/>
    <col min="8225" max="8447" width="12.42578125" style="145"/>
    <col min="8448" max="8448" width="6.7109375" style="145" customWidth="1"/>
    <col min="8449" max="8449" width="25.28515625" style="145" customWidth="1"/>
    <col min="8450" max="8450" width="10" style="145" customWidth="1"/>
    <col min="8451" max="8452" width="7.5703125" style="145" customWidth="1"/>
    <col min="8453" max="8453" width="9" style="145" customWidth="1"/>
    <col min="8454" max="8454" width="7.140625" style="145" customWidth="1"/>
    <col min="8455" max="8455" width="10.5703125" style="145" bestFit="1" customWidth="1"/>
    <col min="8456" max="8456" width="9.85546875" style="145" customWidth="1"/>
    <col min="8457" max="8457" width="7.7109375" style="145" customWidth="1"/>
    <col min="8458" max="8458" width="9.85546875" style="145" customWidth="1"/>
    <col min="8459" max="8459" width="7.42578125" style="145" bestFit="1" customWidth="1"/>
    <col min="8460" max="8460" width="9.85546875" style="145" customWidth="1"/>
    <col min="8461" max="8461" width="8.85546875" style="145" customWidth="1"/>
    <col min="8462" max="8462" width="11.140625" style="145" bestFit="1" customWidth="1"/>
    <col min="8463" max="8464" width="9" style="145" customWidth="1"/>
    <col min="8465" max="8465" width="9.140625" style="145" customWidth="1"/>
    <col min="8466" max="8466" width="9.85546875" style="145" customWidth="1"/>
    <col min="8467" max="8467" width="10.5703125" style="145" customWidth="1"/>
    <col min="8468" max="8468" width="12.140625" style="145" customWidth="1"/>
    <col min="8469" max="8469" width="11.140625" style="145" customWidth="1"/>
    <col min="8470" max="8470" width="11.5703125" style="145" bestFit="1" customWidth="1"/>
    <col min="8471" max="8471" width="12" style="145" bestFit="1" customWidth="1"/>
    <col min="8472" max="8472" width="16.28515625" style="145" bestFit="1" customWidth="1"/>
    <col min="8473" max="8473" width="13.42578125" style="145" customWidth="1"/>
    <col min="8474" max="8474" width="14.42578125" style="145" customWidth="1"/>
    <col min="8475" max="8475" width="18.7109375" style="145" bestFit="1" customWidth="1"/>
    <col min="8476" max="8476" width="7.85546875" style="145" customWidth="1"/>
    <col min="8477" max="8477" width="9.85546875" style="145" customWidth="1"/>
    <col min="8478" max="8479" width="11" style="145" bestFit="1" customWidth="1"/>
    <col min="8480" max="8480" width="11.140625" style="145" bestFit="1" customWidth="1"/>
    <col min="8481" max="8703" width="12.42578125" style="145"/>
    <col min="8704" max="8704" width="6.7109375" style="145" customWidth="1"/>
    <col min="8705" max="8705" width="25.28515625" style="145" customWidth="1"/>
    <col min="8706" max="8706" width="10" style="145" customWidth="1"/>
    <col min="8707" max="8708" width="7.5703125" style="145" customWidth="1"/>
    <col min="8709" max="8709" width="9" style="145" customWidth="1"/>
    <col min="8710" max="8710" width="7.140625" style="145" customWidth="1"/>
    <col min="8711" max="8711" width="10.5703125" style="145" bestFit="1" customWidth="1"/>
    <col min="8712" max="8712" width="9.85546875" style="145" customWidth="1"/>
    <col min="8713" max="8713" width="7.7109375" style="145" customWidth="1"/>
    <col min="8714" max="8714" width="9.85546875" style="145" customWidth="1"/>
    <col min="8715" max="8715" width="7.42578125" style="145" bestFit="1" customWidth="1"/>
    <col min="8716" max="8716" width="9.85546875" style="145" customWidth="1"/>
    <col min="8717" max="8717" width="8.85546875" style="145" customWidth="1"/>
    <col min="8718" max="8718" width="11.140625" style="145" bestFit="1" customWidth="1"/>
    <col min="8719" max="8720" width="9" style="145" customWidth="1"/>
    <col min="8721" max="8721" width="9.140625" style="145" customWidth="1"/>
    <col min="8722" max="8722" width="9.85546875" style="145" customWidth="1"/>
    <col min="8723" max="8723" width="10.5703125" style="145" customWidth="1"/>
    <col min="8724" max="8724" width="12.140625" style="145" customWidth="1"/>
    <col min="8725" max="8725" width="11.140625" style="145" customWidth="1"/>
    <col min="8726" max="8726" width="11.5703125" style="145" bestFit="1" customWidth="1"/>
    <col min="8727" max="8727" width="12" style="145" bestFit="1" customWidth="1"/>
    <col min="8728" max="8728" width="16.28515625" style="145" bestFit="1" customWidth="1"/>
    <col min="8729" max="8729" width="13.42578125" style="145" customWidth="1"/>
    <col min="8730" max="8730" width="14.42578125" style="145" customWidth="1"/>
    <col min="8731" max="8731" width="18.7109375" style="145" bestFit="1" customWidth="1"/>
    <col min="8732" max="8732" width="7.85546875" style="145" customWidth="1"/>
    <col min="8733" max="8733" width="9.85546875" style="145" customWidth="1"/>
    <col min="8734" max="8735" width="11" style="145" bestFit="1" customWidth="1"/>
    <col min="8736" max="8736" width="11.140625" style="145" bestFit="1" customWidth="1"/>
    <col min="8737" max="8959" width="12.42578125" style="145"/>
    <col min="8960" max="8960" width="6.7109375" style="145" customWidth="1"/>
    <col min="8961" max="8961" width="25.28515625" style="145" customWidth="1"/>
    <col min="8962" max="8962" width="10" style="145" customWidth="1"/>
    <col min="8963" max="8964" width="7.5703125" style="145" customWidth="1"/>
    <col min="8965" max="8965" width="9" style="145" customWidth="1"/>
    <col min="8966" max="8966" width="7.140625" style="145" customWidth="1"/>
    <col min="8967" max="8967" width="10.5703125" style="145" bestFit="1" customWidth="1"/>
    <col min="8968" max="8968" width="9.85546875" style="145" customWidth="1"/>
    <col min="8969" max="8969" width="7.7109375" style="145" customWidth="1"/>
    <col min="8970" max="8970" width="9.85546875" style="145" customWidth="1"/>
    <col min="8971" max="8971" width="7.42578125" style="145" bestFit="1" customWidth="1"/>
    <col min="8972" max="8972" width="9.85546875" style="145" customWidth="1"/>
    <col min="8973" max="8973" width="8.85546875" style="145" customWidth="1"/>
    <col min="8974" max="8974" width="11.140625" style="145" bestFit="1" customWidth="1"/>
    <col min="8975" max="8976" width="9" style="145" customWidth="1"/>
    <col min="8977" max="8977" width="9.140625" style="145" customWidth="1"/>
    <col min="8978" max="8978" width="9.85546875" style="145" customWidth="1"/>
    <col min="8979" max="8979" width="10.5703125" style="145" customWidth="1"/>
    <col min="8980" max="8980" width="12.140625" style="145" customWidth="1"/>
    <col min="8981" max="8981" width="11.140625" style="145" customWidth="1"/>
    <col min="8982" max="8982" width="11.5703125" style="145" bestFit="1" customWidth="1"/>
    <col min="8983" max="8983" width="12" style="145" bestFit="1" customWidth="1"/>
    <col min="8984" max="8984" width="16.28515625" style="145" bestFit="1" customWidth="1"/>
    <col min="8985" max="8985" width="13.42578125" style="145" customWidth="1"/>
    <col min="8986" max="8986" width="14.42578125" style="145" customWidth="1"/>
    <col min="8987" max="8987" width="18.7109375" style="145" bestFit="1" customWidth="1"/>
    <col min="8988" max="8988" width="7.85546875" style="145" customWidth="1"/>
    <col min="8989" max="8989" width="9.85546875" style="145" customWidth="1"/>
    <col min="8990" max="8991" width="11" style="145" bestFit="1" customWidth="1"/>
    <col min="8992" max="8992" width="11.140625" style="145" bestFit="1" customWidth="1"/>
    <col min="8993" max="9215" width="12.42578125" style="145"/>
    <col min="9216" max="9216" width="6.7109375" style="145" customWidth="1"/>
    <col min="9217" max="9217" width="25.28515625" style="145" customWidth="1"/>
    <col min="9218" max="9218" width="10" style="145" customWidth="1"/>
    <col min="9219" max="9220" width="7.5703125" style="145" customWidth="1"/>
    <col min="9221" max="9221" width="9" style="145" customWidth="1"/>
    <col min="9222" max="9222" width="7.140625" style="145" customWidth="1"/>
    <col min="9223" max="9223" width="10.5703125" style="145" bestFit="1" customWidth="1"/>
    <col min="9224" max="9224" width="9.85546875" style="145" customWidth="1"/>
    <col min="9225" max="9225" width="7.7109375" style="145" customWidth="1"/>
    <col min="9226" max="9226" width="9.85546875" style="145" customWidth="1"/>
    <col min="9227" max="9227" width="7.42578125" style="145" bestFit="1" customWidth="1"/>
    <col min="9228" max="9228" width="9.85546875" style="145" customWidth="1"/>
    <col min="9229" max="9229" width="8.85546875" style="145" customWidth="1"/>
    <col min="9230" max="9230" width="11.140625" style="145" bestFit="1" customWidth="1"/>
    <col min="9231" max="9232" width="9" style="145" customWidth="1"/>
    <col min="9233" max="9233" width="9.140625" style="145" customWidth="1"/>
    <col min="9234" max="9234" width="9.85546875" style="145" customWidth="1"/>
    <col min="9235" max="9235" width="10.5703125" style="145" customWidth="1"/>
    <col min="9236" max="9236" width="12.140625" style="145" customWidth="1"/>
    <col min="9237" max="9237" width="11.140625" style="145" customWidth="1"/>
    <col min="9238" max="9238" width="11.5703125" style="145" bestFit="1" customWidth="1"/>
    <col min="9239" max="9239" width="12" style="145" bestFit="1" customWidth="1"/>
    <col min="9240" max="9240" width="16.28515625" style="145" bestFit="1" customWidth="1"/>
    <col min="9241" max="9241" width="13.42578125" style="145" customWidth="1"/>
    <col min="9242" max="9242" width="14.42578125" style="145" customWidth="1"/>
    <col min="9243" max="9243" width="18.7109375" style="145" bestFit="1" customWidth="1"/>
    <col min="9244" max="9244" width="7.85546875" style="145" customWidth="1"/>
    <col min="9245" max="9245" width="9.85546875" style="145" customWidth="1"/>
    <col min="9246" max="9247" width="11" style="145" bestFit="1" customWidth="1"/>
    <col min="9248" max="9248" width="11.140625" style="145" bestFit="1" customWidth="1"/>
    <col min="9249" max="9471" width="12.42578125" style="145"/>
    <col min="9472" max="9472" width="6.7109375" style="145" customWidth="1"/>
    <col min="9473" max="9473" width="25.28515625" style="145" customWidth="1"/>
    <col min="9474" max="9474" width="10" style="145" customWidth="1"/>
    <col min="9475" max="9476" width="7.5703125" style="145" customWidth="1"/>
    <col min="9477" max="9477" width="9" style="145" customWidth="1"/>
    <col min="9478" max="9478" width="7.140625" style="145" customWidth="1"/>
    <col min="9479" max="9479" width="10.5703125" style="145" bestFit="1" customWidth="1"/>
    <col min="9480" max="9480" width="9.85546875" style="145" customWidth="1"/>
    <col min="9481" max="9481" width="7.7109375" style="145" customWidth="1"/>
    <col min="9482" max="9482" width="9.85546875" style="145" customWidth="1"/>
    <col min="9483" max="9483" width="7.42578125" style="145" bestFit="1" customWidth="1"/>
    <col min="9484" max="9484" width="9.85546875" style="145" customWidth="1"/>
    <col min="9485" max="9485" width="8.85546875" style="145" customWidth="1"/>
    <col min="9486" max="9486" width="11.140625" style="145" bestFit="1" customWidth="1"/>
    <col min="9487" max="9488" width="9" style="145" customWidth="1"/>
    <col min="9489" max="9489" width="9.140625" style="145" customWidth="1"/>
    <col min="9490" max="9490" width="9.85546875" style="145" customWidth="1"/>
    <col min="9491" max="9491" width="10.5703125" style="145" customWidth="1"/>
    <col min="9492" max="9492" width="12.140625" style="145" customWidth="1"/>
    <col min="9493" max="9493" width="11.140625" style="145" customWidth="1"/>
    <col min="9494" max="9494" width="11.5703125" style="145" bestFit="1" customWidth="1"/>
    <col min="9495" max="9495" width="12" style="145" bestFit="1" customWidth="1"/>
    <col min="9496" max="9496" width="16.28515625" style="145" bestFit="1" customWidth="1"/>
    <col min="9497" max="9497" width="13.42578125" style="145" customWidth="1"/>
    <col min="9498" max="9498" width="14.42578125" style="145" customWidth="1"/>
    <col min="9499" max="9499" width="18.7109375" style="145" bestFit="1" customWidth="1"/>
    <col min="9500" max="9500" width="7.85546875" style="145" customWidth="1"/>
    <col min="9501" max="9501" width="9.85546875" style="145" customWidth="1"/>
    <col min="9502" max="9503" width="11" style="145" bestFit="1" customWidth="1"/>
    <col min="9504" max="9504" width="11.140625" style="145" bestFit="1" customWidth="1"/>
    <col min="9505" max="9727" width="12.42578125" style="145"/>
    <col min="9728" max="9728" width="6.7109375" style="145" customWidth="1"/>
    <col min="9729" max="9729" width="25.28515625" style="145" customWidth="1"/>
    <col min="9730" max="9730" width="10" style="145" customWidth="1"/>
    <col min="9731" max="9732" width="7.5703125" style="145" customWidth="1"/>
    <col min="9733" max="9733" width="9" style="145" customWidth="1"/>
    <col min="9734" max="9734" width="7.140625" style="145" customWidth="1"/>
    <col min="9735" max="9735" width="10.5703125" style="145" bestFit="1" customWidth="1"/>
    <col min="9736" max="9736" width="9.85546875" style="145" customWidth="1"/>
    <col min="9737" max="9737" width="7.7109375" style="145" customWidth="1"/>
    <col min="9738" max="9738" width="9.85546875" style="145" customWidth="1"/>
    <col min="9739" max="9739" width="7.42578125" style="145" bestFit="1" customWidth="1"/>
    <col min="9740" max="9740" width="9.85546875" style="145" customWidth="1"/>
    <col min="9741" max="9741" width="8.85546875" style="145" customWidth="1"/>
    <col min="9742" max="9742" width="11.140625" style="145" bestFit="1" customWidth="1"/>
    <col min="9743" max="9744" width="9" style="145" customWidth="1"/>
    <col min="9745" max="9745" width="9.140625" style="145" customWidth="1"/>
    <col min="9746" max="9746" width="9.85546875" style="145" customWidth="1"/>
    <col min="9747" max="9747" width="10.5703125" style="145" customWidth="1"/>
    <col min="9748" max="9748" width="12.140625" style="145" customWidth="1"/>
    <col min="9749" max="9749" width="11.140625" style="145" customWidth="1"/>
    <col min="9750" max="9750" width="11.5703125" style="145" bestFit="1" customWidth="1"/>
    <col min="9751" max="9751" width="12" style="145" bestFit="1" customWidth="1"/>
    <col min="9752" max="9752" width="16.28515625" style="145" bestFit="1" customWidth="1"/>
    <col min="9753" max="9753" width="13.42578125" style="145" customWidth="1"/>
    <col min="9754" max="9754" width="14.42578125" style="145" customWidth="1"/>
    <col min="9755" max="9755" width="18.7109375" style="145" bestFit="1" customWidth="1"/>
    <col min="9756" max="9756" width="7.85546875" style="145" customWidth="1"/>
    <col min="9757" max="9757" width="9.85546875" style="145" customWidth="1"/>
    <col min="9758" max="9759" width="11" style="145" bestFit="1" customWidth="1"/>
    <col min="9760" max="9760" width="11.140625" style="145" bestFit="1" customWidth="1"/>
    <col min="9761" max="9983" width="12.42578125" style="145"/>
    <col min="9984" max="9984" width="6.7109375" style="145" customWidth="1"/>
    <col min="9985" max="9985" width="25.28515625" style="145" customWidth="1"/>
    <col min="9986" max="9986" width="10" style="145" customWidth="1"/>
    <col min="9987" max="9988" width="7.5703125" style="145" customWidth="1"/>
    <col min="9989" max="9989" width="9" style="145" customWidth="1"/>
    <col min="9990" max="9990" width="7.140625" style="145" customWidth="1"/>
    <col min="9991" max="9991" width="10.5703125" style="145" bestFit="1" customWidth="1"/>
    <col min="9992" max="9992" width="9.85546875" style="145" customWidth="1"/>
    <col min="9993" max="9993" width="7.7109375" style="145" customWidth="1"/>
    <col min="9994" max="9994" width="9.85546875" style="145" customWidth="1"/>
    <col min="9995" max="9995" width="7.42578125" style="145" bestFit="1" customWidth="1"/>
    <col min="9996" max="9996" width="9.85546875" style="145" customWidth="1"/>
    <col min="9997" max="9997" width="8.85546875" style="145" customWidth="1"/>
    <col min="9998" max="9998" width="11.140625" style="145" bestFit="1" customWidth="1"/>
    <col min="9999" max="10000" width="9" style="145" customWidth="1"/>
    <col min="10001" max="10001" width="9.140625" style="145" customWidth="1"/>
    <col min="10002" max="10002" width="9.85546875" style="145" customWidth="1"/>
    <col min="10003" max="10003" width="10.5703125" style="145" customWidth="1"/>
    <col min="10004" max="10004" width="12.140625" style="145" customWidth="1"/>
    <col min="10005" max="10005" width="11.140625" style="145" customWidth="1"/>
    <col min="10006" max="10006" width="11.5703125" style="145" bestFit="1" customWidth="1"/>
    <col min="10007" max="10007" width="12" style="145" bestFit="1" customWidth="1"/>
    <col min="10008" max="10008" width="16.28515625" style="145" bestFit="1" customWidth="1"/>
    <col min="10009" max="10009" width="13.42578125" style="145" customWidth="1"/>
    <col min="10010" max="10010" width="14.42578125" style="145" customWidth="1"/>
    <col min="10011" max="10011" width="18.7109375" style="145" bestFit="1" customWidth="1"/>
    <col min="10012" max="10012" width="7.85546875" style="145" customWidth="1"/>
    <col min="10013" max="10013" width="9.85546875" style="145" customWidth="1"/>
    <col min="10014" max="10015" width="11" style="145" bestFit="1" customWidth="1"/>
    <col min="10016" max="10016" width="11.140625" style="145" bestFit="1" customWidth="1"/>
    <col min="10017" max="10239" width="12.42578125" style="145"/>
    <col min="10240" max="10240" width="6.7109375" style="145" customWidth="1"/>
    <col min="10241" max="10241" width="25.28515625" style="145" customWidth="1"/>
    <col min="10242" max="10242" width="10" style="145" customWidth="1"/>
    <col min="10243" max="10244" width="7.5703125" style="145" customWidth="1"/>
    <col min="10245" max="10245" width="9" style="145" customWidth="1"/>
    <col min="10246" max="10246" width="7.140625" style="145" customWidth="1"/>
    <col min="10247" max="10247" width="10.5703125" style="145" bestFit="1" customWidth="1"/>
    <col min="10248" max="10248" width="9.85546875" style="145" customWidth="1"/>
    <col min="10249" max="10249" width="7.7109375" style="145" customWidth="1"/>
    <col min="10250" max="10250" width="9.85546875" style="145" customWidth="1"/>
    <col min="10251" max="10251" width="7.42578125" style="145" bestFit="1" customWidth="1"/>
    <col min="10252" max="10252" width="9.85546875" style="145" customWidth="1"/>
    <col min="10253" max="10253" width="8.85546875" style="145" customWidth="1"/>
    <col min="10254" max="10254" width="11.140625" style="145" bestFit="1" customWidth="1"/>
    <col min="10255" max="10256" width="9" style="145" customWidth="1"/>
    <col min="10257" max="10257" width="9.140625" style="145" customWidth="1"/>
    <col min="10258" max="10258" width="9.85546875" style="145" customWidth="1"/>
    <col min="10259" max="10259" width="10.5703125" style="145" customWidth="1"/>
    <col min="10260" max="10260" width="12.140625" style="145" customWidth="1"/>
    <col min="10261" max="10261" width="11.140625" style="145" customWidth="1"/>
    <col min="10262" max="10262" width="11.5703125" style="145" bestFit="1" customWidth="1"/>
    <col min="10263" max="10263" width="12" style="145" bestFit="1" customWidth="1"/>
    <col min="10264" max="10264" width="16.28515625" style="145" bestFit="1" customWidth="1"/>
    <col min="10265" max="10265" width="13.42578125" style="145" customWidth="1"/>
    <col min="10266" max="10266" width="14.42578125" style="145" customWidth="1"/>
    <col min="10267" max="10267" width="18.7109375" style="145" bestFit="1" customWidth="1"/>
    <col min="10268" max="10268" width="7.85546875" style="145" customWidth="1"/>
    <col min="10269" max="10269" width="9.85546875" style="145" customWidth="1"/>
    <col min="10270" max="10271" width="11" style="145" bestFit="1" customWidth="1"/>
    <col min="10272" max="10272" width="11.140625" style="145" bestFit="1" customWidth="1"/>
    <col min="10273" max="10495" width="12.42578125" style="145"/>
    <col min="10496" max="10496" width="6.7109375" style="145" customWidth="1"/>
    <col min="10497" max="10497" width="25.28515625" style="145" customWidth="1"/>
    <col min="10498" max="10498" width="10" style="145" customWidth="1"/>
    <col min="10499" max="10500" width="7.5703125" style="145" customWidth="1"/>
    <col min="10501" max="10501" width="9" style="145" customWidth="1"/>
    <col min="10502" max="10502" width="7.140625" style="145" customWidth="1"/>
    <col min="10503" max="10503" width="10.5703125" style="145" bestFit="1" customWidth="1"/>
    <col min="10504" max="10504" width="9.85546875" style="145" customWidth="1"/>
    <col min="10505" max="10505" width="7.7109375" style="145" customWidth="1"/>
    <col min="10506" max="10506" width="9.85546875" style="145" customWidth="1"/>
    <col min="10507" max="10507" width="7.42578125" style="145" bestFit="1" customWidth="1"/>
    <col min="10508" max="10508" width="9.85546875" style="145" customWidth="1"/>
    <col min="10509" max="10509" width="8.85546875" style="145" customWidth="1"/>
    <col min="10510" max="10510" width="11.140625" style="145" bestFit="1" customWidth="1"/>
    <col min="10511" max="10512" width="9" style="145" customWidth="1"/>
    <col min="10513" max="10513" width="9.140625" style="145" customWidth="1"/>
    <col min="10514" max="10514" width="9.85546875" style="145" customWidth="1"/>
    <col min="10515" max="10515" width="10.5703125" style="145" customWidth="1"/>
    <col min="10516" max="10516" width="12.140625" style="145" customWidth="1"/>
    <col min="10517" max="10517" width="11.140625" style="145" customWidth="1"/>
    <col min="10518" max="10518" width="11.5703125" style="145" bestFit="1" customWidth="1"/>
    <col min="10519" max="10519" width="12" style="145" bestFit="1" customWidth="1"/>
    <col min="10520" max="10520" width="16.28515625" style="145" bestFit="1" customWidth="1"/>
    <col min="10521" max="10521" width="13.42578125" style="145" customWidth="1"/>
    <col min="10522" max="10522" width="14.42578125" style="145" customWidth="1"/>
    <col min="10523" max="10523" width="18.7109375" style="145" bestFit="1" customWidth="1"/>
    <col min="10524" max="10524" width="7.85546875" style="145" customWidth="1"/>
    <col min="10525" max="10525" width="9.85546875" style="145" customWidth="1"/>
    <col min="10526" max="10527" width="11" style="145" bestFit="1" customWidth="1"/>
    <col min="10528" max="10528" width="11.140625" style="145" bestFit="1" customWidth="1"/>
    <col min="10529" max="10751" width="12.42578125" style="145"/>
    <col min="10752" max="10752" width="6.7109375" style="145" customWidth="1"/>
    <col min="10753" max="10753" width="25.28515625" style="145" customWidth="1"/>
    <col min="10754" max="10754" width="10" style="145" customWidth="1"/>
    <col min="10755" max="10756" width="7.5703125" style="145" customWidth="1"/>
    <col min="10757" max="10757" width="9" style="145" customWidth="1"/>
    <col min="10758" max="10758" width="7.140625" style="145" customWidth="1"/>
    <col min="10759" max="10759" width="10.5703125" style="145" bestFit="1" customWidth="1"/>
    <col min="10760" max="10760" width="9.85546875" style="145" customWidth="1"/>
    <col min="10761" max="10761" width="7.7109375" style="145" customWidth="1"/>
    <col min="10762" max="10762" width="9.85546875" style="145" customWidth="1"/>
    <col min="10763" max="10763" width="7.42578125" style="145" bestFit="1" customWidth="1"/>
    <col min="10764" max="10764" width="9.85546875" style="145" customWidth="1"/>
    <col min="10765" max="10765" width="8.85546875" style="145" customWidth="1"/>
    <col min="10766" max="10766" width="11.140625" style="145" bestFit="1" customWidth="1"/>
    <col min="10767" max="10768" width="9" style="145" customWidth="1"/>
    <col min="10769" max="10769" width="9.140625" style="145" customWidth="1"/>
    <col min="10770" max="10770" width="9.85546875" style="145" customWidth="1"/>
    <col min="10771" max="10771" width="10.5703125" style="145" customWidth="1"/>
    <col min="10772" max="10772" width="12.140625" style="145" customWidth="1"/>
    <col min="10773" max="10773" width="11.140625" style="145" customWidth="1"/>
    <col min="10774" max="10774" width="11.5703125" style="145" bestFit="1" customWidth="1"/>
    <col min="10775" max="10775" width="12" style="145" bestFit="1" customWidth="1"/>
    <col min="10776" max="10776" width="16.28515625" style="145" bestFit="1" customWidth="1"/>
    <col min="10777" max="10777" width="13.42578125" style="145" customWidth="1"/>
    <col min="10778" max="10778" width="14.42578125" style="145" customWidth="1"/>
    <col min="10779" max="10779" width="18.7109375" style="145" bestFit="1" customWidth="1"/>
    <col min="10780" max="10780" width="7.85546875" style="145" customWidth="1"/>
    <col min="10781" max="10781" width="9.85546875" style="145" customWidth="1"/>
    <col min="10782" max="10783" width="11" style="145" bestFit="1" customWidth="1"/>
    <col min="10784" max="10784" width="11.140625" style="145" bestFit="1" customWidth="1"/>
    <col min="10785" max="11007" width="12.42578125" style="145"/>
    <col min="11008" max="11008" width="6.7109375" style="145" customWidth="1"/>
    <col min="11009" max="11009" width="25.28515625" style="145" customWidth="1"/>
    <col min="11010" max="11010" width="10" style="145" customWidth="1"/>
    <col min="11011" max="11012" width="7.5703125" style="145" customWidth="1"/>
    <col min="11013" max="11013" width="9" style="145" customWidth="1"/>
    <col min="11014" max="11014" width="7.140625" style="145" customWidth="1"/>
    <col min="11015" max="11015" width="10.5703125" style="145" bestFit="1" customWidth="1"/>
    <col min="11016" max="11016" width="9.85546875" style="145" customWidth="1"/>
    <col min="11017" max="11017" width="7.7109375" style="145" customWidth="1"/>
    <col min="11018" max="11018" width="9.85546875" style="145" customWidth="1"/>
    <col min="11019" max="11019" width="7.42578125" style="145" bestFit="1" customWidth="1"/>
    <col min="11020" max="11020" width="9.85546875" style="145" customWidth="1"/>
    <col min="11021" max="11021" width="8.85546875" style="145" customWidth="1"/>
    <col min="11022" max="11022" width="11.140625" style="145" bestFit="1" customWidth="1"/>
    <col min="11023" max="11024" width="9" style="145" customWidth="1"/>
    <col min="11025" max="11025" width="9.140625" style="145" customWidth="1"/>
    <col min="11026" max="11026" width="9.85546875" style="145" customWidth="1"/>
    <col min="11027" max="11027" width="10.5703125" style="145" customWidth="1"/>
    <col min="11028" max="11028" width="12.140625" style="145" customWidth="1"/>
    <col min="11029" max="11029" width="11.140625" style="145" customWidth="1"/>
    <col min="11030" max="11030" width="11.5703125" style="145" bestFit="1" customWidth="1"/>
    <col min="11031" max="11031" width="12" style="145" bestFit="1" customWidth="1"/>
    <col min="11032" max="11032" width="16.28515625" style="145" bestFit="1" customWidth="1"/>
    <col min="11033" max="11033" width="13.42578125" style="145" customWidth="1"/>
    <col min="11034" max="11034" width="14.42578125" style="145" customWidth="1"/>
    <col min="11035" max="11035" width="18.7109375" style="145" bestFit="1" customWidth="1"/>
    <col min="11036" max="11036" width="7.85546875" style="145" customWidth="1"/>
    <col min="11037" max="11037" width="9.85546875" style="145" customWidth="1"/>
    <col min="11038" max="11039" width="11" style="145" bestFit="1" customWidth="1"/>
    <col min="11040" max="11040" width="11.140625" style="145" bestFit="1" customWidth="1"/>
    <col min="11041" max="11263" width="12.42578125" style="145"/>
    <col min="11264" max="11264" width="6.7109375" style="145" customWidth="1"/>
    <col min="11265" max="11265" width="25.28515625" style="145" customWidth="1"/>
    <col min="11266" max="11266" width="10" style="145" customWidth="1"/>
    <col min="11267" max="11268" width="7.5703125" style="145" customWidth="1"/>
    <col min="11269" max="11269" width="9" style="145" customWidth="1"/>
    <col min="11270" max="11270" width="7.140625" style="145" customWidth="1"/>
    <col min="11271" max="11271" width="10.5703125" style="145" bestFit="1" customWidth="1"/>
    <col min="11272" max="11272" width="9.85546875" style="145" customWidth="1"/>
    <col min="11273" max="11273" width="7.7109375" style="145" customWidth="1"/>
    <col min="11274" max="11274" width="9.85546875" style="145" customWidth="1"/>
    <col min="11275" max="11275" width="7.42578125" style="145" bestFit="1" customWidth="1"/>
    <col min="11276" max="11276" width="9.85546875" style="145" customWidth="1"/>
    <col min="11277" max="11277" width="8.85546875" style="145" customWidth="1"/>
    <col min="11278" max="11278" width="11.140625" style="145" bestFit="1" customWidth="1"/>
    <col min="11279" max="11280" width="9" style="145" customWidth="1"/>
    <col min="11281" max="11281" width="9.140625" style="145" customWidth="1"/>
    <col min="11282" max="11282" width="9.85546875" style="145" customWidth="1"/>
    <col min="11283" max="11283" width="10.5703125" style="145" customWidth="1"/>
    <col min="11284" max="11284" width="12.140625" style="145" customWidth="1"/>
    <col min="11285" max="11285" width="11.140625" style="145" customWidth="1"/>
    <col min="11286" max="11286" width="11.5703125" style="145" bestFit="1" customWidth="1"/>
    <col min="11287" max="11287" width="12" style="145" bestFit="1" customWidth="1"/>
    <col min="11288" max="11288" width="16.28515625" style="145" bestFit="1" customWidth="1"/>
    <col min="11289" max="11289" width="13.42578125" style="145" customWidth="1"/>
    <col min="11290" max="11290" width="14.42578125" style="145" customWidth="1"/>
    <col min="11291" max="11291" width="18.7109375" style="145" bestFit="1" customWidth="1"/>
    <col min="11292" max="11292" width="7.85546875" style="145" customWidth="1"/>
    <col min="11293" max="11293" width="9.85546875" style="145" customWidth="1"/>
    <col min="11294" max="11295" width="11" style="145" bestFit="1" customWidth="1"/>
    <col min="11296" max="11296" width="11.140625" style="145" bestFit="1" customWidth="1"/>
    <col min="11297" max="11519" width="12.42578125" style="145"/>
    <col min="11520" max="11520" width="6.7109375" style="145" customWidth="1"/>
    <col min="11521" max="11521" width="25.28515625" style="145" customWidth="1"/>
    <col min="11522" max="11522" width="10" style="145" customWidth="1"/>
    <col min="11523" max="11524" width="7.5703125" style="145" customWidth="1"/>
    <col min="11525" max="11525" width="9" style="145" customWidth="1"/>
    <col min="11526" max="11526" width="7.140625" style="145" customWidth="1"/>
    <col min="11527" max="11527" width="10.5703125" style="145" bestFit="1" customWidth="1"/>
    <col min="11528" max="11528" width="9.85546875" style="145" customWidth="1"/>
    <col min="11529" max="11529" width="7.7109375" style="145" customWidth="1"/>
    <col min="11530" max="11530" width="9.85546875" style="145" customWidth="1"/>
    <col min="11531" max="11531" width="7.42578125" style="145" bestFit="1" customWidth="1"/>
    <col min="11532" max="11532" width="9.85546875" style="145" customWidth="1"/>
    <col min="11533" max="11533" width="8.85546875" style="145" customWidth="1"/>
    <col min="11534" max="11534" width="11.140625" style="145" bestFit="1" customWidth="1"/>
    <col min="11535" max="11536" width="9" style="145" customWidth="1"/>
    <col min="11537" max="11537" width="9.140625" style="145" customWidth="1"/>
    <col min="11538" max="11538" width="9.85546875" style="145" customWidth="1"/>
    <col min="11539" max="11539" width="10.5703125" style="145" customWidth="1"/>
    <col min="11540" max="11540" width="12.140625" style="145" customWidth="1"/>
    <col min="11541" max="11541" width="11.140625" style="145" customWidth="1"/>
    <col min="11542" max="11542" width="11.5703125" style="145" bestFit="1" customWidth="1"/>
    <col min="11543" max="11543" width="12" style="145" bestFit="1" customWidth="1"/>
    <col min="11544" max="11544" width="16.28515625" style="145" bestFit="1" customWidth="1"/>
    <col min="11545" max="11545" width="13.42578125" style="145" customWidth="1"/>
    <col min="11546" max="11546" width="14.42578125" style="145" customWidth="1"/>
    <col min="11547" max="11547" width="18.7109375" style="145" bestFit="1" customWidth="1"/>
    <col min="11548" max="11548" width="7.85546875" style="145" customWidth="1"/>
    <col min="11549" max="11549" width="9.85546875" style="145" customWidth="1"/>
    <col min="11550" max="11551" width="11" style="145" bestFit="1" customWidth="1"/>
    <col min="11552" max="11552" width="11.140625" style="145" bestFit="1" customWidth="1"/>
    <col min="11553" max="11775" width="12.42578125" style="145"/>
    <col min="11776" max="11776" width="6.7109375" style="145" customWidth="1"/>
    <col min="11777" max="11777" width="25.28515625" style="145" customWidth="1"/>
    <col min="11778" max="11778" width="10" style="145" customWidth="1"/>
    <col min="11779" max="11780" width="7.5703125" style="145" customWidth="1"/>
    <col min="11781" max="11781" width="9" style="145" customWidth="1"/>
    <col min="11782" max="11782" width="7.140625" style="145" customWidth="1"/>
    <col min="11783" max="11783" width="10.5703125" style="145" bestFit="1" customWidth="1"/>
    <col min="11784" max="11784" width="9.85546875" style="145" customWidth="1"/>
    <col min="11785" max="11785" width="7.7109375" style="145" customWidth="1"/>
    <col min="11786" max="11786" width="9.85546875" style="145" customWidth="1"/>
    <col min="11787" max="11787" width="7.42578125" style="145" bestFit="1" customWidth="1"/>
    <col min="11788" max="11788" width="9.85546875" style="145" customWidth="1"/>
    <col min="11789" max="11789" width="8.85546875" style="145" customWidth="1"/>
    <col min="11790" max="11790" width="11.140625" style="145" bestFit="1" customWidth="1"/>
    <col min="11791" max="11792" width="9" style="145" customWidth="1"/>
    <col min="11793" max="11793" width="9.140625" style="145" customWidth="1"/>
    <col min="11794" max="11794" width="9.85546875" style="145" customWidth="1"/>
    <col min="11795" max="11795" width="10.5703125" style="145" customWidth="1"/>
    <col min="11796" max="11796" width="12.140625" style="145" customWidth="1"/>
    <col min="11797" max="11797" width="11.140625" style="145" customWidth="1"/>
    <col min="11798" max="11798" width="11.5703125" style="145" bestFit="1" customWidth="1"/>
    <col min="11799" max="11799" width="12" style="145" bestFit="1" customWidth="1"/>
    <col min="11800" max="11800" width="16.28515625" style="145" bestFit="1" customWidth="1"/>
    <col min="11801" max="11801" width="13.42578125" style="145" customWidth="1"/>
    <col min="11802" max="11802" width="14.42578125" style="145" customWidth="1"/>
    <col min="11803" max="11803" width="18.7109375" style="145" bestFit="1" customWidth="1"/>
    <col min="11804" max="11804" width="7.85546875" style="145" customWidth="1"/>
    <col min="11805" max="11805" width="9.85546875" style="145" customWidth="1"/>
    <col min="11806" max="11807" width="11" style="145" bestFit="1" customWidth="1"/>
    <col min="11808" max="11808" width="11.140625" style="145" bestFit="1" customWidth="1"/>
    <col min="11809" max="12031" width="12.42578125" style="145"/>
    <col min="12032" max="12032" width="6.7109375" style="145" customWidth="1"/>
    <col min="12033" max="12033" width="25.28515625" style="145" customWidth="1"/>
    <col min="12034" max="12034" width="10" style="145" customWidth="1"/>
    <col min="12035" max="12036" width="7.5703125" style="145" customWidth="1"/>
    <col min="12037" max="12037" width="9" style="145" customWidth="1"/>
    <col min="12038" max="12038" width="7.140625" style="145" customWidth="1"/>
    <col min="12039" max="12039" width="10.5703125" style="145" bestFit="1" customWidth="1"/>
    <col min="12040" max="12040" width="9.85546875" style="145" customWidth="1"/>
    <col min="12041" max="12041" width="7.7109375" style="145" customWidth="1"/>
    <col min="12042" max="12042" width="9.85546875" style="145" customWidth="1"/>
    <col min="12043" max="12043" width="7.42578125" style="145" bestFit="1" customWidth="1"/>
    <col min="12044" max="12044" width="9.85546875" style="145" customWidth="1"/>
    <col min="12045" max="12045" width="8.85546875" style="145" customWidth="1"/>
    <col min="12046" max="12046" width="11.140625" style="145" bestFit="1" customWidth="1"/>
    <col min="12047" max="12048" width="9" style="145" customWidth="1"/>
    <col min="12049" max="12049" width="9.140625" style="145" customWidth="1"/>
    <col min="12050" max="12050" width="9.85546875" style="145" customWidth="1"/>
    <col min="12051" max="12051" width="10.5703125" style="145" customWidth="1"/>
    <col min="12052" max="12052" width="12.140625" style="145" customWidth="1"/>
    <col min="12053" max="12053" width="11.140625" style="145" customWidth="1"/>
    <col min="12054" max="12054" width="11.5703125" style="145" bestFit="1" customWidth="1"/>
    <col min="12055" max="12055" width="12" style="145" bestFit="1" customWidth="1"/>
    <col min="12056" max="12056" width="16.28515625" style="145" bestFit="1" customWidth="1"/>
    <col min="12057" max="12057" width="13.42578125" style="145" customWidth="1"/>
    <col min="12058" max="12058" width="14.42578125" style="145" customWidth="1"/>
    <col min="12059" max="12059" width="18.7109375" style="145" bestFit="1" customWidth="1"/>
    <col min="12060" max="12060" width="7.85546875" style="145" customWidth="1"/>
    <col min="12061" max="12061" width="9.85546875" style="145" customWidth="1"/>
    <col min="12062" max="12063" width="11" style="145" bestFit="1" customWidth="1"/>
    <col min="12064" max="12064" width="11.140625" style="145" bestFit="1" customWidth="1"/>
    <col min="12065" max="12287" width="12.42578125" style="145"/>
    <col min="12288" max="12288" width="6.7109375" style="145" customWidth="1"/>
    <col min="12289" max="12289" width="25.28515625" style="145" customWidth="1"/>
    <col min="12290" max="12290" width="10" style="145" customWidth="1"/>
    <col min="12291" max="12292" width="7.5703125" style="145" customWidth="1"/>
    <col min="12293" max="12293" width="9" style="145" customWidth="1"/>
    <col min="12294" max="12294" width="7.140625" style="145" customWidth="1"/>
    <col min="12295" max="12295" width="10.5703125" style="145" bestFit="1" customWidth="1"/>
    <col min="12296" max="12296" width="9.85546875" style="145" customWidth="1"/>
    <col min="12297" max="12297" width="7.7109375" style="145" customWidth="1"/>
    <col min="12298" max="12298" width="9.85546875" style="145" customWidth="1"/>
    <col min="12299" max="12299" width="7.42578125" style="145" bestFit="1" customWidth="1"/>
    <col min="12300" max="12300" width="9.85546875" style="145" customWidth="1"/>
    <col min="12301" max="12301" width="8.85546875" style="145" customWidth="1"/>
    <col min="12302" max="12302" width="11.140625" style="145" bestFit="1" customWidth="1"/>
    <col min="12303" max="12304" width="9" style="145" customWidth="1"/>
    <col min="12305" max="12305" width="9.140625" style="145" customWidth="1"/>
    <col min="12306" max="12306" width="9.85546875" style="145" customWidth="1"/>
    <col min="12307" max="12307" width="10.5703125" style="145" customWidth="1"/>
    <col min="12308" max="12308" width="12.140625" style="145" customWidth="1"/>
    <col min="12309" max="12309" width="11.140625" style="145" customWidth="1"/>
    <col min="12310" max="12310" width="11.5703125" style="145" bestFit="1" customWidth="1"/>
    <col min="12311" max="12311" width="12" style="145" bestFit="1" customWidth="1"/>
    <col min="12312" max="12312" width="16.28515625" style="145" bestFit="1" customWidth="1"/>
    <col min="12313" max="12313" width="13.42578125" style="145" customWidth="1"/>
    <col min="12314" max="12314" width="14.42578125" style="145" customWidth="1"/>
    <col min="12315" max="12315" width="18.7109375" style="145" bestFit="1" customWidth="1"/>
    <col min="12316" max="12316" width="7.85546875" style="145" customWidth="1"/>
    <col min="12317" max="12317" width="9.85546875" style="145" customWidth="1"/>
    <col min="12318" max="12319" width="11" style="145" bestFit="1" customWidth="1"/>
    <col min="12320" max="12320" width="11.140625" style="145" bestFit="1" customWidth="1"/>
    <col min="12321" max="12543" width="12.42578125" style="145"/>
    <col min="12544" max="12544" width="6.7109375" style="145" customWidth="1"/>
    <col min="12545" max="12545" width="25.28515625" style="145" customWidth="1"/>
    <col min="12546" max="12546" width="10" style="145" customWidth="1"/>
    <col min="12547" max="12548" width="7.5703125" style="145" customWidth="1"/>
    <col min="12549" max="12549" width="9" style="145" customWidth="1"/>
    <col min="12550" max="12550" width="7.140625" style="145" customWidth="1"/>
    <col min="12551" max="12551" width="10.5703125" style="145" bestFit="1" customWidth="1"/>
    <col min="12552" max="12552" width="9.85546875" style="145" customWidth="1"/>
    <col min="12553" max="12553" width="7.7109375" style="145" customWidth="1"/>
    <col min="12554" max="12554" width="9.85546875" style="145" customWidth="1"/>
    <col min="12555" max="12555" width="7.42578125" style="145" bestFit="1" customWidth="1"/>
    <col min="12556" max="12556" width="9.85546875" style="145" customWidth="1"/>
    <col min="12557" max="12557" width="8.85546875" style="145" customWidth="1"/>
    <col min="12558" max="12558" width="11.140625" style="145" bestFit="1" customWidth="1"/>
    <col min="12559" max="12560" width="9" style="145" customWidth="1"/>
    <col min="12561" max="12561" width="9.140625" style="145" customWidth="1"/>
    <col min="12562" max="12562" width="9.85546875" style="145" customWidth="1"/>
    <col min="12563" max="12563" width="10.5703125" style="145" customWidth="1"/>
    <col min="12564" max="12564" width="12.140625" style="145" customWidth="1"/>
    <col min="12565" max="12565" width="11.140625" style="145" customWidth="1"/>
    <col min="12566" max="12566" width="11.5703125" style="145" bestFit="1" customWidth="1"/>
    <col min="12567" max="12567" width="12" style="145" bestFit="1" customWidth="1"/>
    <col min="12568" max="12568" width="16.28515625" style="145" bestFit="1" customWidth="1"/>
    <col min="12569" max="12569" width="13.42578125" style="145" customWidth="1"/>
    <col min="12570" max="12570" width="14.42578125" style="145" customWidth="1"/>
    <col min="12571" max="12571" width="18.7109375" style="145" bestFit="1" customWidth="1"/>
    <col min="12572" max="12572" width="7.85546875" style="145" customWidth="1"/>
    <col min="12573" max="12573" width="9.85546875" style="145" customWidth="1"/>
    <col min="12574" max="12575" width="11" style="145" bestFit="1" customWidth="1"/>
    <col min="12576" max="12576" width="11.140625" style="145" bestFit="1" customWidth="1"/>
    <col min="12577" max="12799" width="12.42578125" style="145"/>
    <col min="12800" max="12800" width="6.7109375" style="145" customWidth="1"/>
    <col min="12801" max="12801" width="25.28515625" style="145" customWidth="1"/>
    <col min="12802" max="12802" width="10" style="145" customWidth="1"/>
    <col min="12803" max="12804" width="7.5703125" style="145" customWidth="1"/>
    <col min="12805" max="12805" width="9" style="145" customWidth="1"/>
    <col min="12806" max="12806" width="7.140625" style="145" customWidth="1"/>
    <col min="12807" max="12807" width="10.5703125" style="145" bestFit="1" customWidth="1"/>
    <col min="12808" max="12808" width="9.85546875" style="145" customWidth="1"/>
    <col min="12809" max="12809" width="7.7109375" style="145" customWidth="1"/>
    <col min="12810" max="12810" width="9.85546875" style="145" customWidth="1"/>
    <col min="12811" max="12811" width="7.42578125" style="145" bestFit="1" customWidth="1"/>
    <col min="12812" max="12812" width="9.85546875" style="145" customWidth="1"/>
    <col min="12813" max="12813" width="8.85546875" style="145" customWidth="1"/>
    <col min="12814" max="12814" width="11.140625" style="145" bestFit="1" customWidth="1"/>
    <col min="12815" max="12816" width="9" style="145" customWidth="1"/>
    <col min="12817" max="12817" width="9.140625" style="145" customWidth="1"/>
    <col min="12818" max="12818" width="9.85546875" style="145" customWidth="1"/>
    <col min="12819" max="12819" width="10.5703125" style="145" customWidth="1"/>
    <col min="12820" max="12820" width="12.140625" style="145" customWidth="1"/>
    <col min="12821" max="12821" width="11.140625" style="145" customWidth="1"/>
    <col min="12822" max="12822" width="11.5703125" style="145" bestFit="1" customWidth="1"/>
    <col min="12823" max="12823" width="12" style="145" bestFit="1" customWidth="1"/>
    <col min="12824" max="12824" width="16.28515625" style="145" bestFit="1" customWidth="1"/>
    <col min="12825" max="12825" width="13.42578125" style="145" customWidth="1"/>
    <col min="12826" max="12826" width="14.42578125" style="145" customWidth="1"/>
    <col min="12827" max="12827" width="18.7109375" style="145" bestFit="1" customWidth="1"/>
    <col min="12828" max="12828" width="7.85546875" style="145" customWidth="1"/>
    <col min="12829" max="12829" width="9.85546875" style="145" customWidth="1"/>
    <col min="12830" max="12831" width="11" style="145" bestFit="1" customWidth="1"/>
    <col min="12832" max="12832" width="11.140625" style="145" bestFit="1" customWidth="1"/>
    <col min="12833" max="13055" width="12.42578125" style="145"/>
    <col min="13056" max="13056" width="6.7109375" style="145" customWidth="1"/>
    <col min="13057" max="13057" width="25.28515625" style="145" customWidth="1"/>
    <col min="13058" max="13058" width="10" style="145" customWidth="1"/>
    <col min="13059" max="13060" width="7.5703125" style="145" customWidth="1"/>
    <col min="13061" max="13061" width="9" style="145" customWidth="1"/>
    <col min="13062" max="13062" width="7.140625" style="145" customWidth="1"/>
    <col min="13063" max="13063" width="10.5703125" style="145" bestFit="1" customWidth="1"/>
    <col min="13064" max="13064" width="9.85546875" style="145" customWidth="1"/>
    <col min="13065" max="13065" width="7.7109375" style="145" customWidth="1"/>
    <col min="13066" max="13066" width="9.85546875" style="145" customWidth="1"/>
    <col min="13067" max="13067" width="7.42578125" style="145" bestFit="1" customWidth="1"/>
    <col min="13068" max="13068" width="9.85546875" style="145" customWidth="1"/>
    <col min="13069" max="13069" width="8.85546875" style="145" customWidth="1"/>
    <col min="13070" max="13070" width="11.140625" style="145" bestFit="1" customWidth="1"/>
    <col min="13071" max="13072" width="9" style="145" customWidth="1"/>
    <col min="13073" max="13073" width="9.140625" style="145" customWidth="1"/>
    <col min="13074" max="13074" width="9.85546875" style="145" customWidth="1"/>
    <col min="13075" max="13075" width="10.5703125" style="145" customWidth="1"/>
    <col min="13076" max="13076" width="12.140625" style="145" customWidth="1"/>
    <col min="13077" max="13077" width="11.140625" style="145" customWidth="1"/>
    <col min="13078" max="13078" width="11.5703125" style="145" bestFit="1" customWidth="1"/>
    <col min="13079" max="13079" width="12" style="145" bestFit="1" customWidth="1"/>
    <col min="13080" max="13080" width="16.28515625" style="145" bestFit="1" customWidth="1"/>
    <col min="13081" max="13081" width="13.42578125" style="145" customWidth="1"/>
    <col min="13082" max="13082" width="14.42578125" style="145" customWidth="1"/>
    <col min="13083" max="13083" width="18.7109375" style="145" bestFit="1" customWidth="1"/>
    <col min="13084" max="13084" width="7.85546875" style="145" customWidth="1"/>
    <col min="13085" max="13085" width="9.85546875" style="145" customWidth="1"/>
    <col min="13086" max="13087" width="11" style="145" bestFit="1" customWidth="1"/>
    <col min="13088" max="13088" width="11.140625" style="145" bestFit="1" customWidth="1"/>
    <col min="13089" max="13311" width="12.42578125" style="145"/>
    <col min="13312" max="13312" width="6.7109375" style="145" customWidth="1"/>
    <col min="13313" max="13313" width="25.28515625" style="145" customWidth="1"/>
    <col min="13314" max="13314" width="10" style="145" customWidth="1"/>
    <col min="13315" max="13316" width="7.5703125" style="145" customWidth="1"/>
    <col min="13317" max="13317" width="9" style="145" customWidth="1"/>
    <col min="13318" max="13318" width="7.140625" style="145" customWidth="1"/>
    <col min="13319" max="13319" width="10.5703125" style="145" bestFit="1" customWidth="1"/>
    <col min="13320" max="13320" width="9.85546875" style="145" customWidth="1"/>
    <col min="13321" max="13321" width="7.7109375" style="145" customWidth="1"/>
    <col min="13322" max="13322" width="9.85546875" style="145" customWidth="1"/>
    <col min="13323" max="13323" width="7.42578125" style="145" bestFit="1" customWidth="1"/>
    <col min="13324" max="13324" width="9.85546875" style="145" customWidth="1"/>
    <col min="13325" max="13325" width="8.85546875" style="145" customWidth="1"/>
    <col min="13326" max="13326" width="11.140625" style="145" bestFit="1" customWidth="1"/>
    <col min="13327" max="13328" width="9" style="145" customWidth="1"/>
    <col min="13329" max="13329" width="9.140625" style="145" customWidth="1"/>
    <col min="13330" max="13330" width="9.85546875" style="145" customWidth="1"/>
    <col min="13331" max="13331" width="10.5703125" style="145" customWidth="1"/>
    <col min="13332" max="13332" width="12.140625" style="145" customWidth="1"/>
    <col min="13333" max="13333" width="11.140625" style="145" customWidth="1"/>
    <col min="13334" max="13334" width="11.5703125" style="145" bestFit="1" customWidth="1"/>
    <col min="13335" max="13335" width="12" style="145" bestFit="1" customWidth="1"/>
    <col min="13336" max="13336" width="16.28515625" style="145" bestFit="1" customWidth="1"/>
    <col min="13337" max="13337" width="13.42578125" style="145" customWidth="1"/>
    <col min="13338" max="13338" width="14.42578125" style="145" customWidth="1"/>
    <col min="13339" max="13339" width="18.7109375" style="145" bestFit="1" customWidth="1"/>
    <col min="13340" max="13340" width="7.85546875" style="145" customWidth="1"/>
    <col min="13341" max="13341" width="9.85546875" style="145" customWidth="1"/>
    <col min="13342" max="13343" width="11" style="145" bestFit="1" customWidth="1"/>
    <col min="13344" max="13344" width="11.140625" style="145" bestFit="1" customWidth="1"/>
    <col min="13345" max="13567" width="12.42578125" style="145"/>
    <col min="13568" max="13568" width="6.7109375" style="145" customWidth="1"/>
    <col min="13569" max="13569" width="25.28515625" style="145" customWidth="1"/>
    <col min="13570" max="13570" width="10" style="145" customWidth="1"/>
    <col min="13571" max="13572" width="7.5703125" style="145" customWidth="1"/>
    <col min="13573" max="13573" width="9" style="145" customWidth="1"/>
    <col min="13574" max="13574" width="7.140625" style="145" customWidth="1"/>
    <col min="13575" max="13575" width="10.5703125" style="145" bestFit="1" customWidth="1"/>
    <col min="13576" max="13576" width="9.85546875" style="145" customWidth="1"/>
    <col min="13577" max="13577" width="7.7109375" style="145" customWidth="1"/>
    <col min="13578" max="13578" width="9.85546875" style="145" customWidth="1"/>
    <col min="13579" max="13579" width="7.42578125" style="145" bestFit="1" customWidth="1"/>
    <col min="13580" max="13580" width="9.85546875" style="145" customWidth="1"/>
    <col min="13581" max="13581" width="8.85546875" style="145" customWidth="1"/>
    <col min="13582" max="13582" width="11.140625" style="145" bestFit="1" customWidth="1"/>
    <col min="13583" max="13584" width="9" style="145" customWidth="1"/>
    <col min="13585" max="13585" width="9.140625" style="145" customWidth="1"/>
    <col min="13586" max="13586" width="9.85546875" style="145" customWidth="1"/>
    <col min="13587" max="13587" width="10.5703125" style="145" customWidth="1"/>
    <col min="13588" max="13588" width="12.140625" style="145" customWidth="1"/>
    <col min="13589" max="13589" width="11.140625" style="145" customWidth="1"/>
    <col min="13590" max="13590" width="11.5703125" style="145" bestFit="1" customWidth="1"/>
    <col min="13591" max="13591" width="12" style="145" bestFit="1" customWidth="1"/>
    <col min="13592" max="13592" width="16.28515625" style="145" bestFit="1" customWidth="1"/>
    <col min="13593" max="13593" width="13.42578125" style="145" customWidth="1"/>
    <col min="13594" max="13594" width="14.42578125" style="145" customWidth="1"/>
    <col min="13595" max="13595" width="18.7109375" style="145" bestFit="1" customWidth="1"/>
    <col min="13596" max="13596" width="7.85546875" style="145" customWidth="1"/>
    <col min="13597" max="13597" width="9.85546875" style="145" customWidth="1"/>
    <col min="13598" max="13599" width="11" style="145" bestFit="1" customWidth="1"/>
    <col min="13600" max="13600" width="11.140625" style="145" bestFit="1" customWidth="1"/>
    <col min="13601" max="13823" width="12.42578125" style="145"/>
    <col min="13824" max="13824" width="6.7109375" style="145" customWidth="1"/>
    <col min="13825" max="13825" width="25.28515625" style="145" customWidth="1"/>
    <col min="13826" max="13826" width="10" style="145" customWidth="1"/>
    <col min="13827" max="13828" width="7.5703125" style="145" customWidth="1"/>
    <col min="13829" max="13829" width="9" style="145" customWidth="1"/>
    <col min="13830" max="13830" width="7.140625" style="145" customWidth="1"/>
    <col min="13831" max="13831" width="10.5703125" style="145" bestFit="1" customWidth="1"/>
    <col min="13832" max="13832" width="9.85546875" style="145" customWidth="1"/>
    <col min="13833" max="13833" width="7.7109375" style="145" customWidth="1"/>
    <col min="13834" max="13834" width="9.85546875" style="145" customWidth="1"/>
    <col min="13835" max="13835" width="7.42578125" style="145" bestFit="1" customWidth="1"/>
    <col min="13836" max="13836" width="9.85546875" style="145" customWidth="1"/>
    <col min="13837" max="13837" width="8.85546875" style="145" customWidth="1"/>
    <col min="13838" max="13838" width="11.140625" style="145" bestFit="1" customWidth="1"/>
    <col min="13839" max="13840" width="9" style="145" customWidth="1"/>
    <col min="13841" max="13841" width="9.140625" style="145" customWidth="1"/>
    <col min="13842" max="13842" width="9.85546875" style="145" customWidth="1"/>
    <col min="13843" max="13843" width="10.5703125" style="145" customWidth="1"/>
    <col min="13844" max="13844" width="12.140625" style="145" customWidth="1"/>
    <col min="13845" max="13845" width="11.140625" style="145" customWidth="1"/>
    <col min="13846" max="13846" width="11.5703125" style="145" bestFit="1" customWidth="1"/>
    <col min="13847" max="13847" width="12" style="145" bestFit="1" customWidth="1"/>
    <col min="13848" max="13848" width="16.28515625" style="145" bestFit="1" customWidth="1"/>
    <col min="13849" max="13849" width="13.42578125" style="145" customWidth="1"/>
    <col min="13850" max="13850" width="14.42578125" style="145" customWidth="1"/>
    <col min="13851" max="13851" width="18.7109375" style="145" bestFit="1" customWidth="1"/>
    <col min="13852" max="13852" width="7.85546875" style="145" customWidth="1"/>
    <col min="13853" max="13853" width="9.85546875" style="145" customWidth="1"/>
    <col min="13854" max="13855" width="11" style="145" bestFit="1" customWidth="1"/>
    <col min="13856" max="13856" width="11.140625" style="145" bestFit="1" customWidth="1"/>
    <col min="13857" max="14079" width="12.42578125" style="145"/>
    <col min="14080" max="14080" width="6.7109375" style="145" customWidth="1"/>
    <col min="14081" max="14081" width="25.28515625" style="145" customWidth="1"/>
    <col min="14082" max="14082" width="10" style="145" customWidth="1"/>
    <col min="14083" max="14084" width="7.5703125" style="145" customWidth="1"/>
    <col min="14085" max="14085" width="9" style="145" customWidth="1"/>
    <col min="14086" max="14086" width="7.140625" style="145" customWidth="1"/>
    <col min="14087" max="14087" width="10.5703125" style="145" bestFit="1" customWidth="1"/>
    <col min="14088" max="14088" width="9.85546875" style="145" customWidth="1"/>
    <col min="14089" max="14089" width="7.7109375" style="145" customWidth="1"/>
    <col min="14090" max="14090" width="9.85546875" style="145" customWidth="1"/>
    <col min="14091" max="14091" width="7.42578125" style="145" bestFit="1" customWidth="1"/>
    <col min="14092" max="14092" width="9.85546875" style="145" customWidth="1"/>
    <col min="14093" max="14093" width="8.85546875" style="145" customWidth="1"/>
    <col min="14094" max="14094" width="11.140625" style="145" bestFit="1" customWidth="1"/>
    <col min="14095" max="14096" width="9" style="145" customWidth="1"/>
    <col min="14097" max="14097" width="9.140625" style="145" customWidth="1"/>
    <col min="14098" max="14098" width="9.85546875" style="145" customWidth="1"/>
    <col min="14099" max="14099" width="10.5703125" style="145" customWidth="1"/>
    <col min="14100" max="14100" width="12.140625" style="145" customWidth="1"/>
    <col min="14101" max="14101" width="11.140625" style="145" customWidth="1"/>
    <col min="14102" max="14102" width="11.5703125" style="145" bestFit="1" customWidth="1"/>
    <col min="14103" max="14103" width="12" style="145" bestFit="1" customWidth="1"/>
    <col min="14104" max="14104" width="16.28515625" style="145" bestFit="1" customWidth="1"/>
    <col min="14105" max="14105" width="13.42578125" style="145" customWidth="1"/>
    <col min="14106" max="14106" width="14.42578125" style="145" customWidth="1"/>
    <col min="14107" max="14107" width="18.7109375" style="145" bestFit="1" customWidth="1"/>
    <col min="14108" max="14108" width="7.85546875" style="145" customWidth="1"/>
    <col min="14109" max="14109" width="9.85546875" style="145" customWidth="1"/>
    <col min="14110" max="14111" width="11" style="145" bestFit="1" customWidth="1"/>
    <col min="14112" max="14112" width="11.140625" style="145" bestFit="1" customWidth="1"/>
    <col min="14113" max="14335" width="12.42578125" style="145"/>
    <col min="14336" max="14336" width="6.7109375" style="145" customWidth="1"/>
    <col min="14337" max="14337" width="25.28515625" style="145" customWidth="1"/>
    <col min="14338" max="14338" width="10" style="145" customWidth="1"/>
    <col min="14339" max="14340" width="7.5703125" style="145" customWidth="1"/>
    <col min="14341" max="14341" width="9" style="145" customWidth="1"/>
    <col min="14342" max="14342" width="7.140625" style="145" customWidth="1"/>
    <col min="14343" max="14343" width="10.5703125" style="145" bestFit="1" customWidth="1"/>
    <col min="14344" max="14344" width="9.85546875" style="145" customWidth="1"/>
    <col min="14345" max="14345" width="7.7109375" style="145" customWidth="1"/>
    <col min="14346" max="14346" width="9.85546875" style="145" customWidth="1"/>
    <col min="14347" max="14347" width="7.42578125" style="145" bestFit="1" customWidth="1"/>
    <col min="14348" max="14348" width="9.85546875" style="145" customWidth="1"/>
    <col min="14349" max="14349" width="8.85546875" style="145" customWidth="1"/>
    <col min="14350" max="14350" width="11.140625" style="145" bestFit="1" customWidth="1"/>
    <col min="14351" max="14352" width="9" style="145" customWidth="1"/>
    <col min="14353" max="14353" width="9.140625" style="145" customWidth="1"/>
    <col min="14354" max="14354" width="9.85546875" style="145" customWidth="1"/>
    <col min="14355" max="14355" width="10.5703125" style="145" customWidth="1"/>
    <col min="14356" max="14356" width="12.140625" style="145" customWidth="1"/>
    <col min="14357" max="14357" width="11.140625" style="145" customWidth="1"/>
    <col min="14358" max="14358" width="11.5703125" style="145" bestFit="1" customWidth="1"/>
    <col min="14359" max="14359" width="12" style="145" bestFit="1" customWidth="1"/>
    <col min="14360" max="14360" width="16.28515625" style="145" bestFit="1" customWidth="1"/>
    <col min="14361" max="14361" width="13.42578125" style="145" customWidth="1"/>
    <col min="14362" max="14362" width="14.42578125" style="145" customWidth="1"/>
    <col min="14363" max="14363" width="18.7109375" style="145" bestFit="1" customWidth="1"/>
    <col min="14364" max="14364" width="7.85546875" style="145" customWidth="1"/>
    <col min="14365" max="14365" width="9.85546875" style="145" customWidth="1"/>
    <col min="14366" max="14367" width="11" style="145" bestFit="1" customWidth="1"/>
    <col min="14368" max="14368" width="11.140625" style="145" bestFit="1" customWidth="1"/>
    <col min="14369" max="14591" width="12.42578125" style="145"/>
    <col min="14592" max="14592" width="6.7109375" style="145" customWidth="1"/>
    <col min="14593" max="14593" width="25.28515625" style="145" customWidth="1"/>
    <col min="14594" max="14594" width="10" style="145" customWidth="1"/>
    <col min="14595" max="14596" width="7.5703125" style="145" customWidth="1"/>
    <col min="14597" max="14597" width="9" style="145" customWidth="1"/>
    <col min="14598" max="14598" width="7.140625" style="145" customWidth="1"/>
    <col min="14599" max="14599" width="10.5703125" style="145" bestFit="1" customWidth="1"/>
    <col min="14600" max="14600" width="9.85546875" style="145" customWidth="1"/>
    <col min="14601" max="14601" width="7.7109375" style="145" customWidth="1"/>
    <col min="14602" max="14602" width="9.85546875" style="145" customWidth="1"/>
    <col min="14603" max="14603" width="7.42578125" style="145" bestFit="1" customWidth="1"/>
    <col min="14604" max="14604" width="9.85546875" style="145" customWidth="1"/>
    <col min="14605" max="14605" width="8.85546875" style="145" customWidth="1"/>
    <col min="14606" max="14606" width="11.140625" style="145" bestFit="1" customWidth="1"/>
    <col min="14607" max="14608" width="9" style="145" customWidth="1"/>
    <col min="14609" max="14609" width="9.140625" style="145" customWidth="1"/>
    <col min="14610" max="14610" width="9.85546875" style="145" customWidth="1"/>
    <col min="14611" max="14611" width="10.5703125" style="145" customWidth="1"/>
    <col min="14612" max="14612" width="12.140625" style="145" customWidth="1"/>
    <col min="14613" max="14613" width="11.140625" style="145" customWidth="1"/>
    <col min="14614" max="14614" width="11.5703125" style="145" bestFit="1" customWidth="1"/>
    <col min="14615" max="14615" width="12" style="145" bestFit="1" customWidth="1"/>
    <col min="14616" max="14616" width="16.28515625" style="145" bestFit="1" customWidth="1"/>
    <col min="14617" max="14617" width="13.42578125" style="145" customWidth="1"/>
    <col min="14618" max="14618" width="14.42578125" style="145" customWidth="1"/>
    <col min="14619" max="14619" width="18.7109375" style="145" bestFit="1" customWidth="1"/>
    <col min="14620" max="14620" width="7.85546875" style="145" customWidth="1"/>
    <col min="14621" max="14621" width="9.85546875" style="145" customWidth="1"/>
    <col min="14622" max="14623" width="11" style="145" bestFit="1" customWidth="1"/>
    <col min="14624" max="14624" width="11.140625" style="145" bestFit="1" customWidth="1"/>
    <col min="14625" max="14847" width="12.42578125" style="145"/>
    <col min="14848" max="14848" width="6.7109375" style="145" customWidth="1"/>
    <col min="14849" max="14849" width="25.28515625" style="145" customWidth="1"/>
    <col min="14850" max="14850" width="10" style="145" customWidth="1"/>
    <col min="14851" max="14852" width="7.5703125" style="145" customWidth="1"/>
    <col min="14853" max="14853" width="9" style="145" customWidth="1"/>
    <col min="14854" max="14854" width="7.140625" style="145" customWidth="1"/>
    <col min="14855" max="14855" width="10.5703125" style="145" bestFit="1" customWidth="1"/>
    <col min="14856" max="14856" width="9.85546875" style="145" customWidth="1"/>
    <col min="14857" max="14857" width="7.7109375" style="145" customWidth="1"/>
    <col min="14858" max="14858" width="9.85546875" style="145" customWidth="1"/>
    <col min="14859" max="14859" width="7.42578125" style="145" bestFit="1" customWidth="1"/>
    <col min="14860" max="14860" width="9.85546875" style="145" customWidth="1"/>
    <col min="14861" max="14861" width="8.85546875" style="145" customWidth="1"/>
    <col min="14862" max="14862" width="11.140625" style="145" bestFit="1" customWidth="1"/>
    <col min="14863" max="14864" width="9" style="145" customWidth="1"/>
    <col min="14865" max="14865" width="9.140625" style="145" customWidth="1"/>
    <col min="14866" max="14866" width="9.85546875" style="145" customWidth="1"/>
    <col min="14867" max="14867" width="10.5703125" style="145" customWidth="1"/>
    <col min="14868" max="14868" width="12.140625" style="145" customWidth="1"/>
    <col min="14869" max="14869" width="11.140625" style="145" customWidth="1"/>
    <col min="14870" max="14870" width="11.5703125" style="145" bestFit="1" customWidth="1"/>
    <col min="14871" max="14871" width="12" style="145" bestFit="1" customWidth="1"/>
    <col min="14872" max="14872" width="16.28515625" style="145" bestFit="1" customWidth="1"/>
    <col min="14873" max="14873" width="13.42578125" style="145" customWidth="1"/>
    <col min="14874" max="14874" width="14.42578125" style="145" customWidth="1"/>
    <col min="14875" max="14875" width="18.7109375" style="145" bestFit="1" customWidth="1"/>
    <col min="14876" max="14876" width="7.85546875" style="145" customWidth="1"/>
    <col min="14877" max="14877" width="9.85546875" style="145" customWidth="1"/>
    <col min="14878" max="14879" width="11" style="145" bestFit="1" customWidth="1"/>
    <col min="14880" max="14880" width="11.140625" style="145" bestFit="1" customWidth="1"/>
    <col min="14881" max="15103" width="12.42578125" style="145"/>
    <col min="15104" max="15104" width="6.7109375" style="145" customWidth="1"/>
    <col min="15105" max="15105" width="25.28515625" style="145" customWidth="1"/>
    <col min="15106" max="15106" width="10" style="145" customWidth="1"/>
    <col min="15107" max="15108" width="7.5703125" style="145" customWidth="1"/>
    <col min="15109" max="15109" width="9" style="145" customWidth="1"/>
    <col min="15110" max="15110" width="7.140625" style="145" customWidth="1"/>
    <col min="15111" max="15111" width="10.5703125" style="145" bestFit="1" customWidth="1"/>
    <col min="15112" max="15112" width="9.85546875" style="145" customWidth="1"/>
    <col min="15113" max="15113" width="7.7109375" style="145" customWidth="1"/>
    <col min="15114" max="15114" width="9.85546875" style="145" customWidth="1"/>
    <col min="15115" max="15115" width="7.42578125" style="145" bestFit="1" customWidth="1"/>
    <col min="15116" max="15116" width="9.85546875" style="145" customWidth="1"/>
    <col min="15117" max="15117" width="8.85546875" style="145" customWidth="1"/>
    <col min="15118" max="15118" width="11.140625" style="145" bestFit="1" customWidth="1"/>
    <col min="15119" max="15120" width="9" style="145" customWidth="1"/>
    <col min="15121" max="15121" width="9.140625" style="145" customWidth="1"/>
    <col min="15122" max="15122" width="9.85546875" style="145" customWidth="1"/>
    <col min="15123" max="15123" width="10.5703125" style="145" customWidth="1"/>
    <col min="15124" max="15124" width="12.140625" style="145" customWidth="1"/>
    <col min="15125" max="15125" width="11.140625" style="145" customWidth="1"/>
    <col min="15126" max="15126" width="11.5703125" style="145" bestFit="1" customWidth="1"/>
    <col min="15127" max="15127" width="12" style="145" bestFit="1" customWidth="1"/>
    <col min="15128" max="15128" width="16.28515625" style="145" bestFit="1" customWidth="1"/>
    <col min="15129" max="15129" width="13.42578125" style="145" customWidth="1"/>
    <col min="15130" max="15130" width="14.42578125" style="145" customWidth="1"/>
    <col min="15131" max="15131" width="18.7109375" style="145" bestFit="1" customWidth="1"/>
    <col min="15132" max="15132" width="7.85546875" style="145" customWidth="1"/>
    <col min="15133" max="15133" width="9.85546875" style="145" customWidth="1"/>
    <col min="15134" max="15135" width="11" style="145" bestFit="1" customWidth="1"/>
    <col min="15136" max="15136" width="11.140625" style="145" bestFit="1" customWidth="1"/>
    <col min="15137" max="15359" width="12.42578125" style="145"/>
    <col min="15360" max="15360" width="6.7109375" style="145" customWidth="1"/>
    <col min="15361" max="15361" width="25.28515625" style="145" customWidth="1"/>
    <col min="15362" max="15362" width="10" style="145" customWidth="1"/>
    <col min="15363" max="15364" width="7.5703125" style="145" customWidth="1"/>
    <col min="15365" max="15365" width="9" style="145" customWidth="1"/>
    <col min="15366" max="15366" width="7.140625" style="145" customWidth="1"/>
    <col min="15367" max="15367" width="10.5703125" style="145" bestFit="1" customWidth="1"/>
    <col min="15368" max="15368" width="9.85546875" style="145" customWidth="1"/>
    <col min="15369" max="15369" width="7.7109375" style="145" customWidth="1"/>
    <col min="15370" max="15370" width="9.85546875" style="145" customWidth="1"/>
    <col min="15371" max="15371" width="7.42578125" style="145" bestFit="1" customWidth="1"/>
    <col min="15372" max="15372" width="9.85546875" style="145" customWidth="1"/>
    <col min="15373" max="15373" width="8.85546875" style="145" customWidth="1"/>
    <col min="15374" max="15374" width="11.140625" style="145" bestFit="1" customWidth="1"/>
    <col min="15375" max="15376" width="9" style="145" customWidth="1"/>
    <col min="15377" max="15377" width="9.140625" style="145" customWidth="1"/>
    <col min="15378" max="15378" width="9.85546875" style="145" customWidth="1"/>
    <col min="15379" max="15379" width="10.5703125" style="145" customWidth="1"/>
    <col min="15380" max="15380" width="12.140625" style="145" customWidth="1"/>
    <col min="15381" max="15381" width="11.140625" style="145" customWidth="1"/>
    <col min="15382" max="15382" width="11.5703125" style="145" bestFit="1" customWidth="1"/>
    <col min="15383" max="15383" width="12" style="145" bestFit="1" customWidth="1"/>
    <col min="15384" max="15384" width="16.28515625" style="145" bestFit="1" customWidth="1"/>
    <col min="15385" max="15385" width="13.42578125" style="145" customWidth="1"/>
    <col min="15386" max="15386" width="14.42578125" style="145" customWidth="1"/>
    <col min="15387" max="15387" width="18.7109375" style="145" bestFit="1" customWidth="1"/>
    <col min="15388" max="15388" width="7.85546875" style="145" customWidth="1"/>
    <col min="15389" max="15389" width="9.85546875" style="145" customWidth="1"/>
    <col min="15390" max="15391" width="11" style="145" bestFit="1" customWidth="1"/>
    <col min="15392" max="15392" width="11.140625" style="145" bestFit="1" customWidth="1"/>
    <col min="15393" max="15615" width="12.42578125" style="145"/>
    <col min="15616" max="15616" width="6.7109375" style="145" customWidth="1"/>
    <col min="15617" max="15617" width="25.28515625" style="145" customWidth="1"/>
    <col min="15618" max="15618" width="10" style="145" customWidth="1"/>
    <col min="15619" max="15620" width="7.5703125" style="145" customWidth="1"/>
    <col min="15621" max="15621" width="9" style="145" customWidth="1"/>
    <col min="15622" max="15622" width="7.140625" style="145" customWidth="1"/>
    <col min="15623" max="15623" width="10.5703125" style="145" bestFit="1" customWidth="1"/>
    <col min="15624" max="15624" width="9.85546875" style="145" customWidth="1"/>
    <col min="15625" max="15625" width="7.7109375" style="145" customWidth="1"/>
    <col min="15626" max="15626" width="9.85546875" style="145" customWidth="1"/>
    <col min="15627" max="15627" width="7.42578125" style="145" bestFit="1" customWidth="1"/>
    <col min="15628" max="15628" width="9.85546875" style="145" customWidth="1"/>
    <col min="15629" max="15629" width="8.85546875" style="145" customWidth="1"/>
    <col min="15630" max="15630" width="11.140625" style="145" bestFit="1" customWidth="1"/>
    <col min="15631" max="15632" width="9" style="145" customWidth="1"/>
    <col min="15633" max="15633" width="9.140625" style="145" customWidth="1"/>
    <col min="15634" max="15634" width="9.85546875" style="145" customWidth="1"/>
    <col min="15635" max="15635" width="10.5703125" style="145" customWidth="1"/>
    <col min="15636" max="15636" width="12.140625" style="145" customWidth="1"/>
    <col min="15637" max="15637" width="11.140625" style="145" customWidth="1"/>
    <col min="15638" max="15638" width="11.5703125" style="145" bestFit="1" customWidth="1"/>
    <col min="15639" max="15639" width="12" style="145" bestFit="1" customWidth="1"/>
    <col min="15640" max="15640" width="16.28515625" style="145" bestFit="1" customWidth="1"/>
    <col min="15641" max="15641" width="13.42578125" style="145" customWidth="1"/>
    <col min="15642" max="15642" width="14.42578125" style="145" customWidth="1"/>
    <col min="15643" max="15643" width="18.7109375" style="145" bestFit="1" customWidth="1"/>
    <col min="15644" max="15644" width="7.85546875" style="145" customWidth="1"/>
    <col min="15645" max="15645" width="9.85546875" style="145" customWidth="1"/>
    <col min="15646" max="15647" width="11" style="145" bestFit="1" customWidth="1"/>
    <col min="15648" max="15648" width="11.140625" style="145" bestFit="1" customWidth="1"/>
    <col min="15649" max="15871" width="12.42578125" style="145"/>
    <col min="15872" max="15872" width="6.7109375" style="145" customWidth="1"/>
    <col min="15873" max="15873" width="25.28515625" style="145" customWidth="1"/>
    <col min="15874" max="15874" width="10" style="145" customWidth="1"/>
    <col min="15875" max="15876" width="7.5703125" style="145" customWidth="1"/>
    <col min="15877" max="15877" width="9" style="145" customWidth="1"/>
    <col min="15878" max="15878" width="7.140625" style="145" customWidth="1"/>
    <col min="15879" max="15879" width="10.5703125" style="145" bestFit="1" customWidth="1"/>
    <col min="15880" max="15880" width="9.85546875" style="145" customWidth="1"/>
    <col min="15881" max="15881" width="7.7109375" style="145" customWidth="1"/>
    <col min="15882" max="15882" width="9.85546875" style="145" customWidth="1"/>
    <col min="15883" max="15883" width="7.42578125" style="145" bestFit="1" customWidth="1"/>
    <col min="15884" max="15884" width="9.85546875" style="145" customWidth="1"/>
    <col min="15885" max="15885" width="8.85546875" style="145" customWidth="1"/>
    <col min="15886" max="15886" width="11.140625" style="145" bestFit="1" customWidth="1"/>
    <col min="15887" max="15888" width="9" style="145" customWidth="1"/>
    <col min="15889" max="15889" width="9.140625" style="145" customWidth="1"/>
    <col min="15890" max="15890" width="9.85546875" style="145" customWidth="1"/>
    <col min="15891" max="15891" width="10.5703125" style="145" customWidth="1"/>
    <col min="15892" max="15892" width="12.140625" style="145" customWidth="1"/>
    <col min="15893" max="15893" width="11.140625" style="145" customWidth="1"/>
    <col min="15894" max="15894" width="11.5703125" style="145" bestFit="1" customWidth="1"/>
    <col min="15895" max="15895" width="12" style="145" bestFit="1" customWidth="1"/>
    <col min="15896" max="15896" width="16.28515625" style="145" bestFit="1" customWidth="1"/>
    <col min="15897" max="15897" width="13.42578125" style="145" customWidth="1"/>
    <col min="15898" max="15898" width="14.42578125" style="145" customWidth="1"/>
    <col min="15899" max="15899" width="18.7109375" style="145" bestFit="1" customWidth="1"/>
    <col min="15900" max="15900" width="7.85546875" style="145" customWidth="1"/>
    <col min="15901" max="15901" width="9.85546875" style="145" customWidth="1"/>
    <col min="15902" max="15903" width="11" style="145" bestFit="1" customWidth="1"/>
    <col min="15904" max="15904" width="11.140625" style="145" bestFit="1" customWidth="1"/>
    <col min="15905" max="16127" width="12.42578125" style="145"/>
    <col min="16128" max="16128" width="6.7109375" style="145" customWidth="1"/>
    <col min="16129" max="16129" width="25.28515625" style="145" customWidth="1"/>
    <col min="16130" max="16130" width="10" style="145" customWidth="1"/>
    <col min="16131" max="16132" width="7.5703125" style="145" customWidth="1"/>
    <col min="16133" max="16133" width="9" style="145" customWidth="1"/>
    <col min="16134" max="16134" width="7.140625" style="145" customWidth="1"/>
    <col min="16135" max="16135" width="10.5703125" style="145" bestFit="1" customWidth="1"/>
    <col min="16136" max="16136" width="9.85546875" style="145" customWidth="1"/>
    <col min="16137" max="16137" width="7.7109375" style="145" customWidth="1"/>
    <col min="16138" max="16138" width="9.85546875" style="145" customWidth="1"/>
    <col min="16139" max="16139" width="7.42578125" style="145" bestFit="1" customWidth="1"/>
    <col min="16140" max="16140" width="9.85546875" style="145" customWidth="1"/>
    <col min="16141" max="16141" width="8.85546875" style="145" customWidth="1"/>
    <col min="16142" max="16142" width="11.140625" style="145" bestFit="1" customWidth="1"/>
    <col min="16143" max="16144" width="9" style="145" customWidth="1"/>
    <col min="16145" max="16145" width="9.140625" style="145" customWidth="1"/>
    <col min="16146" max="16146" width="9.85546875" style="145" customWidth="1"/>
    <col min="16147" max="16147" width="10.5703125" style="145" customWidth="1"/>
    <col min="16148" max="16148" width="12.140625" style="145" customWidth="1"/>
    <col min="16149" max="16149" width="11.140625" style="145" customWidth="1"/>
    <col min="16150" max="16150" width="11.5703125" style="145" bestFit="1" customWidth="1"/>
    <col min="16151" max="16151" width="12" style="145" bestFit="1" customWidth="1"/>
    <col min="16152" max="16152" width="16.28515625" style="145" bestFit="1" customWidth="1"/>
    <col min="16153" max="16153" width="13.42578125" style="145" customWidth="1"/>
    <col min="16154" max="16154" width="14.42578125" style="145" customWidth="1"/>
    <col min="16155" max="16155" width="18.7109375" style="145" bestFit="1" customWidth="1"/>
    <col min="16156" max="16156" width="7.85546875" style="145" customWidth="1"/>
    <col min="16157" max="16157" width="9.85546875" style="145" customWidth="1"/>
    <col min="16158" max="16159" width="11" style="145" bestFit="1" customWidth="1"/>
    <col min="16160" max="16160" width="11.140625" style="145" bestFit="1" customWidth="1"/>
    <col min="16161" max="16384" width="12.42578125" style="145"/>
  </cols>
  <sheetData>
    <row r="1" spans="1:72" s="315" customFormat="1" ht="24">
      <c r="A1" s="553" t="s">
        <v>384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  <c r="S1" s="553"/>
      <c r="T1" s="553"/>
      <c r="U1" s="553"/>
      <c r="V1" s="553"/>
      <c r="W1" s="553"/>
      <c r="X1" s="553"/>
      <c r="Y1" s="553"/>
      <c r="Z1" s="553"/>
      <c r="AA1" s="553"/>
      <c r="AB1" s="553"/>
      <c r="AC1" s="553"/>
      <c r="AD1" s="553"/>
      <c r="AE1" s="553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2"/>
      <c r="BT1" s="142"/>
    </row>
    <row r="2" spans="1:72" ht="17.25" thickBot="1">
      <c r="B2" s="463"/>
      <c r="C2" s="463"/>
    </row>
    <row r="3" spans="1:72">
      <c r="A3" s="144" t="s">
        <v>383</v>
      </c>
      <c r="C3" s="147" t="s">
        <v>85</v>
      </c>
      <c r="D3" s="316"/>
      <c r="E3" s="317"/>
      <c r="F3" s="318">
        <v>1.2</v>
      </c>
      <c r="G3" s="147" t="s">
        <v>86</v>
      </c>
      <c r="H3" s="319"/>
      <c r="I3" s="320">
        <v>22</v>
      </c>
      <c r="J3" s="277"/>
      <c r="K3" s="151" t="s">
        <v>87</v>
      </c>
      <c r="L3" s="321"/>
      <c r="M3" s="136">
        <v>12</v>
      </c>
      <c r="N3" s="322" t="s">
        <v>88</v>
      </c>
      <c r="O3" s="321"/>
      <c r="P3" s="318">
        <v>100</v>
      </c>
      <c r="Q3" s="323"/>
      <c r="U3" s="324" t="s">
        <v>89</v>
      </c>
      <c r="V3" s="325">
        <v>1</v>
      </c>
    </row>
    <row r="4" spans="1:72">
      <c r="A4" s="153"/>
      <c r="C4" s="156" t="s">
        <v>90</v>
      </c>
      <c r="D4" s="216"/>
      <c r="F4" s="326">
        <v>0.3</v>
      </c>
      <c r="G4" s="156" t="s">
        <v>91</v>
      </c>
      <c r="H4" s="327"/>
      <c r="I4" s="328">
        <v>35</v>
      </c>
      <c r="J4" s="277"/>
      <c r="K4" s="158" t="s">
        <v>92</v>
      </c>
      <c r="L4" s="329"/>
      <c r="M4" s="137">
        <v>24</v>
      </c>
      <c r="N4" s="330" t="s">
        <v>93</v>
      </c>
      <c r="O4" s="329"/>
      <c r="P4" s="326">
        <v>1</v>
      </c>
      <c r="S4" s="331"/>
      <c r="U4" s="332" t="s">
        <v>94</v>
      </c>
      <c r="V4" s="333">
        <v>1</v>
      </c>
    </row>
    <row r="5" spans="1:72">
      <c r="A5" s="153" t="s">
        <v>6</v>
      </c>
      <c r="B5" s="163">
        <v>44859</v>
      </c>
      <c r="C5" s="156" t="s">
        <v>95</v>
      </c>
      <c r="D5" s="216"/>
      <c r="F5" s="326">
        <v>0</v>
      </c>
      <c r="G5" s="156" t="s">
        <v>96</v>
      </c>
      <c r="H5" s="327"/>
      <c r="I5" s="334">
        <v>10</v>
      </c>
      <c r="J5" s="277"/>
      <c r="K5" s="158" t="s">
        <v>97</v>
      </c>
      <c r="L5" s="329"/>
      <c r="M5" s="137">
        <v>34</v>
      </c>
      <c r="N5" s="330" t="s">
        <v>98</v>
      </c>
      <c r="O5" s="329"/>
      <c r="P5" s="326">
        <v>1.1000000000000001</v>
      </c>
      <c r="S5" s="331"/>
      <c r="U5" s="332" t="s">
        <v>99</v>
      </c>
      <c r="V5" s="333">
        <f>(1-P8/100)*V4*V3</f>
        <v>0.6</v>
      </c>
      <c r="Y5" s="277"/>
    </row>
    <row r="6" spans="1:72" ht="17.25" thickBot="1">
      <c r="A6" s="168"/>
      <c r="B6" s="169"/>
      <c r="C6" s="156" t="s">
        <v>100</v>
      </c>
      <c r="D6" s="216"/>
      <c r="E6" s="216"/>
      <c r="F6" s="335">
        <v>9000</v>
      </c>
      <c r="G6" s="156" t="s">
        <v>101</v>
      </c>
      <c r="H6" s="327"/>
      <c r="I6" s="326">
        <v>30</v>
      </c>
      <c r="J6" s="277"/>
      <c r="K6" s="158" t="s">
        <v>102</v>
      </c>
      <c r="L6" s="329"/>
      <c r="M6" s="137">
        <v>51</v>
      </c>
      <c r="N6" s="330" t="s">
        <v>103</v>
      </c>
      <c r="O6" s="329"/>
      <c r="P6" s="328">
        <v>0.9</v>
      </c>
      <c r="Q6" s="336"/>
      <c r="S6" s="337"/>
      <c r="U6" s="338" t="s">
        <v>104</v>
      </c>
      <c r="V6" s="339">
        <f>(1-S4/100)*V3</f>
        <v>1</v>
      </c>
    </row>
    <row r="7" spans="1:72" ht="17.25" thickBot="1">
      <c r="A7" s="153"/>
      <c r="C7" s="156" t="s">
        <v>105</v>
      </c>
      <c r="D7" s="216"/>
      <c r="F7" s="335">
        <v>300</v>
      </c>
      <c r="G7" s="156" t="s">
        <v>106</v>
      </c>
      <c r="H7" s="327"/>
      <c r="I7" s="334">
        <v>10</v>
      </c>
      <c r="J7" s="277"/>
      <c r="K7" s="158" t="s">
        <v>107</v>
      </c>
      <c r="L7" s="329"/>
      <c r="M7" s="137">
        <v>73</v>
      </c>
      <c r="N7" s="340" t="s">
        <v>108</v>
      </c>
      <c r="O7" s="341"/>
      <c r="P7" s="342">
        <v>0.8</v>
      </c>
    </row>
    <row r="8" spans="1:72" ht="17.25" thickBot="1">
      <c r="A8" s="184"/>
      <c r="C8" s="178" t="s">
        <v>109</v>
      </c>
      <c r="D8" s="343"/>
      <c r="E8" s="343"/>
      <c r="F8" s="344">
        <v>65</v>
      </c>
      <c r="G8" s="175"/>
      <c r="H8" s="345"/>
      <c r="I8" s="346"/>
      <c r="J8" s="277"/>
      <c r="K8" s="158" t="s">
        <v>110</v>
      </c>
      <c r="L8" s="329"/>
      <c r="M8" s="137">
        <v>97</v>
      </c>
      <c r="N8" s="347" t="s">
        <v>111</v>
      </c>
      <c r="O8" s="321"/>
      <c r="P8" s="348">
        <v>40</v>
      </c>
      <c r="R8" s="216"/>
      <c r="AB8" s="172"/>
      <c r="AC8" s="173"/>
      <c r="AD8" s="172" t="s">
        <v>12</v>
      </c>
      <c r="AE8" s="173">
        <v>44859</v>
      </c>
    </row>
    <row r="9" spans="1:72" ht="17.25" thickBot="1">
      <c r="B9" s="349"/>
      <c r="J9" s="277"/>
      <c r="K9" s="350" t="s">
        <v>112</v>
      </c>
      <c r="L9" s="341"/>
      <c r="M9" s="138">
        <v>153</v>
      </c>
      <c r="N9" s="351" t="s">
        <v>113</v>
      </c>
      <c r="O9" s="341"/>
      <c r="P9" s="352">
        <v>0.3</v>
      </c>
      <c r="AB9" s="172"/>
      <c r="AC9" s="173"/>
      <c r="AD9" s="172" t="s">
        <v>16</v>
      </c>
      <c r="AE9" s="173">
        <f ca="1">TODAY()</f>
        <v>46143</v>
      </c>
    </row>
    <row r="10" spans="1:72" ht="17.25" thickBot="1">
      <c r="A10" s="184"/>
    </row>
    <row r="11" spans="1:72" s="361" customFormat="1">
      <c r="A11" s="228" t="s">
        <v>17</v>
      </c>
      <c r="B11" s="228" t="s">
        <v>115</v>
      </c>
      <c r="C11" s="228" t="s">
        <v>116</v>
      </c>
      <c r="D11" s="228" t="s">
        <v>117</v>
      </c>
      <c r="E11" s="228" t="s">
        <v>118</v>
      </c>
      <c r="F11" s="353" t="s">
        <v>119</v>
      </c>
      <c r="G11" s="228" t="s">
        <v>120</v>
      </c>
      <c r="H11" s="228" t="s">
        <v>121</v>
      </c>
      <c r="I11" s="228" t="s">
        <v>121</v>
      </c>
      <c r="J11" s="354" t="s">
        <v>122</v>
      </c>
      <c r="K11" s="354" t="s">
        <v>123</v>
      </c>
      <c r="L11" s="355"/>
      <c r="M11" s="354" t="s">
        <v>124</v>
      </c>
      <c r="N11" s="228" t="s">
        <v>125</v>
      </c>
      <c r="O11" s="228" t="s">
        <v>126</v>
      </c>
      <c r="P11" s="354" t="s">
        <v>127</v>
      </c>
      <c r="Q11" s="356" t="s">
        <v>128</v>
      </c>
      <c r="R11" s="354" t="s">
        <v>129</v>
      </c>
      <c r="S11" s="354" t="s">
        <v>130</v>
      </c>
      <c r="T11" s="354" t="s">
        <v>117</v>
      </c>
      <c r="U11" s="354" t="s">
        <v>131</v>
      </c>
      <c r="V11" s="357" t="s">
        <v>37</v>
      </c>
      <c r="W11" s="354" t="s">
        <v>37</v>
      </c>
      <c r="X11" s="354" t="s">
        <v>37</v>
      </c>
      <c r="Y11" s="354" t="s">
        <v>37</v>
      </c>
      <c r="Z11" s="354" t="s">
        <v>37</v>
      </c>
      <c r="AA11" s="354" t="s">
        <v>132</v>
      </c>
      <c r="AB11" s="358" t="s">
        <v>131</v>
      </c>
      <c r="AC11" s="356" t="s">
        <v>133</v>
      </c>
      <c r="AD11" s="359" t="s">
        <v>124</v>
      </c>
      <c r="AE11" s="354" t="s">
        <v>131</v>
      </c>
      <c r="AF11" s="360"/>
      <c r="AG11" s="360"/>
      <c r="AH11" s="360"/>
      <c r="AI11" s="360"/>
      <c r="AJ11" s="360"/>
      <c r="AK11" s="360"/>
      <c r="AL11" s="360"/>
      <c r="AM11" s="360"/>
      <c r="AN11" s="360"/>
      <c r="AO11" s="360"/>
      <c r="AP11" s="360"/>
      <c r="AQ11" s="360"/>
      <c r="AR11" s="360"/>
      <c r="AS11" s="360"/>
      <c r="AT11" s="360"/>
      <c r="AU11" s="360"/>
      <c r="AV11" s="360"/>
      <c r="AW11" s="360"/>
      <c r="AX11" s="360"/>
      <c r="AY11" s="360"/>
      <c r="AZ11" s="360"/>
      <c r="BA11" s="360"/>
      <c r="BB11" s="360"/>
      <c r="BC11" s="360"/>
      <c r="BD11" s="360"/>
      <c r="BE11" s="360"/>
      <c r="BF11" s="360"/>
      <c r="BG11" s="360"/>
      <c r="BH11" s="360"/>
      <c r="BI11" s="360"/>
      <c r="BJ11" s="360"/>
      <c r="BK11" s="360"/>
      <c r="BL11" s="360"/>
      <c r="BM11" s="360"/>
      <c r="BN11" s="360"/>
      <c r="BO11" s="360"/>
      <c r="BP11" s="360"/>
      <c r="BQ11" s="360"/>
      <c r="BR11" s="360"/>
      <c r="BS11" s="360"/>
      <c r="BT11" s="360"/>
    </row>
    <row r="12" spans="1:72" s="361" customFormat="1" ht="17.25" thickBot="1">
      <c r="A12" s="362" t="s">
        <v>134</v>
      </c>
      <c r="B12" s="363"/>
      <c r="C12" s="362" t="str">
        <f>IF(P4=1,"METER","FEET")</f>
        <v>METER</v>
      </c>
      <c r="D12" s="362" t="s">
        <v>135</v>
      </c>
      <c r="E12" s="362" t="s">
        <v>136</v>
      </c>
      <c r="F12" s="363" t="s">
        <v>137</v>
      </c>
      <c r="G12" s="362" t="s">
        <v>138</v>
      </c>
      <c r="H12" s="362" t="s">
        <v>139</v>
      </c>
      <c r="I12" s="362" t="s">
        <v>140</v>
      </c>
      <c r="J12" s="364" t="s">
        <v>138</v>
      </c>
      <c r="K12" s="364" t="s">
        <v>141</v>
      </c>
      <c r="L12" s="365" t="s">
        <v>372</v>
      </c>
      <c r="M12" s="364" t="s">
        <v>142</v>
      </c>
      <c r="N12" s="362" t="s">
        <v>143</v>
      </c>
      <c r="O12" s="362" t="s">
        <v>132</v>
      </c>
      <c r="P12" s="364" t="s">
        <v>144</v>
      </c>
      <c r="Q12" s="366" t="s">
        <v>129</v>
      </c>
      <c r="R12" s="364" t="s">
        <v>145</v>
      </c>
      <c r="S12" s="364" t="s">
        <v>146</v>
      </c>
      <c r="T12" s="364" t="s">
        <v>146</v>
      </c>
      <c r="U12" s="364" t="s">
        <v>147</v>
      </c>
      <c r="V12" s="367" t="s">
        <v>148</v>
      </c>
      <c r="W12" s="364" t="s">
        <v>149</v>
      </c>
      <c r="X12" s="364" t="s">
        <v>150</v>
      </c>
      <c r="Y12" s="364" t="s">
        <v>151</v>
      </c>
      <c r="Z12" s="364" t="s">
        <v>65</v>
      </c>
      <c r="AA12" s="364" t="str">
        <f>IF(P4=1,"$/METER","$/FOOT")</f>
        <v>$/METER</v>
      </c>
      <c r="AB12" s="368" t="s">
        <v>132</v>
      </c>
      <c r="AC12" s="366" t="s">
        <v>152</v>
      </c>
      <c r="AD12" s="369" t="s">
        <v>153</v>
      </c>
      <c r="AE12" s="364" t="s">
        <v>375</v>
      </c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0"/>
      <c r="AQ12" s="360"/>
      <c r="AR12" s="360"/>
      <c r="AS12" s="360"/>
      <c r="AT12" s="360"/>
      <c r="AU12" s="360"/>
      <c r="AV12" s="360"/>
      <c r="AW12" s="360"/>
      <c r="AX12" s="360"/>
      <c r="AY12" s="360"/>
      <c r="AZ12" s="360"/>
      <c r="BA12" s="360"/>
      <c r="BB12" s="360"/>
      <c r="BC12" s="360"/>
      <c r="BD12" s="360"/>
      <c r="BE12" s="360"/>
      <c r="BF12" s="360"/>
      <c r="BG12" s="360"/>
      <c r="BH12" s="360"/>
      <c r="BI12" s="360"/>
      <c r="BJ12" s="360"/>
      <c r="BK12" s="360"/>
      <c r="BL12" s="360"/>
      <c r="BM12" s="360"/>
      <c r="BN12" s="360"/>
      <c r="BO12" s="360"/>
      <c r="BP12" s="360"/>
      <c r="BQ12" s="360"/>
      <c r="BR12" s="360"/>
      <c r="BS12" s="360"/>
      <c r="BT12" s="360"/>
    </row>
    <row r="13" spans="1:72">
      <c r="A13" s="370"/>
      <c r="B13" s="473"/>
      <c r="C13" s="193"/>
      <c r="D13" s="193"/>
      <c r="E13" s="193"/>
      <c r="F13" s="193"/>
      <c r="G13" s="193"/>
      <c r="H13" s="193"/>
      <c r="I13" s="193"/>
      <c r="J13" s="193"/>
      <c r="K13" s="193"/>
      <c r="L13" s="371"/>
      <c r="M13" s="193"/>
      <c r="N13" s="193"/>
      <c r="O13" s="193"/>
      <c r="P13" s="193"/>
      <c r="Q13" s="193"/>
      <c r="R13" s="193"/>
      <c r="S13" s="193"/>
      <c r="T13" s="193"/>
      <c r="U13" s="193"/>
      <c r="V13" s="371"/>
      <c r="W13" s="192"/>
      <c r="X13" s="193"/>
      <c r="Y13" s="193"/>
      <c r="Z13" s="193"/>
      <c r="AA13" s="193"/>
      <c r="AB13" s="193"/>
      <c r="AC13" s="193"/>
      <c r="AD13" s="371"/>
      <c r="AE13" s="192"/>
    </row>
    <row r="14" spans="1:72" s="377" customFormat="1">
      <c r="A14" s="192">
        <v>1</v>
      </c>
      <c r="B14" s="470"/>
      <c r="C14" s="192"/>
      <c r="D14" s="192"/>
      <c r="E14" s="373"/>
      <c r="F14" s="373"/>
      <c r="G14" s="192"/>
      <c r="H14" s="192"/>
      <c r="I14" s="192"/>
      <c r="J14" s="201">
        <f>0.00125*D14</f>
        <v>0</v>
      </c>
      <c r="K14" s="541">
        <f>IF(F14&lt;2,F$4,G14-(1.12*D14*0.001)-F$5)</f>
        <v>0.3</v>
      </c>
      <c r="L14" s="165">
        <f>(F14=2.1)*IF(G14&lt;3.1,J14+3*S$6,J14+0.6+2*S$6+G14*0.05)+(F14=2.2)*IF(G14&lt;3.1,J14+1.5*S$6+P$7/2,J14+0.3+S$6+G14*0.025)</f>
        <v>0</v>
      </c>
      <c r="M14" s="201">
        <f>(F14=1.1)*IF((J14+2*P$9)&lt;F$3,F$3,J14+2*P$9)+(F14=1.2)*(J14+P$9+P$7/2)+(F14=2.1)*IF(L14&lt;F$3,F$3,L14)+(F14=2.2)*L14</f>
        <v>0</v>
      </c>
      <c r="N14" s="542">
        <f>P$3</f>
        <v>100</v>
      </c>
      <c r="O14" s="543">
        <f t="shared" ref="O14:O54" si="0">F$6+HLOOKUP(G14,J$86:U$87,2)*F$7</f>
        <v>9000</v>
      </c>
      <c r="P14" s="201">
        <f>(M14*G14+(G14&gt;1.219)*(F14=1.1)*(G14-1.22)^2*P$6+(F14=1.2)*(G14-1.22)^2/2*P$6)*(C14&gt;0)</f>
        <v>0</v>
      </c>
      <c r="Q14" s="201">
        <f t="shared" ref="Q14:Q54" si="1">IF(C14=0,0,IF(TRUNC(F14)=1,HLOOKUP(G14,C$80:AC$81,2),HLOOKUP(G14,C$82:AC$83,2))*N14/100/IF((F14-TRUNC(F14))=0.2,P14*2,P14))</f>
        <v>0</v>
      </c>
      <c r="R14" s="201">
        <f>IF(Q14&gt;F$8,F$8,Q14)*((F14=1.1)*1+(F14=1.2)*0.95+(F14=2.1)*0.95+(F14=2.2)*1)</f>
        <v>0</v>
      </c>
      <c r="S14" s="541">
        <f>IF(C14=0,0,IF(OR(F14=1.2,F14=2.2),O14/R14/2,O14/R14))</f>
        <v>0</v>
      </c>
      <c r="T14" s="541" t="e" vm="1">
        <f>IF(TRUNC(E14)&gt;1,HLOOKUP(D14,C$86:I$87,2),IF(D14&lt;=980,HLOOKUP(D14+10*(E14-1),B$74:AG$75,2),HLOOKUP(D14+10*(E14-1),B$76:AG$77,2)))</f>
        <v>#VALUE!</v>
      </c>
      <c r="U14" s="201">
        <f>(IF(C14=0,0,IF(TRUNC(E14)=1,T14*C14*V$5,T14*C14*V$3)))*IF(P$4=1,1,1/3.28)</f>
        <v>0</v>
      </c>
      <c r="V14" s="374">
        <f>((M14*0.6*J14+0.005)-PI()*J14^2/8)*C14*2*I$4*IF(P$4=1,1,1/3.28)</f>
        <v>0</v>
      </c>
      <c r="W14" s="201">
        <f>(((0.5*J14+K14)*M14)-(PI()*J14^2/8))*C14*2*I$6*IF(P$4=1,1,1/3.28)</f>
        <v>0</v>
      </c>
      <c r="X14" s="201">
        <f>H14+U14+V14+W14</f>
        <v>0</v>
      </c>
      <c r="Y14" s="201">
        <f>I14+S14*C14*IF(P$4=1,1,1/3.28)</f>
        <v>0</v>
      </c>
      <c r="Z14" s="201">
        <f>((V14/I$4+W14/I$6)/2+PI()*J14^2/4*C14*IF(P$4=1,1,1/3.28))*I$7</f>
        <v>0</v>
      </c>
      <c r="AA14" s="201">
        <f>ROUND(IF(C14=0,0,(X14+Y14+Z14)/C14),2)</f>
        <v>0</v>
      </c>
      <c r="AB14" s="375">
        <f>X14+Y14+Z14</f>
        <v>0</v>
      </c>
      <c r="AC14" s="202">
        <f>P14*C14*IF(P$4=1,1,1/3.28)</f>
        <v>0</v>
      </c>
      <c r="AD14" s="376">
        <f>IF(C14=0,0,C14/((F14-TRUNC(F14))*10)*IF(P$4=1,1,1/3.28))</f>
        <v>0</v>
      </c>
      <c r="AE14" s="549">
        <f>AB14*$P$5</f>
        <v>0</v>
      </c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</row>
    <row r="15" spans="1:72" s="377" customFormat="1">
      <c r="A15" s="192">
        <v>2</v>
      </c>
      <c r="B15" s="470"/>
      <c r="C15" s="192"/>
      <c r="D15" s="192"/>
      <c r="E15" s="373"/>
      <c r="F15" s="373"/>
      <c r="G15" s="192"/>
      <c r="H15" s="192"/>
      <c r="I15" s="192"/>
      <c r="J15" s="201">
        <f t="shared" ref="J15:J54" si="2">0.00125*D15</f>
        <v>0</v>
      </c>
      <c r="K15" s="541">
        <f t="shared" ref="K15:K54" si="3">IF(F15&lt;2,F$4,G15-(1.12*D15*0.001)-F$5)</f>
        <v>0.3</v>
      </c>
      <c r="L15" s="165">
        <f t="shared" ref="L15:L54" si="4">(F15=2.1)*IF(G15&lt;3.1,J15+3*S$6,J15+0.6+2*S$6+G15*0.05)+(F15=2.2)*IF(G15&lt;3.1,J15+1.5*S$6+P$7/2,J15+0.3+S$6+G15*0.025)</f>
        <v>0</v>
      </c>
      <c r="M15" s="201">
        <f t="shared" ref="M15:M54" si="5">(F15=1.1)*IF((J15+2*P$9)&lt;F$3,F$3,J15+2*P$9)+(F15=1.2)*(J15+P$9+P$7/2)+(F15=2.1)*IF(L15&lt;F$3,F$3,L15)+(F15=2.2)*L15</f>
        <v>0</v>
      </c>
      <c r="N15" s="542">
        <f t="shared" ref="N15:N54" si="6">P$3</f>
        <v>100</v>
      </c>
      <c r="O15" s="543">
        <f t="shared" si="0"/>
        <v>9000</v>
      </c>
      <c r="P15" s="201">
        <f t="shared" ref="P15:P54" si="7">(M15*G15+(G15&gt;1.219)*(F15=1.1)*(G15-1.22)^2*P$6+(F15=1.2)*(G15-1.22)^2/2*P$6)*(C15&gt;0)</f>
        <v>0</v>
      </c>
      <c r="Q15" s="201">
        <f t="shared" si="1"/>
        <v>0</v>
      </c>
      <c r="R15" s="201">
        <f t="shared" ref="R15:R54" si="8">IF(Q15&gt;F$8,F$8,Q15)*((F15=1.1)*1+(F15=1.2)*0.95+(F15=2.1)*0.95+(F15=2.2)*1)</f>
        <v>0</v>
      </c>
      <c r="S15" s="541">
        <f t="shared" ref="S15:S54" si="9">IF(C15=0,0,IF(OR(F15=1.2,F15=2.2),O15/R15/2,O15/R15))</f>
        <v>0</v>
      </c>
      <c r="T15" s="541" t="e" vm="1">
        <f t="shared" ref="T15:T54" si="10">IF(TRUNC(E15)&gt;1,HLOOKUP(D15,C$86:I$87,2),IF(D15&lt;=980,HLOOKUP(D15+10*(E15-1),B$74:AG$75,2),HLOOKUP(D15+10*(E15-1),B$76:AG$77,2)))</f>
        <v>#VALUE!</v>
      </c>
      <c r="U15" s="201">
        <f t="shared" ref="U15:U54" si="11">(IF(C15=0,0,IF(TRUNC(E15)=1,T15*C15*V$5,T15*C15*V$3)))*IF(P$4=1,1,1/3.28)</f>
        <v>0</v>
      </c>
      <c r="V15" s="374">
        <f t="shared" ref="V15:V54" si="12">((M15*0.6*J15+0.005)-PI()*J15^2/8)*C15*2*I$4*IF(P$4=1,1,1/3.28)</f>
        <v>0</v>
      </c>
      <c r="W15" s="201">
        <f t="shared" ref="W15:W54" si="13">(((0.5*J15+K15)*M15)-(PI()*J15^2/8))*C15*2*I$6*IF(P$4=1,1,1/3.28)</f>
        <v>0</v>
      </c>
      <c r="X15" s="201">
        <f t="shared" ref="X15:X54" si="14">H15+U15+V15+W15</f>
        <v>0</v>
      </c>
      <c r="Y15" s="201">
        <f t="shared" ref="Y15:Y54" si="15">I15+S15*C15*IF(P$4=1,1,1/3.28)</f>
        <v>0</v>
      </c>
      <c r="Z15" s="201">
        <f t="shared" ref="Z15:Z54" si="16">((V15/I$4+W15/I$6)/2+PI()*J15^2/4*C15*IF(P$4=1,1,1/3.28))*I$7</f>
        <v>0</v>
      </c>
      <c r="AA15" s="201">
        <f t="shared" ref="AA15:AA54" si="17">ROUND(IF(C15=0,0,(X15+Y15+Z15)/C15),2)</f>
        <v>0</v>
      </c>
      <c r="AB15" s="375">
        <f t="shared" ref="AB15:AB54" si="18">X15+Y15+Z15</f>
        <v>0</v>
      </c>
      <c r="AC15" s="202">
        <f t="shared" ref="AC15:AC54" si="19">P15*C15*IF(P$4=1,1,1/3.28)</f>
        <v>0</v>
      </c>
      <c r="AD15" s="376">
        <f t="shared" ref="AD15:AD54" si="20">IF(C15=0,0,C15/((F15-TRUNC(F15))*10)*IF(P$4=1,1,1/3.28))</f>
        <v>0</v>
      </c>
      <c r="AE15" s="549">
        <f t="shared" ref="AE15:AE54" si="21">AB15*$P$5</f>
        <v>0</v>
      </c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</row>
    <row r="16" spans="1:72" s="377" customFormat="1">
      <c r="A16" s="192">
        <v>3</v>
      </c>
      <c r="B16" s="470"/>
      <c r="C16" s="192"/>
      <c r="D16" s="192"/>
      <c r="E16" s="373"/>
      <c r="F16" s="373"/>
      <c r="G16" s="192"/>
      <c r="H16" s="192"/>
      <c r="I16" s="192"/>
      <c r="J16" s="201">
        <f t="shared" si="2"/>
        <v>0</v>
      </c>
      <c r="K16" s="541">
        <f t="shared" si="3"/>
        <v>0.3</v>
      </c>
      <c r="L16" s="165">
        <f t="shared" si="4"/>
        <v>0</v>
      </c>
      <c r="M16" s="201">
        <f t="shared" si="5"/>
        <v>0</v>
      </c>
      <c r="N16" s="542">
        <f t="shared" si="6"/>
        <v>100</v>
      </c>
      <c r="O16" s="543">
        <f t="shared" si="0"/>
        <v>9000</v>
      </c>
      <c r="P16" s="201">
        <f t="shared" si="7"/>
        <v>0</v>
      </c>
      <c r="Q16" s="201">
        <f t="shared" si="1"/>
        <v>0</v>
      </c>
      <c r="R16" s="201">
        <f t="shared" si="8"/>
        <v>0</v>
      </c>
      <c r="S16" s="541">
        <f t="shared" si="9"/>
        <v>0</v>
      </c>
      <c r="T16" s="541" t="e" vm="1">
        <f t="shared" si="10"/>
        <v>#VALUE!</v>
      </c>
      <c r="U16" s="201">
        <f t="shared" si="11"/>
        <v>0</v>
      </c>
      <c r="V16" s="374">
        <f t="shared" si="12"/>
        <v>0</v>
      </c>
      <c r="W16" s="201">
        <f t="shared" si="13"/>
        <v>0</v>
      </c>
      <c r="X16" s="201">
        <f t="shared" si="14"/>
        <v>0</v>
      </c>
      <c r="Y16" s="201">
        <f t="shared" si="15"/>
        <v>0</v>
      </c>
      <c r="Z16" s="201">
        <f t="shared" si="16"/>
        <v>0</v>
      </c>
      <c r="AA16" s="201">
        <f t="shared" si="17"/>
        <v>0</v>
      </c>
      <c r="AB16" s="375">
        <f t="shared" si="18"/>
        <v>0</v>
      </c>
      <c r="AC16" s="202">
        <f t="shared" si="19"/>
        <v>0</v>
      </c>
      <c r="AD16" s="376">
        <f t="shared" si="20"/>
        <v>0</v>
      </c>
      <c r="AE16" s="549">
        <f t="shared" si="21"/>
        <v>0</v>
      </c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</row>
    <row r="17" spans="1:72" s="377" customFormat="1">
      <c r="A17" s="192">
        <v>4</v>
      </c>
      <c r="B17" s="470"/>
      <c r="C17" s="192"/>
      <c r="D17" s="192"/>
      <c r="E17" s="373"/>
      <c r="F17" s="373"/>
      <c r="G17" s="192"/>
      <c r="H17" s="192"/>
      <c r="I17" s="192"/>
      <c r="J17" s="201">
        <f t="shared" si="2"/>
        <v>0</v>
      </c>
      <c r="K17" s="541">
        <f t="shared" si="3"/>
        <v>0.3</v>
      </c>
      <c r="L17" s="165">
        <f t="shared" si="4"/>
        <v>0</v>
      </c>
      <c r="M17" s="201">
        <f t="shared" si="5"/>
        <v>0</v>
      </c>
      <c r="N17" s="542">
        <f t="shared" si="6"/>
        <v>100</v>
      </c>
      <c r="O17" s="543">
        <f t="shared" si="0"/>
        <v>9000</v>
      </c>
      <c r="P17" s="201">
        <f t="shared" si="7"/>
        <v>0</v>
      </c>
      <c r="Q17" s="201">
        <f t="shared" si="1"/>
        <v>0</v>
      </c>
      <c r="R17" s="201">
        <f t="shared" si="8"/>
        <v>0</v>
      </c>
      <c r="S17" s="541">
        <f t="shared" si="9"/>
        <v>0</v>
      </c>
      <c r="T17" s="541" t="e" vm="1">
        <f t="shared" si="10"/>
        <v>#VALUE!</v>
      </c>
      <c r="U17" s="201">
        <f t="shared" si="11"/>
        <v>0</v>
      </c>
      <c r="V17" s="374">
        <f t="shared" si="12"/>
        <v>0</v>
      </c>
      <c r="W17" s="201">
        <f t="shared" si="13"/>
        <v>0</v>
      </c>
      <c r="X17" s="201">
        <f t="shared" si="14"/>
        <v>0</v>
      </c>
      <c r="Y17" s="201">
        <f t="shared" si="15"/>
        <v>0</v>
      </c>
      <c r="Z17" s="201">
        <f t="shared" si="16"/>
        <v>0</v>
      </c>
      <c r="AA17" s="201">
        <f t="shared" si="17"/>
        <v>0</v>
      </c>
      <c r="AB17" s="375">
        <f t="shared" si="18"/>
        <v>0</v>
      </c>
      <c r="AC17" s="202">
        <f t="shared" si="19"/>
        <v>0</v>
      </c>
      <c r="AD17" s="376">
        <f t="shared" si="20"/>
        <v>0</v>
      </c>
      <c r="AE17" s="549">
        <f t="shared" si="21"/>
        <v>0</v>
      </c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</row>
    <row r="18" spans="1:72" s="377" customFormat="1">
      <c r="A18" s="192">
        <v>5</v>
      </c>
      <c r="B18" s="470"/>
      <c r="C18" s="192"/>
      <c r="D18" s="192"/>
      <c r="E18" s="373"/>
      <c r="F18" s="373"/>
      <c r="G18" s="192"/>
      <c r="H18" s="192"/>
      <c r="I18" s="192"/>
      <c r="J18" s="201">
        <f t="shared" si="2"/>
        <v>0</v>
      </c>
      <c r="K18" s="541">
        <f t="shared" si="3"/>
        <v>0.3</v>
      </c>
      <c r="L18" s="165">
        <f t="shared" si="4"/>
        <v>0</v>
      </c>
      <c r="M18" s="201">
        <f t="shared" si="5"/>
        <v>0</v>
      </c>
      <c r="N18" s="542">
        <f t="shared" si="6"/>
        <v>100</v>
      </c>
      <c r="O18" s="543">
        <f t="shared" si="0"/>
        <v>9000</v>
      </c>
      <c r="P18" s="201">
        <f t="shared" si="7"/>
        <v>0</v>
      </c>
      <c r="Q18" s="201">
        <f t="shared" si="1"/>
        <v>0</v>
      </c>
      <c r="R18" s="201">
        <f t="shared" si="8"/>
        <v>0</v>
      </c>
      <c r="S18" s="541">
        <f t="shared" si="9"/>
        <v>0</v>
      </c>
      <c r="T18" s="541" t="e" vm="1">
        <f t="shared" si="10"/>
        <v>#VALUE!</v>
      </c>
      <c r="U18" s="201">
        <f t="shared" si="11"/>
        <v>0</v>
      </c>
      <c r="V18" s="374">
        <f t="shared" si="12"/>
        <v>0</v>
      </c>
      <c r="W18" s="201">
        <f t="shared" si="13"/>
        <v>0</v>
      </c>
      <c r="X18" s="201">
        <f t="shared" si="14"/>
        <v>0</v>
      </c>
      <c r="Y18" s="201">
        <f t="shared" si="15"/>
        <v>0</v>
      </c>
      <c r="Z18" s="201">
        <f t="shared" si="16"/>
        <v>0</v>
      </c>
      <c r="AA18" s="201">
        <f t="shared" si="17"/>
        <v>0</v>
      </c>
      <c r="AB18" s="375">
        <f t="shared" si="18"/>
        <v>0</v>
      </c>
      <c r="AC18" s="202">
        <f t="shared" si="19"/>
        <v>0</v>
      </c>
      <c r="AD18" s="376">
        <f t="shared" si="20"/>
        <v>0</v>
      </c>
      <c r="AE18" s="549">
        <f t="shared" si="21"/>
        <v>0</v>
      </c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</row>
    <row r="19" spans="1:72" s="377" customFormat="1">
      <c r="A19" s="192">
        <v>6</v>
      </c>
      <c r="B19" s="470"/>
      <c r="C19" s="192"/>
      <c r="D19" s="192"/>
      <c r="E19" s="373"/>
      <c r="F19" s="373"/>
      <c r="G19" s="192"/>
      <c r="H19" s="192"/>
      <c r="I19" s="192"/>
      <c r="J19" s="201">
        <f t="shared" si="2"/>
        <v>0</v>
      </c>
      <c r="K19" s="541">
        <f t="shared" si="3"/>
        <v>0.3</v>
      </c>
      <c r="L19" s="165">
        <f t="shared" si="4"/>
        <v>0</v>
      </c>
      <c r="M19" s="201">
        <f t="shared" si="5"/>
        <v>0</v>
      </c>
      <c r="N19" s="542">
        <f t="shared" si="6"/>
        <v>100</v>
      </c>
      <c r="O19" s="543">
        <f t="shared" si="0"/>
        <v>9000</v>
      </c>
      <c r="P19" s="201">
        <f t="shared" si="7"/>
        <v>0</v>
      </c>
      <c r="Q19" s="201">
        <f t="shared" si="1"/>
        <v>0</v>
      </c>
      <c r="R19" s="201">
        <f t="shared" si="8"/>
        <v>0</v>
      </c>
      <c r="S19" s="541">
        <f t="shared" si="9"/>
        <v>0</v>
      </c>
      <c r="T19" s="541" t="e" vm="1">
        <f t="shared" si="10"/>
        <v>#VALUE!</v>
      </c>
      <c r="U19" s="201">
        <f t="shared" si="11"/>
        <v>0</v>
      </c>
      <c r="V19" s="374">
        <f t="shared" si="12"/>
        <v>0</v>
      </c>
      <c r="W19" s="201">
        <f t="shared" si="13"/>
        <v>0</v>
      </c>
      <c r="X19" s="201">
        <f t="shared" si="14"/>
        <v>0</v>
      </c>
      <c r="Y19" s="201">
        <f t="shared" si="15"/>
        <v>0</v>
      </c>
      <c r="Z19" s="201">
        <f t="shared" si="16"/>
        <v>0</v>
      </c>
      <c r="AA19" s="201">
        <f t="shared" si="17"/>
        <v>0</v>
      </c>
      <c r="AB19" s="375">
        <f t="shared" si="18"/>
        <v>0</v>
      </c>
      <c r="AC19" s="202">
        <f t="shared" si="19"/>
        <v>0</v>
      </c>
      <c r="AD19" s="376">
        <f t="shared" si="20"/>
        <v>0</v>
      </c>
      <c r="AE19" s="549">
        <f t="shared" si="21"/>
        <v>0</v>
      </c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</row>
    <row r="20" spans="1:72" s="377" customFormat="1">
      <c r="A20" s="192">
        <v>7</v>
      </c>
      <c r="B20" s="470"/>
      <c r="C20" s="192"/>
      <c r="D20" s="192"/>
      <c r="E20" s="373"/>
      <c r="F20" s="373"/>
      <c r="G20" s="192"/>
      <c r="H20" s="192"/>
      <c r="I20" s="192"/>
      <c r="J20" s="201">
        <f t="shared" si="2"/>
        <v>0</v>
      </c>
      <c r="K20" s="541">
        <f t="shared" si="3"/>
        <v>0.3</v>
      </c>
      <c r="L20" s="165">
        <f t="shared" si="4"/>
        <v>0</v>
      </c>
      <c r="M20" s="201">
        <f t="shared" si="5"/>
        <v>0</v>
      </c>
      <c r="N20" s="542">
        <f t="shared" si="6"/>
        <v>100</v>
      </c>
      <c r="O20" s="543">
        <f t="shared" si="0"/>
        <v>9000</v>
      </c>
      <c r="P20" s="201">
        <f t="shared" si="7"/>
        <v>0</v>
      </c>
      <c r="Q20" s="201">
        <f t="shared" si="1"/>
        <v>0</v>
      </c>
      <c r="R20" s="201">
        <f t="shared" si="8"/>
        <v>0</v>
      </c>
      <c r="S20" s="541">
        <f t="shared" si="9"/>
        <v>0</v>
      </c>
      <c r="T20" s="541" t="e" vm="1">
        <f t="shared" si="10"/>
        <v>#VALUE!</v>
      </c>
      <c r="U20" s="201">
        <f t="shared" si="11"/>
        <v>0</v>
      </c>
      <c r="V20" s="374">
        <f t="shared" si="12"/>
        <v>0</v>
      </c>
      <c r="W20" s="201">
        <f t="shared" si="13"/>
        <v>0</v>
      </c>
      <c r="X20" s="201">
        <f t="shared" si="14"/>
        <v>0</v>
      </c>
      <c r="Y20" s="201">
        <f t="shared" si="15"/>
        <v>0</v>
      </c>
      <c r="Z20" s="201">
        <f t="shared" si="16"/>
        <v>0</v>
      </c>
      <c r="AA20" s="201">
        <f t="shared" si="17"/>
        <v>0</v>
      </c>
      <c r="AB20" s="375">
        <f t="shared" si="18"/>
        <v>0</v>
      </c>
      <c r="AC20" s="202">
        <f t="shared" si="19"/>
        <v>0</v>
      </c>
      <c r="AD20" s="376">
        <f t="shared" si="20"/>
        <v>0</v>
      </c>
      <c r="AE20" s="549">
        <f t="shared" si="21"/>
        <v>0</v>
      </c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</row>
    <row r="21" spans="1:72" s="377" customFormat="1">
      <c r="A21" s="192">
        <v>8</v>
      </c>
      <c r="B21" s="470"/>
      <c r="C21" s="192"/>
      <c r="D21" s="192"/>
      <c r="E21" s="373"/>
      <c r="F21" s="373"/>
      <c r="G21" s="192"/>
      <c r="H21" s="192"/>
      <c r="I21" s="192"/>
      <c r="J21" s="201">
        <f t="shared" si="2"/>
        <v>0</v>
      </c>
      <c r="K21" s="541">
        <f t="shared" si="3"/>
        <v>0.3</v>
      </c>
      <c r="L21" s="165">
        <f t="shared" si="4"/>
        <v>0</v>
      </c>
      <c r="M21" s="201">
        <f t="shared" si="5"/>
        <v>0</v>
      </c>
      <c r="N21" s="542">
        <f t="shared" si="6"/>
        <v>100</v>
      </c>
      <c r="O21" s="543">
        <f t="shared" si="0"/>
        <v>9000</v>
      </c>
      <c r="P21" s="201">
        <f t="shared" si="7"/>
        <v>0</v>
      </c>
      <c r="Q21" s="201">
        <f t="shared" si="1"/>
        <v>0</v>
      </c>
      <c r="R21" s="201">
        <f t="shared" si="8"/>
        <v>0</v>
      </c>
      <c r="S21" s="541">
        <f t="shared" si="9"/>
        <v>0</v>
      </c>
      <c r="T21" s="541" t="e" vm="1">
        <f t="shared" si="10"/>
        <v>#VALUE!</v>
      </c>
      <c r="U21" s="201">
        <f t="shared" si="11"/>
        <v>0</v>
      </c>
      <c r="V21" s="374">
        <f t="shared" si="12"/>
        <v>0</v>
      </c>
      <c r="W21" s="201">
        <f t="shared" si="13"/>
        <v>0</v>
      </c>
      <c r="X21" s="201">
        <f t="shared" si="14"/>
        <v>0</v>
      </c>
      <c r="Y21" s="201">
        <f t="shared" si="15"/>
        <v>0</v>
      </c>
      <c r="Z21" s="201">
        <f t="shared" si="16"/>
        <v>0</v>
      </c>
      <c r="AA21" s="201">
        <f t="shared" si="17"/>
        <v>0</v>
      </c>
      <c r="AB21" s="375">
        <f t="shared" si="18"/>
        <v>0</v>
      </c>
      <c r="AC21" s="202">
        <f t="shared" si="19"/>
        <v>0</v>
      </c>
      <c r="AD21" s="376">
        <f t="shared" si="20"/>
        <v>0</v>
      </c>
      <c r="AE21" s="549">
        <f t="shared" si="21"/>
        <v>0</v>
      </c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</row>
    <row r="22" spans="1:72" s="377" customFormat="1">
      <c r="A22" s="192">
        <v>9</v>
      </c>
      <c r="B22" s="470"/>
      <c r="C22" s="192"/>
      <c r="D22" s="192"/>
      <c r="E22" s="373"/>
      <c r="F22" s="373"/>
      <c r="G22" s="192"/>
      <c r="H22" s="192"/>
      <c r="I22" s="192"/>
      <c r="J22" s="201">
        <f t="shared" si="2"/>
        <v>0</v>
      </c>
      <c r="K22" s="541">
        <f t="shared" si="3"/>
        <v>0.3</v>
      </c>
      <c r="L22" s="165">
        <f t="shared" si="4"/>
        <v>0</v>
      </c>
      <c r="M22" s="201">
        <f t="shared" si="5"/>
        <v>0</v>
      </c>
      <c r="N22" s="542">
        <f t="shared" si="6"/>
        <v>100</v>
      </c>
      <c r="O22" s="543">
        <f t="shared" si="0"/>
        <v>9000</v>
      </c>
      <c r="P22" s="201">
        <f t="shared" si="7"/>
        <v>0</v>
      </c>
      <c r="Q22" s="201">
        <f t="shared" si="1"/>
        <v>0</v>
      </c>
      <c r="R22" s="201">
        <f t="shared" si="8"/>
        <v>0</v>
      </c>
      <c r="S22" s="541">
        <f t="shared" si="9"/>
        <v>0</v>
      </c>
      <c r="T22" s="541" t="e" vm="1">
        <f t="shared" si="10"/>
        <v>#VALUE!</v>
      </c>
      <c r="U22" s="201">
        <f t="shared" si="11"/>
        <v>0</v>
      </c>
      <c r="V22" s="374">
        <f t="shared" si="12"/>
        <v>0</v>
      </c>
      <c r="W22" s="201">
        <f t="shared" si="13"/>
        <v>0</v>
      </c>
      <c r="X22" s="201">
        <f t="shared" si="14"/>
        <v>0</v>
      </c>
      <c r="Y22" s="201">
        <f t="shared" si="15"/>
        <v>0</v>
      </c>
      <c r="Z22" s="201">
        <f t="shared" si="16"/>
        <v>0</v>
      </c>
      <c r="AA22" s="201">
        <f t="shared" si="17"/>
        <v>0</v>
      </c>
      <c r="AB22" s="375">
        <f t="shared" si="18"/>
        <v>0</v>
      </c>
      <c r="AC22" s="202">
        <f t="shared" si="19"/>
        <v>0</v>
      </c>
      <c r="AD22" s="376">
        <f t="shared" si="20"/>
        <v>0</v>
      </c>
      <c r="AE22" s="549">
        <f t="shared" si="21"/>
        <v>0</v>
      </c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</row>
    <row r="23" spans="1:72" s="377" customFormat="1">
      <c r="A23" s="192">
        <v>10</v>
      </c>
      <c r="B23" s="470"/>
      <c r="C23" s="192"/>
      <c r="D23" s="192"/>
      <c r="E23" s="373"/>
      <c r="F23" s="373"/>
      <c r="G23" s="192"/>
      <c r="H23" s="192"/>
      <c r="I23" s="192"/>
      <c r="J23" s="201">
        <f t="shared" si="2"/>
        <v>0</v>
      </c>
      <c r="K23" s="541">
        <f t="shared" si="3"/>
        <v>0.3</v>
      </c>
      <c r="L23" s="165">
        <f t="shared" si="4"/>
        <v>0</v>
      </c>
      <c r="M23" s="201">
        <f t="shared" si="5"/>
        <v>0</v>
      </c>
      <c r="N23" s="542">
        <f t="shared" si="6"/>
        <v>100</v>
      </c>
      <c r="O23" s="543">
        <f t="shared" si="0"/>
        <v>9000</v>
      </c>
      <c r="P23" s="201">
        <f t="shared" si="7"/>
        <v>0</v>
      </c>
      <c r="Q23" s="201">
        <f t="shared" si="1"/>
        <v>0</v>
      </c>
      <c r="R23" s="201">
        <f t="shared" si="8"/>
        <v>0</v>
      </c>
      <c r="S23" s="541">
        <f t="shared" si="9"/>
        <v>0</v>
      </c>
      <c r="T23" s="541" t="e" vm="1">
        <f t="shared" si="10"/>
        <v>#VALUE!</v>
      </c>
      <c r="U23" s="201">
        <f t="shared" si="11"/>
        <v>0</v>
      </c>
      <c r="V23" s="374">
        <f t="shared" si="12"/>
        <v>0</v>
      </c>
      <c r="W23" s="201">
        <f t="shared" si="13"/>
        <v>0</v>
      </c>
      <c r="X23" s="201">
        <f t="shared" si="14"/>
        <v>0</v>
      </c>
      <c r="Y23" s="201">
        <f t="shared" si="15"/>
        <v>0</v>
      </c>
      <c r="Z23" s="201">
        <f t="shared" si="16"/>
        <v>0</v>
      </c>
      <c r="AA23" s="201">
        <f t="shared" si="17"/>
        <v>0</v>
      </c>
      <c r="AB23" s="375">
        <f t="shared" si="18"/>
        <v>0</v>
      </c>
      <c r="AC23" s="202">
        <f t="shared" si="19"/>
        <v>0</v>
      </c>
      <c r="AD23" s="376">
        <f t="shared" si="20"/>
        <v>0</v>
      </c>
      <c r="AE23" s="549">
        <f t="shared" si="21"/>
        <v>0</v>
      </c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</row>
    <row r="24" spans="1:72" s="377" customFormat="1">
      <c r="A24" s="192">
        <v>11</v>
      </c>
      <c r="B24" s="470"/>
      <c r="C24" s="192"/>
      <c r="D24" s="192"/>
      <c r="E24" s="373"/>
      <c r="F24" s="373"/>
      <c r="G24" s="192"/>
      <c r="H24" s="192"/>
      <c r="I24" s="192"/>
      <c r="J24" s="201">
        <f t="shared" si="2"/>
        <v>0</v>
      </c>
      <c r="K24" s="541">
        <f t="shared" si="3"/>
        <v>0.3</v>
      </c>
      <c r="L24" s="165">
        <f t="shared" si="4"/>
        <v>0</v>
      </c>
      <c r="M24" s="201">
        <f t="shared" si="5"/>
        <v>0</v>
      </c>
      <c r="N24" s="542">
        <f t="shared" si="6"/>
        <v>100</v>
      </c>
      <c r="O24" s="543">
        <f t="shared" si="0"/>
        <v>9000</v>
      </c>
      <c r="P24" s="201">
        <f t="shared" si="7"/>
        <v>0</v>
      </c>
      <c r="Q24" s="201">
        <f t="shared" si="1"/>
        <v>0</v>
      </c>
      <c r="R24" s="201">
        <f t="shared" si="8"/>
        <v>0</v>
      </c>
      <c r="S24" s="541">
        <f t="shared" si="9"/>
        <v>0</v>
      </c>
      <c r="T24" s="541" t="e" vm="1">
        <f t="shared" si="10"/>
        <v>#VALUE!</v>
      </c>
      <c r="U24" s="201">
        <f t="shared" si="11"/>
        <v>0</v>
      </c>
      <c r="V24" s="374">
        <f t="shared" si="12"/>
        <v>0</v>
      </c>
      <c r="W24" s="201">
        <f t="shared" si="13"/>
        <v>0</v>
      </c>
      <c r="X24" s="201">
        <f t="shared" si="14"/>
        <v>0</v>
      </c>
      <c r="Y24" s="201">
        <f t="shared" si="15"/>
        <v>0</v>
      </c>
      <c r="Z24" s="201">
        <f t="shared" si="16"/>
        <v>0</v>
      </c>
      <c r="AA24" s="201">
        <f t="shared" si="17"/>
        <v>0</v>
      </c>
      <c r="AB24" s="375">
        <f t="shared" si="18"/>
        <v>0</v>
      </c>
      <c r="AC24" s="202">
        <f t="shared" si="19"/>
        <v>0</v>
      </c>
      <c r="AD24" s="376">
        <f t="shared" si="20"/>
        <v>0</v>
      </c>
      <c r="AE24" s="549">
        <f t="shared" si="21"/>
        <v>0</v>
      </c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</row>
    <row r="25" spans="1:72" s="377" customFormat="1">
      <c r="A25" s="192">
        <v>12</v>
      </c>
      <c r="B25" s="470"/>
      <c r="C25" s="192"/>
      <c r="D25" s="192"/>
      <c r="E25" s="373"/>
      <c r="F25" s="373"/>
      <c r="G25" s="192"/>
      <c r="H25" s="192"/>
      <c r="I25" s="192"/>
      <c r="J25" s="201">
        <f t="shared" si="2"/>
        <v>0</v>
      </c>
      <c r="K25" s="541">
        <f t="shared" si="3"/>
        <v>0.3</v>
      </c>
      <c r="L25" s="165">
        <f t="shared" si="4"/>
        <v>0</v>
      </c>
      <c r="M25" s="201">
        <f t="shared" si="5"/>
        <v>0</v>
      </c>
      <c r="N25" s="542">
        <f t="shared" si="6"/>
        <v>100</v>
      </c>
      <c r="O25" s="543">
        <f t="shared" si="0"/>
        <v>9000</v>
      </c>
      <c r="P25" s="201">
        <f t="shared" si="7"/>
        <v>0</v>
      </c>
      <c r="Q25" s="201">
        <f t="shared" si="1"/>
        <v>0</v>
      </c>
      <c r="R25" s="201">
        <f t="shared" si="8"/>
        <v>0</v>
      </c>
      <c r="S25" s="541">
        <f t="shared" si="9"/>
        <v>0</v>
      </c>
      <c r="T25" s="541" t="e" vm="1">
        <f t="shared" si="10"/>
        <v>#VALUE!</v>
      </c>
      <c r="U25" s="201">
        <f t="shared" si="11"/>
        <v>0</v>
      </c>
      <c r="V25" s="374">
        <f t="shared" si="12"/>
        <v>0</v>
      </c>
      <c r="W25" s="201">
        <f t="shared" si="13"/>
        <v>0</v>
      </c>
      <c r="X25" s="201">
        <f t="shared" si="14"/>
        <v>0</v>
      </c>
      <c r="Y25" s="201">
        <f t="shared" si="15"/>
        <v>0</v>
      </c>
      <c r="Z25" s="201">
        <f t="shared" si="16"/>
        <v>0</v>
      </c>
      <c r="AA25" s="201">
        <f t="shared" si="17"/>
        <v>0</v>
      </c>
      <c r="AB25" s="375">
        <f t="shared" si="18"/>
        <v>0</v>
      </c>
      <c r="AC25" s="202">
        <f t="shared" si="19"/>
        <v>0</v>
      </c>
      <c r="AD25" s="376">
        <f t="shared" si="20"/>
        <v>0</v>
      </c>
      <c r="AE25" s="549">
        <f t="shared" si="21"/>
        <v>0</v>
      </c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</row>
    <row r="26" spans="1:72" s="377" customFormat="1">
      <c r="A26" s="192">
        <v>13</v>
      </c>
      <c r="B26" s="470"/>
      <c r="C26" s="192"/>
      <c r="D26" s="192"/>
      <c r="E26" s="373"/>
      <c r="F26" s="373"/>
      <c r="G26" s="192"/>
      <c r="H26" s="192"/>
      <c r="I26" s="192"/>
      <c r="J26" s="201">
        <f t="shared" si="2"/>
        <v>0</v>
      </c>
      <c r="K26" s="541">
        <f t="shared" si="3"/>
        <v>0.3</v>
      </c>
      <c r="L26" s="165">
        <f t="shared" si="4"/>
        <v>0</v>
      </c>
      <c r="M26" s="201">
        <f t="shared" si="5"/>
        <v>0</v>
      </c>
      <c r="N26" s="542">
        <f t="shared" si="6"/>
        <v>100</v>
      </c>
      <c r="O26" s="543">
        <f t="shared" si="0"/>
        <v>9000</v>
      </c>
      <c r="P26" s="201">
        <f t="shared" si="7"/>
        <v>0</v>
      </c>
      <c r="Q26" s="201">
        <f t="shared" si="1"/>
        <v>0</v>
      </c>
      <c r="R26" s="201">
        <f t="shared" si="8"/>
        <v>0</v>
      </c>
      <c r="S26" s="541">
        <f t="shared" si="9"/>
        <v>0</v>
      </c>
      <c r="T26" s="541" t="e" vm="1">
        <f t="shared" si="10"/>
        <v>#VALUE!</v>
      </c>
      <c r="U26" s="201">
        <f t="shared" si="11"/>
        <v>0</v>
      </c>
      <c r="V26" s="374">
        <f t="shared" si="12"/>
        <v>0</v>
      </c>
      <c r="W26" s="201">
        <f t="shared" si="13"/>
        <v>0</v>
      </c>
      <c r="X26" s="201">
        <f t="shared" si="14"/>
        <v>0</v>
      </c>
      <c r="Y26" s="201">
        <f t="shared" si="15"/>
        <v>0</v>
      </c>
      <c r="Z26" s="201">
        <f t="shared" si="16"/>
        <v>0</v>
      </c>
      <c r="AA26" s="201">
        <f t="shared" si="17"/>
        <v>0</v>
      </c>
      <c r="AB26" s="375">
        <f t="shared" si="18"/>
        <v>0</v>
      </c>
      <c r="AC26" s="202">
        <f t="shared" si="19"/>
        <v>0</v>
      </c>
      <c r="AD26" s="376">
        <f t="shared" si="20"/>
        <v>0</v>
      </c>
      <c r="AE26" s="549">
        <f t="shared" si="21"/>
        <v>0</v>
      </c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</row>
    <row r="27" spans="1:72" s="377" customFormat="1">
      <c r="A27" s="192">
        <v>14</v>
      </c>
      <c r="B27" s="470"/>
      <c r="C27" s="192"/>
      <c r="D27" s="192"/>
      <c r="E27" s="373"/>
      <c r="F27" s="373"/>
      <c r="G27" s="192"/>
      <c r="H27" s="192"/>
      <c r="I27" s="192"/>
      <c r="J27" s="201">
        <f t="shared" si="2"/>
        <v>0</v>
      </c>
      <c r="K27" s="541">
        <f t="shared" si="3"/>
        <v>0.3</v>
      </c>
      <c r="L27" s="165">
        <f t="shared" si="4"/>
        <v>0</v>
      </c>
      <c r="M27" s="201">
        <f t="shared" si="5"/>
        <v>0</v>
      </c>
      <c r="N27" s="542">
        <f t="shared" si="6"/>
        <v>100</v>
      </c>
      <c r="O27" s="543">
        <f t="shared" si="0"/>
        <v>9000</v>
      </c>
      <c r="P27" s="201">
        <f t="shared" si="7"/>
        <v>0</v>
      </c>
      <c r="Q27" s="201">
        <f t="shared" si="1"/>
        <v>0</v>
      </c>
      <c r="R27" s="201">
        <f t="shared" si="8"/>
        <v>0</v>
      </c>
      <c r="S27" s="541">
        <f t="shared" si="9"/>
        <v>0</v>
      </c>
      <c r="T27" s="541" t="e" vm="1">
        <f t="shared" si="10"/>
        <v>#VALUE!</v>
      </c>
      <c r="U27" s="201">
        <f t="shared" si="11"/>
        <v>0</v>
      </c>
      <c r="V27" s="374">
        <f t="shared" si="12"/>
        <v>0</v>
      </c>
      <c r="W27" s="201">
        <f t="shared" si="13"/>
        <v>0</v>
      </c>
      <c r="X27" s="201">
        <f t="shared" si="14"/>
        <v>0</v>
      </c>
      <c r="Y27" s="201">
        <f t="shared" si="15"/>
        <v>0</v>
      </c>
      <c r="Z27" s="201">
        <f t="shared" si="16"/>
        <v>0</v>
      </c>
      <c r="AA27" s="201">
        <f t="shared" si="17"/>
        <v>0</v>
      </c>
      <c r="AB27" s="375">
        <f t="shared" si="18"/>
        <v>0</v>
      </c>
      <c r="AC27" s="202">
        <f t="shared" si="19"/>
        <v>0</v>
      </c>
      <c r="AD27" s="376">
        <f t="shared" si="20"/>
        <v>0</v>
      </c>
      <c r="AE27" s="549">
        <f t="shared" si="21"/>
        <v>0</v>
      </c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</row>
    <row r="28" spans="1:72" s="377" customFormat="1">
      <c r="A28" s="192">
        <v>15</v>
      </c>
      <c r="B28" s="470"/>
      <c r="C28" s="192"/>
      <c r="D28" s="192"/>
      <c r="E28" s="373"/>
      <c r="F28" s="373"/>
      <c r="G28" s="192"/>
      <c r="H28" s="192"/>
      <c r="I28" s="192"/>
      <c r="J28" s="201">
        <f t="shared" si="2"/>
        <v>0</v>
      </c>
      <c r="K28" s="541">
        <f t="shared" si="3"/>
        <v>0.3</v>
      </c>
      <c r="L28" s="165">
        <f t="shared" si="4"/>
        <v>0</v>
      </c>
      <c r="M28" s="201">
        <f t="shared" si="5"/>
        <v>0</v>
      </c>
      <c r="N28" s="542">
        <f t="shared" si="6"/>
        <v>100</v>
      </c>
      <c r="O28" s="543">
        <f t="shared" si="0"/>
        <v>9000</v>
      </c>
      <c r="P28" s="201">
        <f t="shared" si="7"/>
        <v>0</v>
      </c>
      <c r="Q28" s="201">
        <f t="shared" si="1"/>
        <v>0</v>
      </c>
      <c r="R28" s="201">
        <f t="shared" si="8"/>
        <v>0</v>
      </c>
      <c r="S28" s="541">
        <f t="shared" si="9"/>
        <v>0</v>
      </c>
      <c r="T28" s="541" t="e" vm="1">
        <f t="shared" si="10"/>
        <v>#VALUE!</v>
      </c>
      <c r="U28" s="201">
        <f t="shared" si="11"/>
        <v>0</v>
      </c>
      <c r="V28" s="374">
        <f t="shared" si="12"/>
        <v>0</v>
      </c>
      <c r="W28" s="201">
        <f t="shared" si="13"/>
        <v>0</v>
      </c>
      <c r="X28" s="201">
        <f t="shared" si="14"/>
        <v>0</v>
      </c>
      <c r="Y28" s="201">
        <f t="shared" si="15"/>
        <v>0</v>
      </c>
      <c r="Z28" s="201">
        <f t="shared" si="16"/>
        <v>0</v>
      </c>
      <c r="AA28" s="201">
        <f t="shared" si="17"/>
        <v>0</v>
      </c>
      <c r="AB28" s="375">
        <f t="shared" si="18"/>
        <v>0</v>
      </c>
      <c r="AC28" s="202">
        <f t="shared" si="19"/>
        <v>0</v>
      </c>
      <c r="AD28" s="376">
        <f t="shared" si="20"/>
        <v>0</v>
      </c>
      <c r="AE28" s="549">
        <f t="shared" si="21"/>
        <v>0</v>
      </c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</row>
    <row r="29" spans="1:72" s="377" customFormat="1">
      <c r="A29" s="192">
        <v>16</v>
      </c>
      <c r="B29" s="470"/>
      <c r="C29" s="192"/>
      <c r="D29" s="192"/>
      <c r="E29" s="373"/>
      <c r="F29" s="373"/>
      <c r="G29" s="192"/>
      <c r="H29" s="192"/>
      <c r="I29" s="192"/>
      <c r="J29" s="201">
        <f t="shared" si="2"/>
        <v>0</v>
      </c>
      <c r="K29" s="541">
        <f t="shared" si="3"/>
        <v>0.3</v>
      </c>
      <c r="L29" s="165">
        <f t="shared" si="4"/>
        <v>0</v>
      </c>
      <c r="M29" s="201">
        <f t="shared" si="5"/>
        <v>0</v>
      </c>
      <c r="N29" s="542">
        <f t="shared" si="6"/>
        <v>100</v>
      </c>
      <c r="O29" s="543">
        <f t="shared" si="0"/>
        <v>9000</v>
      </c>
      <c r="P29" s="201">
        <f t="shared" si="7"/>
        <v>0</v>
      </c>
      <c r="Q29" s="201">
        <f t="shared" si="1"/>
        <v>0</v>
      </c>
      <c r="R29" s="201">
        <f t="shared" si="8"/>
        <v>0</v>
      </c>
      <c r="S29" s="541">
        <f t="shared" si="9"/>
        <v>0</v>
      </c>
      <c r="T29" s="541" t="e" vm="1">
        <f t="shared" si="10"/>
        <v>#VALUE!</v>
      </c>
      <c r="U29" s="201">
        <f t="shared" si="11"/>
        <v>0</v>
      </c>
      <c r="V29" s="374">
        <f t="shared" si="12"/>
        <v>0</v>
      </c>
      <c r="W29" s="201">
        <f t="shared" si="13"/>
        <v>0</v>
      </c>
      <c r="X29" s="201">
        <f t="shared" si="14"/>
        <v>0</v>
      </c>
      <c r="Y29" s="201">
        <f t="shared" si="15"/>
        <v>0</v>
      </c>
      <c r="Z29" s="201">
        <f t="shared" si="16"/>
        <v>0</v>
      </c>
      <c r="AA29" s="201">
        <f t="shared" si="17"/>
        <v>0</v>
      </c>
      <c r="AB29" s="375">
        <f t="shared" si="18"/>
        <v>0</v>
      </c>
      <c r="AC29" s="202">
        <f t="shared" si="19"/>
        <v>0</v>
      </c>
      <c r="AD29" s="376">
        <f t="shared" si="20"/>
        <v>0</v>
      </c>
      <c r="AE29" s="549">
        <f t="shared" si="21"/>
        <v>0</v>
      </c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</row>
    <row r="30" spans="1:72" s="377" customFormat="1">
      <c r="A30" s="192">
        <v>17</v>
      </c>
      <c r="B30" s="470"/>
      <c r="C30" s="192"/>
      <c r="D30" s="192"/>
      <c r="E30" s="373"/>
      <c r="F30" s="373"/>
      <c r="G30" s="192"/>
      <c r="H30" s="192"/>
      <c r="I30" s="192"/>
      <c r="J30" s="201">
        <f t="shared" si="2"/>
        <v>0</v>
      </c>
      <c r="K30" s="541">
        <f t="shared" si="3"/>
        <v>0.3</v>
      </c>
      <c r="L30" s="165">
        <f t="shared" si="4"/>
        <v>0</v>
      </c>
      <c r="M30" s="201">
        <f t="shared" si="5"/>
        <v>0</v>
      </c>
      <c r="N30" s="542">
        <f t="shared" si="6"/>
        <v>100</v>
      </c>
      <c r="O30" s="543">
        <f t="shared" si="0"/>
        <v>9000</v>
      </c>
      <c r="P30" s="201">
        <f t="shared" si="7"/>
        <v>0</v>
      </c>
      <c r="Q30" s="201">
        <f t="shared" si="1"/>
        <v>0</v>
      </c>
      <c r="R30" s="201">
        <f t="shared" si="8"/>
        <v>0</v>
      </c>
      <c r="S30" s="541">
        <f t="shared" si="9"/>
        <v>0</v>
      </c>
      <c r="T30" s="541" t="e" vm="1">
        <f t="shared" si="10"/>
        <v>#VALUE!</v>
      </c>
      <c r="U30" s="201">
        <f t="shared" si="11"/>
        <v>0</v>
      </c>
      <c r="V30" s="374">
        <f t="shared" si="12"/>
        <v>0</v>
      </c>
      <c r="W30" s="201">
        <f t="shared" si="13"/>
        <v>0</v>
      </c>
      <c r="X30" s="201">
        <f t="shared" si="14"/>
        <v>0</v>
      </c>
      <c r="Y30" s="201">
        <f t="shared" si="15"/>
        <v>0</v>
      </c>
      <c r="Z30" s="201">
        <f t="shared" si="16"/>
        <v>0</v>
      </c>
      <c r="AA30" s="201">
        <f t="shared" si="17"/>
        <v>0</v>
      </c>
      <c r="AB30" s="375">
        <f t="shared" si="18"/>
        <v>0</v>
      </c>
      <c r="AC30" s="202">
        <f t="shared" si="19"/>
        <v>0</v>
      </c>
      <c r="AD30" s="376">
        <f t="shared" si="20"/>
        <v>0</v>
      </c>
      <c r="AE30" s="549">
        <f t="shared" si="21"/>
        <v>0</v>
      </c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</row>
    <row r="31" spans="1:72" s="377" customFormat="1">
      <c r="A31" s="192">
        <v>18</v>
      </c>
      <c r="B31" s="470"/>
      <c r="C31" s="192"/>
      <c r="D31" s="192"/>
      <c r="E31" s="373"/>
      <c r="F31" s="373"/>
      <c r="G31" s="192"/>
      <c r="H31" s="192"/>
      <c r="I31" s="192"/>
      <c r="J31" s="201">
        <f t="shared" si="2"/>
        <v>0</v>
      </c>
      <c r="K31" s="541">
        <f t="shared" si="3"/>
        <v>0.3</v>
      </c>
      <c r="L31" s="165">
        <f t="shared" si="4"/>
        <v>0</v>
      </c>
      <c r="M31" s="201">
        <f t="shared" si="5"/>
        <v>0</v>
      </c>
      <c r="N31" s="542">
        <f t="shared" si="6"/>
        <v>100</v>
      </c>
      <c r="O31" s="543">
        <f t="shared" si="0"/>
        <v>9000</v>
      </c>
      <c r="P31" s="201">
        <f t="shared" si="7"/>
        <v>0</v>
      </c>
      <c r="Q31" s="201">
        <f t="shared" si="1"/>
        <v>0</v>
      </c>
      <c r="R31" s="201">
        <f t="shared" si="8"/>
        <v>0</v>
      </c>
      <c r="S31" s="541">
        <f t="shared" si="9"/>
        <v>0</v>
      </c>
      <c r="T31" s="541" t="e" vm="1">
        <f t="shared" si="10"/>
        <v>#VALUE!</v>
      </c>
      <c r="U31" s="201">
        <f t="shared" si="11"/>
        <v>0</v>
      </c>
      <c r="V31" s="374">
        <f t="shared" si="12"/>
        <v>0</v>
      </c>
      <c r="W31" s="201">
        <f t="shared" si="13"/>
        <v>0</v>
      </c>
      <c r="X31" s="201">
        <f t="shared" si="14"/>
        <v>0</v>
      </c>
      <c r="Y31" s="201">
        <f t="shared" si="15"/>
        <v>0</v>
      </c>
      <c r="Z31" s="201">
        <f t="shared" si="16"/>
        <v>0</v>
      </c>
      <c r="AA31" s="201">
        <f t="shared" si="17"/>
        <v>0</v>
      </c>
      <c r="AB31" s="375">
        <f t="shared" si="18"/>
        <v>0</v>
      </c>
      <c r="AC31" s="202">
        <f t="shared" si="19"/>
        <v>0</v>
      </c>
      <c r="AD31" s="376">
        <f t="shared" si="20"/>
        <v>0</v>
      </c>
      <c r="AE31" s="549">
        <f t="shared" si="21"/>
        <v>0</v>
      </c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</row>
    <row r="32" spans="1:72" s="377" customFormat="1">
      <c r="A32" s="192">
        <v>19</v>
      </c>
      <c r="B32" s="470"/>
      <c r="C32" s="192"/>
      <c r="D32" s="192"/>
      <c r="E32" s="373"/>
      <c r="F32" s="373"/>
      <c r="G32" s="192"/>
      <c r="H32" s="192"/>
      <c r="I32" s="192"/>
      <c r="J32" s="201">
        <f t="shared" si="2"/>
        <v>0</v>
      </c>
      <c r="K32" s="541">
        <f t="shared" si="3"/>
        <v>0.3</v>
      </c>
      <c r="L32" s="165">
        <f t="shared" si="4"/>
        <v>0</v>
      </c>
      <c r="M32" s="201">
        <f t="shared" si="5"/>
        <v>0</v>
      </c>
      <c r="N32" s="542">
        <f t="shared" si="6"/>
        <v>100</v>
      </c>
      <c r="O32" s="543">
        <f t="shared" si="0"/>
        <v>9000</v>
      </c>
      <c r="P32" s="201">
        <f t="shared" si="7"/>
        <v>0</v>
      </c>
      <c r="Q32" s="201">
        <f t="shared" si="1"/>
        <v>0</v>
      </c>
      <c r="R32" s="201">
        <f t="shared" si="8"/>
        <v>0</v>
      </c>
      <c r="S32" s="541">
        <f t="shared" si="9"/>
        <v>0</v>
      </c>
      <c r="T32" s="541" t="e" vm="1">
        <f t="shared" si="10"/>
        <v>#VALUE!</v>
      </c>
      <c r="U32" s="201">
        <f t="shared" si="11"/>
        <v>0</v>
      </c>
      <c r="V32" s="374">
        <f t="shared" si="12"/>
        <v>0</v>
      </c>
      <c r="W32" s="201">
        <f t="shared" si="13"/>
        <v>0</v>
      </c>
      <c r="X32" s="201">
        <f t="shared" si="14"/>
        <v>0</v>
      </c>
      <c r="Y32" s="201">
        <f t="shared" si="15"/>
        <v>0</v>
      </c>
      <c r="Z32" s="201">
        <f t="shared" si="16"/>
        <v>0</v>
      </c>
      <c r="AA32" s="201">
        <f t="shared" si="17"/>
        <v>0</v>
      </c>
      <c r="AB32" s="375">
        <f t="shared" si="18"/>
        <v>0</v>
      </c>
      <c r="AC32" s="202">
        <f t="shared" si="19"/>
        <v>0</v>
      </c>
      <c r="AD32" s="376">
        <f t="shared" si="20"/>
        <v>0</v>
      </c>
      <c r="AE32" s="549">
        <f>AB32*$P$5</f>
        <v>0</v>
      </c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</row>
    <row r="33" spans="1:72" s="377" customFormat="1">
      <c r="A33" s="192">
        <v>20</v>
      </c>
      <c r="B33" s="470"/>
      <c r="C33" s="192"/>
      <c r="D33" s="192"/>
      <c r="E33" s="373"/>
      <c r="F33" s="373"/>
      <c r="G33" s="192"/>
      <c r="H33" s="192"/>
      <c r="I33" s="192"/>
      <c r="J33" s="201">
        <f t="shared" si="2"/>
        <v>0</v>
      </c>
      <c r="K33" s="541">
        <f t="shared" si="3"/>
        <v>0.3</v>
      </c>
      <c r="L33" s="165">
        <f t="shared" si="4"/>
        <v>0</v>
      </c>
      <c r="M33" s="201">
        <f t="shared" si="5"/>
        <v>0</v>
      </c>
      <c r="N33" s="542">
        <f t="shared" si="6"/>
        <v>100</v>
      </c>
      <c r="O33" s="543">
        <f t="shared" si="0"/>
        <v>9000</v>
      </c>
      <c r="P33" s="201">
        <f t="shared" si="7"/>
        <v>0</v>
      </c>
      <c r="Q33" s="201">
        <f t="shared" si="1"/>
        <v>0</v>
      </c>
      <c r="R33" s="201">
        <f t="shared" si="8"/>
        <v>0</v>
      </c>
      <c r="S33" s="541">
        <f t="shared" si="9"/>
        <v>0</v>
      </c>
      <c r="T33" s="541" t="e" vm="1">
        <f t="shared" si="10"/>
        <v>#VALUE!</v>
      </c>
      <c r="U33" s="201">
        <f t="shared" si="11"/>
        <v>0</v>
      </c>
      <c r="V33" s="374">
        <f t="shared" si="12"/>
        <v>0</v>
      </c>
      <c r="W33" s="201">
        <f t="shared" si="13"/>
        <v>0</v>
      </c>
      <c r="X33" s="201">
        <f t="shared" si="14"/>
        <v>0</v>
      </c>
      <c r="Y33" s="201">
        <f t="shared" si="15"/>
        <v>0</v>
      </c>
      <c r="Z33" s="201">
        <f t="shared" si="16"/>
        <v>0</v>
      </c>
      <c r="AA33" s="201">
        <f t="shared" si="17"/>
        <v>0</v>
      </c>
      <c r="AB33" s="375">
        <f t="shared" si="18"/>
        <v>0</v>
      </c>
      <c r="AC33" s="202">
        <f t="shared" si="19"/>
        <v>0</v>
      </c>
      <c r="AD33" s="376">
        <f t="shared" si="20"/>
        <v>0</v>
      </c>
      <c r="AE33" s="549">
        <f t="shared" si="21"/>
        <v>0</v>
      </c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</row>
    <row r="34" spans="1:72" s="377" customFormat="1">
      <c r="A34" s="192">
        <v>21</v>
      </c>
      <c r="B34" s="470"/>
      <c r="C34" s="192"/>
      <c r="D34" s="192"/>
      <c r="E34" s="373"/>
      <c r="F34" s="373"/>
      <c r="G34" s="192"/>
      <c r="H34" s="192"/>
      <c r="I34" s="192"/>
      <c r="J34" s="201">
        <f t="shared" si="2"/>
        <v>0</v>
      </c>
      <c r="K34" s="541">
        <f t="shared" si="3"/>
        <v>0.3</v>
      </c>
      <c r="L34" s="165">
        <f t="shared" si="4"/>
        <v>0</v>
      </c>
      <c r="M34" s="201">
        <f t="shared" si="5"/>
        <v>0</v>
      </c>
      <c r="N34" s="542">
        <f t="shared" si="6"/>
        <v>100</v>
      </c>
      <c r="O34" s="543">
        <f t="shared" si="0"/>
        <v>9000</v>
      </c>
      <c r="P34" s="201">
        <f t="shared" si="7"/>
        <v>0</v>
      </c>
      <c r="Q34" s="201">
        <f t="shared" si="1"/>
        <v>0</v>
      </c>
      <c r="R34" s="201">
        <f t="shared" si="8"/>
        <v>0</v>
      </c>
      <c r="S34" s="541">
        <f t="shared" si="9"/>
        <v>0</v>
      </c>
      <c r="T34" s="541" t="e" vm="1">
        <f t="shared" si="10"/>
        <v>#VALUE!</v>
      </c>
      <c r="U34" s="201">
        <f t="shared" si="11"/>
        <v>0</v>
      </c>
      <c r="V34" s="374">
        <f t="shared" si="12"/>
        <v>0</v>
      </c>
      <c r="W34" s="201">
        <f t="shared" si="13"/>
        <v>0</v>
      </c>
      <c r="X34" s="201">
        <f t="shared" si="14"/>
        <v>0</v>
      </c>
      <c r="Y34" s="201">
        <f t="shared" si="15"/>
        <v>0</v>
      </c>
      <c r="Z34" s="201">
        <f t="shared" si="16"/>
        <v>0</v>
      </c>
      <c r="AA34" s="201">
        <f t="shared" si="17"/>
        <v>0</v>
      </c>
      <c r="AB34" s="375">
        <f t="shared" si="18"/>
        <v>0</v>
      </c>
      <c r="AC34" s="202">
        <f t="shared" si="19"/>
        <v>0</v>
      </c>
      <c r="AD34" s="376">
        <f t="shared" si="20"/>
        <v>0</v>
      </c>
      <c r="AE34" s="549">
        <f t="shared" si="21"/>
        <v>0</v>
      </c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</row>
    <row r="35" spans="1:72" s="377" customFormat="1">
      <c r="A35" s="192">
        <v>22</v>
      </c>
      <c r="B35" s="470"/>
      <c r="C35" s="192"/>
      <c r="D35" s="192"/>
      <c r="E35" s="373"/>
      <c r="F35" s="373"/>
      <c r="G35" s="192"/>
      <c r="H35" s="192"/>
      <c r="I35" s="192"/>
      <c r="J35" s="201">
        <f t="shared" si="2"/>
        <v>0</v>
      </c>
      <c r="K35" s="541">
        <f t="shared" si="3"/>
        <v>0.3</v>
      </c>
      <c r="L35" s="165">
        <f t="shared" si="4"/>
        <v>0</v>
      </c>
      <c r="M35" s="201">
        <f t="shared" si="5"/>
        <v>0</v>
      </c>
      <c r="N35" s="542">
        <f t="shared" si="6"/>
        <v>100</v>
      </c>
      <c r="O35" s="543">
        <f t="shared" si="0"/>
        <v>9000</v>
      </c>
      <c r="P35" s="201">
        <f t="shared" si="7"/>
        <v>0</v>
      </c>
      <c r="Q35" s="201">
        <f t="shared" si="1"/>
        <v>0</v>
      </c>
      <c r="R35" s="201">
        <f t="shared" si="8"/>
        <v>0</v>
      </c>
      <c r="S35" s="541">
        <f t="shared" si="9"/>
        <v>0</v>
      </c>
      <c r="T35" s="541" t="e" vm="1">
        <f t="shared" si="10"/>
        <v>#VALUE!</v>
      </c>
      <c r="U35" s="201">
        <f t="shared" si="11"/>
        <v>0</v>
      </c>
      <c r="V35" s="374">
        <f t="shared" si="12"/>
        <v>0</v>
      </c>
      <c r="W35" s="201">
        <f t="shared" si="13"/>
        <v>0</v>
      </c>
      <c r="X35" s="201">
        <f t="shared" si="14"/>
        <v>0</v>
      </c>
      <c r="Y35" s="201">
        <f t="shared" si="15"/>
        <v>0</v>
      </c>
      <c r="Z35" s="201">
        <f t="shared" si="16"/>
        <v>0</v>
      </c>
      <c r="AA35" s="201">
        <f t="shared" si="17"/>
        <v>0</v>
      </c>
      <c r="AB35" s="375">
        <f t="shared" si="18"/>
        <v>0</v>
      </c>
      <c r="AC35" s="202">
        <f t="shared" si="19"/>
        <v>0</v>
      </c>
      <c r="AD35" s="376">
        <f t="shared" si="20"/>
        <v>0</v>
      </c>
      <c r="AE35" s="549">
        <f t="shared" si="21"/>
        <v>0</v>
      </c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</row>
    <row r="36" spans="1:72" s="377" customFormat="1">
      <c r="A36" s="192">
        <v>23</v>
      </c>
      <c r="B36" s="470"/>
      <c r="C36" s="192"/>
      <c r="D36" s="192"/>
      <c r="E36" s="373"/>
      <c r="F36" s="373"/>
      <c r="G36" s="192"/>
      <c r="H36" s="192"/>
      <c r="I36" s="192"/>
      <c r="J36" s="201">
        <f t="shared" si="2"/>
        <v>0</v>
      </c>
      <c r="K36" s="541">
        <f t="shared" si="3"/>
        <v>0.3</v>
      </c>
      <c r="L36" s="165">
        <f t="shared" si="4"/>
        <v>0</v>
      </c>
      <c r="M36" s="201">
        <f t="shared" si="5"/>
        <v>0</v>
      </c>
      <c r="N36" s="542">
        <f t="shared" si="6"/>
        <v>100</v>
      </c>
      <c r="O36" s="543">
        <f t="shared" si="0"/>
        <v>9000</v>
      </c>
      <c r="P36" s="201">
        <f t="shared" si="7"/>
        <v>0</v>
      </c>
      <c r="Q36" s="201">
        <f t="shared" si="1"/>
        <v>0</v>
      </c>
      <c r="R36" s="201">
        <f t="shared" si="8"/>
        <v>0</v>
      </c>
      <c r="S36" s="541">
        <f t="shared" si="9"/>
        <v>0</v>
      </c>
      <c r="T36" s="541" t="e" vm="1">
        <f t="shared" si="10"/>
        <v>#VALUE!</v>
      </c>
      <c r="U36" s="201">
        <f t="shared" si="11"/>
        <v>0</v>
      </c>
      <c r="V36" s="374">
        <f t="shared" si="12"/>
        <v>0</v>
      </c>
      <c r="W36" s="201">
        <f t="shared" si="13"/>
        <v>0</v>
      </c>
      <c r="X36" s="201">
        <f t="shared" si="14"/>
        <v>0</v>
      </c>
      <c r="Y36" s="201">
        <f t="shared" si="15"/>
        <v>0</v>
      </c>
      <c r="Z36" s="201">
        <f t="shared" si="16"/>
        <v>0</v>
      </c>
      <c r="AA36" s="201">
        <f t="shared" si="17"/>
        <v>0</v>
      </c>
      <c r="AB36" s="375">
        <f t="shared" si="18"/>
        <v>0</v>
      </c>
      <c r="AC36" s="202">
        <f t="shared" si="19"/>
        <v>0</v>
      </c>
      <c r="AD36" s="376">
        <f t="shared" si="20"/>
        <v>0</v>
      </c>
      <c r="AE36" s="549">
        <f t="shared" si="21"/>
        <v>0</v>
      </c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</row>
    <row r="37" spans="1:72" s="377" customFormat="1">
      <c r="A37" s="192">
        <v>24</v>
      </c>
      <c r="B37" s="470"/>
      <c r="C37" s="192"/>
      <c r="D37" s="192"/>
      <c r="E37" s="373"/>
      <c r="F37" s="373"/>
      <c r="G37" s="192"/>
      <c r="H37" s="192"/>
      <c r="I37" s="192"/>
      <c r="J37" s="201">
        <f t="shared" si="2"/>
        <v>0</v>
      </c>
      <c r="K37" s="541">
        <f t="shared" si="3"/>
        <v>0.3</v>
      </c>
      <c r="L37" s="165">
        <f t="shared" si="4"/>
        <v>0</v>
      </c>
      <c r="M37" s="201">
        <f>(F37=1.1)*IF((J37+2*P$9)&lt;F$3,F$3,J37+2*P$9)+(F37=1.2)*(J37+P$9+P$7/2)+(F37=2.1)*IF(L37&lt;F$3,F$3,L37)+(F37=2.2)*L37</f>
        <v>0</v>
      </c>
      <c r="N37" s="542">
        <f t="shared" si="6"/>
        <v>100</v>
      </c>
      <c r="O37" s="543">
        <f t="shared" si="0"/>
        <v>9000</v>
      </c>
      <c r="P37" s="201">
        <f t="shared" si="7"/>
        <v>0</v>
      </c>
      <c r="Q37" s="201">
        <f t="shared" si="1"/>
        <v>0</v>
      </c>
      <c r="R37" s="201">
        <f t="shared" si="8"/>
        <v>0</v>
      </c>
      <c r="S37" s="541">
        <f t="shared" si="9"/>
        <v>0</v>
      </c>
      <c r="T37" s="541" t="e" vm="1">
        <f t="shared" si="10"/>
        <v>#VALUE!</v>
      </c>
      <c r="U37" s="201">
        <f t="shared" si="11"/>
        <v>0</v>
      </c>
      <c r="V37" s="374">
        <f t="shared" si="12"/>
        <v>0</v>
      </c>
      <c r="W37" s="201">
        <f t="shared" si="13"/>
        <v>0</v>
      </c>
      <c r="X37" s="201">
        <f t="shared" si="14"/>
        <v>0</v>
      </c>
      <c r="Y37" s="201">
        <f t="shared" si="15"/>
        <v>0</v>
      </c>
      <c r="Z37" s="201">
        <f t="shared" si="16"/>
        <v>0</v>
      </c>
      <c r="AA37" s="201">
        <f t="shared" si="17"/>
        <v>0</v>
      </c>
      <c r="AB37" s="375">
        <f t="shared" si="18"/>
        <v>0</v>
      </c>
      <c r="AC37" s="202">
        <f t="shared" si="19"/>
        <v>0</v>
      </c>
      <c r="AD37" s="376">
        <f t="shared" si="20"/>
        <v>0</v>
      </c>
      <c r="AE37" s="549">
        <f t="shared" si="21"/>
        <v>0</v>
      </c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</row>
    <row r="38" spans="1:72" s="377" customFormat="1">
      <c r="A38" s="192">
        <v>25</v>
      </c>
      <c r="B38" s="470"/>
      <c r="C38" s="192"/>
      <c r="D38" s="192"/>
      <c r="E38" s="373"/>
      <c r="F38" s="373"/>
      <c r="G38" s="192"/>
      <c r="H38" s="192"/>
      <c r="I38" s="192"/>
      <c r="J38" s="201">
        <f t="shared" si="2"/>
        <v>0</v>
      </c>
      <c r="K38" s="541">
        <f t="shared" si="3"/>
        <v>0.3</v>
      </c>
      <c r="L38" s="165">
        <f t="shared" si="4"/>
        <v>0</v>
      </c>
      <c r="M38" s="201">
        <f t="shared" si="5"/>
        <v>0</v>
      </c>
      <c r="N38" s="542">
        <f t="shared" si="6"/>
        <v>100</v>
      </c>
      <c r="O38" s="543">
        <f t="shared" si="0"/>
        <v>9000</v>
      </c>
      <c r="P38" s="201">
        <f t="shared" si="7"/>
        <v>0</v>
      </c>
      <c r="Q38" s="201">
        <f t="shared" si="1"/>
        <v>0</v>
      </c>
      <c r="R38" s="201">
        <f t="shared" si="8"/>
        <v>0</v>
      </c>
      <c r="S38" s="541">
        <f t="shared" si="9"/>
        <v>0</v>
      </c>
      <c r="T38" s="541" t="e" vm="1">
        <f t="shared" si="10"/>
        <v>#VALUE!</v>
      </c>
      <c r="U38" s="201">
        <f t="shared" si="11"/>
        <v>0</v>
      </c>
      <c r="V38" s="374">
        <f t="shared" si="12"/>
        <v>0</v>
      </c>
      <c r="W38" s="201">
        <f t="shared" si="13"/>
        <v>0</v>
      </c>
      <c r="X38" s="201">
        <f t="shared" si="14"/>
        <v>0</v>
      </c>
      <c r="Y38" s="201">
        <f t="shared" si="15"/>
        <v>0</v>
      </c>
      <c r="Z38" s="201">
        <f t="shared" si="16"/>
        <v>0</v>
      </c>
      <c r="AA38" s="201">
        <f t="shared" si="17"/>
        <v>0</v>
      </c>
      <c r="AB38" s="375">
        <f t="shared" si="18"/>
        <v>0</v>
      </c>
      <c r="AC38" s="202">
        <f t="shared" si="19"/>
        <v>0</v>
      </c>
      <c r="AD38" s="376">
        <f t="shared" si="20"/>
        <v>0</v>
      </c>
      <c r="AE38" s="549">
        <f t="shared" si="21"/>
        <v>0</v>
      </c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</row>
    <row r="39" spans="1:72" s="377" customFormat="1">
      <c r="A39" s="192">
        <v>26</v>
      </c>
      <c r="B39" s="470"/>
      <c r="C39" s="192"/>
      <c r="D39" s="192"/>
      <c r="E39" s="373"/>
      <c r="F39" s="373"/>
      <c r="G39" s="192"/>
      <c r="H39" s="192"/>
      <c r="I39" s="192"/>
      <c r="J39" s="201">
        <f t="shared" si="2"/>
        <v>0</v>
      </c>
      <c r="K39" s="541">
        <f t="shared" si="3"/>
        <v>0.3</v>
      </c>
      <c r="L39" s="165">
        <f t="shared" si="4"/>
        <v>0</v>
      </c>
      <c r="M39" s="201">
        <f t="shared" si="5"/>
        <v>0</v>
      </c>
      <c r="N39" s="542">
        <f t="shared" si="6"/>
        <v>100</v>
      </c>
      <c r="O39" s="543">
        <f t="shared" si="0"/>
        <v>9000</v>
      </c>
      <c r="P39" s="201">
        <f t="shared" si="7"/>
        <v>0</v>
      </c>
      <c r="Q39" s="201">
        <f t="shared" si="1"/>
        <v>0</v>
      </c>
      <c r="R39" s="201">
        <f t="shared" si="8"/>
        <v>0</v>
      </c>
      <c r="S39" s="541">
        <f t="shared" si="9"/>
        <v>0</v>
      </c>
      <c r="T39" s="541" t="e" vm="1">
        <f t="shared" si="10"/>
        <v>#VALUE!</v>
      </c>
      <c r="U39" s="201">
        <f t="shared" si="11"/>
        <v>0</v>
      </c>
      <c r="V39" s="374">
        <f t="shared" si="12"/>
        <v>0</v>
      </c>
      <c r="W39" s="201">
        <f t="shared" si="13"/>
        <v>0</v>
      </c>
      <c r="X39" s="201">
        <f t="shared" si="14"/>
        <v>0</v>
      </c>
      <c r="Y39" s="201">
        <f t="shared" si="15"/>
        <v>0</v>
      </c>
      <c r="Z39" s="201">
        <f t="shared" si="16"/>
        <v>0</v>
      </c>
      <c r="AA39" s="201">
        <f t="shared" si="17"/>
        <v>0</v>
      </c>
      <c r="AB39" s="375">
        <f t="shared" si="18"/>
        <v>0</v>
      </c>
      <c r="AC39" s="202">
        <f t="shared" si="19"/>
        <v>0</v>
      </c>
      <c r="AD39" s="376">
        <f t="shared" si="20"/>
        <v>0</v>
      </c>
      <c r="AE39" s="549">
        <f t="shared" si="21"/>
        <v>0</v>
      </c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</row>
    <row r="40" spans="1:72" s="377" customFormat="1">
      <c r="A40" s="192">
        <v>27</v>
      </c>
      <c r="B40" s="470"/>
      <c r="C40" s="192"/>
      <c r="D40" s="192"/>
      <c r="E40" s="373"/>
      <c r="F40" s="373"/>
      <c r="G40" s="192"/>
      <c r="H40" s="192"/>
      <c r="I40" s="192"/>
      <c r="J40" s="201">
        <f t="shared" si="2"/>
        <v>0</v>
      </c>
      <c r="K40" s="541">
        <f t="shared" si="3"/>
        <v>0.3</v>
      </c>
      <c r="L40" s="165">
        <f t="shared" si="4"/>
        <v>0</v>
      </c>
      <c r="M40" s="201">
        <f t="shared" si="5"/>
        <v>0</v>
      </c>
      <c r="N40" s="542">
        <f t="shared" si="6"/>
        <v>100</v>
      </c>
      <c r="O40" s="543">
        <f t="shared" si="0"/>
        <v>9000</v>
      </c>
      <c r="P40" s="201">
        <f t="shared" si="7"/>
        <v>0</v>
      </c>
      <c r="Q40" s="201">
        <f t="shared" si="1"/>
        <v>0</v>
      </c>
      <c r="R40" s="201">
        <f t="shared" si="8"/>
        <v>0</v>
      </c>
      <c r="S40" s="541">
        <f t="shared" si="9"/>
        <v>0</v>
      </c>
      <c r="T40" s="541" t="e" vm="1">
        <f t="shared" si="10"/>
        <v>#VALUE!</v>
      </c>
      <c r="U40" s="201">
        <f t="shared" si="11"/>
        <v>0</v>
      </c>
      <c r="V40" s="374">
        <f t="shared" si="12"/>
        <v>0</v>
      </c>
      <c r="W40" s="201">
        <f t="shared" si="13"/>
        <v>0</v>
      </c>
      <c r="X40" s="201">
        <f t="shared" si="14"/>
        <v>0</v>
      </c>
      <c r="Y40" s="201">
        <f t="shared" si="15"/>
        <v>0</v>
      </c>
      <c r="Z40" s="201">
        <f t="shared" si="16"/>
        <v>0</v>
      </c>
      <c r="AA40" s="201">
        <f t="shared" si="17"/>
        <v>0</v>
      </c>
      <c r="AB40" s="375">
        <f t="shared" si="18"/>
        <v>0</v>
      </c>
      <c r="AC40" s="202">
        <f t="shared" si="19"/>
        <v>0</v>
      </c>
      <c r="AD40" s="376">
        <f t="shared" si="20"/>
        <v>0</v>
      </c>
      <c r="AE40" s="549">
        <f t="shared" si="21"/>
        <v>0</v>
      </c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</row>
    <row r="41" spans="1:72" s="377" customFormat="1">
      <c r="A41" s="192">
        <v>28</v>
      </c>
      <c r="B41" s="470"/>
      <c r="C41" s="192"/>
      <c r="D41" s="192"/>
      <c r="E41" s="373"/>
      <c r="F41" s="373"/>
      <c r="G41" s="192"/>
      <c r="H41" s="192"/>
      <c r="I41" s="192"/>
      <c r="J41" s="201">
        <f t="shared" si="2"/>
        <v>0</v>
      </c>
      <c r="K41" s="541">
        <f t="shared" si="3"/>
        <v>0.3</v>
      </c>
      <c r="L41" s="165">
        <f t="shared" si="4"/>
        <v>0</v>
      </c>
      <c r="M41" s="201">
        <f t="shared" si="5"/>
        <v>0</v>
      </c>
      <c r="N41" s="542">
        <f t="shared" si="6"/>
        <v>100</v>
      </c>
      <c r="O41" s="543">
        <f t="shared" si="0"/>
        <v>9000</v>
      </c>
      <c r="P41" s="201">
        <f t="shared" si="7"/>
        <v>0</v>
      </c>
      <c r="Q41" s="201">
        <f t="shared" si="1"/>
        <v>0</v>
      </c>
      <c r="R41" s="201">
        <f t="shared" si="8"/>
        <v>0</v>
      </c>
      <c r="S41" s="541">
        <f t="shared" si="9"/>
        <v>0</v>
      </c>
      <c r="T41" s="541" t="e" vm="1">
        <f t="shared" si="10"/>
        <v>#VALUE!</v>
      </c>
      <c r="U41" s="201">
        <f t="shared" si="11"/>
        <v>0</v>
      </c>
      <c r="V41" s="374">
        <f t="shared" si="12"/>
        <v>0</v>
      </c>
      <c r="W41" s="201">
        <f t="shared" si="13"/>
        <v>0</v>
      </c>
      <c r="X41" s="201">
        <f t="shared" si="14"/>
        <v>0</v>
      </c>
      <c r="Y41" s="201">
        <f t="shared" si="15"/>
        <v>0</v>
      </c>
      <c r="Z41" s="201">
        <f t="shared" si="16"/>
        <v>0</v>
      </c>
      <c r="AA41" s="201">
        <f t="shared" si="17"/>
        <v>0</v>
      </c>
      <c r="AB41" s="375">
        <f t="shared" si="18"/>
        <v>0</v>
      </c>
      <c r="AC41" s="202">
        <f t="shared" si="19"/>
        <v>0</v>
      </c>
      <c r="AD41" s="376">
        <f t="shared" si="20"/>
        <v>0</v>
      </c>
      <c r="AE41" s="549">
        <f t="shared" si="21"/>
        <v>0</v>
      </c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</row>
    <row r="42" spans="1:72" s="377" customFormat="1">
      <c r="A42" s="192">
        <v>29</v>
      </c>
      <c r="B42" s="470"/>
      <c r="C42" s="192"/>
      <c r="D42" s="192"/>
      <c r="E42" s="373"/>
      <c r="F42" s="373"/>
      <c r="G42" s="192"/>
      <c r="H42" s="192"/>
      <c r="I42" s="192"/>
      <c r="J42" s="201">
        <f t="shared" si="2"/>
        <v>0</v>
      </c>
      <c r="K42" s="541">
        <f t="shared" si="3"/>
        <v>0.3</v>
      </c>
      <c r="L42" s="165">
        <f t="shared" si="4"/>
        <v>0</v>
      </c>
      <c r="M42" s="201">
        <f t="shared" si="5"/>
        <v>0</v>
      </c>
      <c r="N42" s="542">
        <f t="shared" si="6"/>
        <v>100</v>
      </c>
      <c r="O42" s="543">
        <f t="shared" si="0"/>
        <v>9000</v>
      </c>
      <c r="P42" s="201">
        <f t="shared" si="7"/>
        <v>0</v>
      </c>
      <c r="Q42" s="201">
        <f t="shared" si="1"/>
        <v>0</v>
      </c>
      <c r="R42" s="201">
        <f t="shared" si="8"/>
        <v>0</v>
      </c>
      <c r="S42" s="541">
        <f t="shared" si="9"/>
        <v>0</v>
      </c>
      <c r="T42" s="541" t="e" vm="1">
        <f t="shared" si="10"/>
        <v>#VALUE!</v>
      </c>
      <c r="U42" s="201">
        <f t="shared" si="11"/>
        <v>0</v>
      </c>
      <c r="V42" s="374">
        <f t="shared" si="12"/>
        <v>0</v>
      </c>
      <c r="W42" s="201">
        <f t="shared" si="13"/>
        <v>0</v>
      </c>
      <c r="X42" s="201">
        <f t="shared" si="14"/>
        <v>0</v>
      </c>
      <c r="Y42" s="201">
        <f t="shared" si="15"/>
        <v>0</v>
      </c>
      <c r="Z42" s="201">
        <f t="shared" si="16"/>
        <v>0</v>
      </c>
      <c r="AA42" s="201">
        <f t="shared" si="17"/>
        <v>0</v>
      </c>
      <c r="AB42" s="375">
        <f t="shared" si="18"/>
        <v>0</v>
      </c>
      <c r="AC42" s="202">
        <f t="shared" si="19"/>
        <v>0</v>
      </c>
      <c r="AD42" s="376">
        <f t="shared" si="20"/>
        <v>0</v>
      </c>
      <c r="AE42" s="549">
        <f t="shared" si="21"/>
        <v>0</v>
      </c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</row>
    <row r="43" spans="1:72" s="377" customFormat="1">
      <c r="A43" s="192">
        <v>30</v>
      </c>
      <c r="B43" s="470"/>
      <c r="C43" s="192"/>
      <c r="D43" s="192"/>
      <c r="E43" s="373"/>
      <c r="F43" s="373"/>
      <c r="G43" s="192"/>
      <c r="H43" s="192"/>
      <c r="I43" s="192"/>
      <c r="J43" s="201">
        <f t="shared" si="2"/>
        <v>0</v>
      </c>
      <c r="K43" s="541">
        <f t="shared" si="3"/>
        <v>0.3</v>
      </c>
      <c r="L43" s="165">
        <f t="shared" si="4"/>
        <v>0</v>
      </c>
      <c r="M43" s="201">
        <f t="shared" si="5"/>
        <v>0</v>
      </c>
      <c r="N43" s="542">
        <f t="shared" si="6"/>
        <v>100</v>
      </c>
      <c r="O43" s="543">
        <f t="shared" si="0"/>
        <v>9000</v>
      </c>
      <c r="P43" s="201">
        <f t="shared" si="7"/>
        <v>0</v>
      </c>
      <c r="Q43" s="201">
        <f t="shared" si="1"/>
        <v>0</v>
      </c>
      <c r="R43" s="201">
        <f t="shared" si="8"/>
        <v>0</v>
      </c>
      <c r="S43" s="541">
        <f t="shared" si="9"/>
        <v>0</v>
      </c>
      <c r="T43" s="541" t="e" vm="1">
        <f t="shared" si="10"/>
        <v>#VALUE!</v>
      </c>
      <c r="U43" s="201">
        <f t="shared" si="11"/>
        <v>0</v>
      </c>
      <c r="V43" s="374">
        <f t="shared" si="12"/>
        <v>0</v>
      </c>
      <c r="W43" s="201">
        <f t="shared" si="13"/>
        <v>0</v>
      </c>
      <c r="X43" s="201">
        <f t="shared" si="14"/>
        <v>0</v>
      </c>
      <c r="Y43" s="201">
        <f t="shared" si="15"/>
        <v>0</v>
      </c>
      <c r="Z43" s="201">
        <f t="shared" si="16"/>
        <v>0</v>
      </c>
      <c r="AA43" s="201">
        <f t="shared" si="17"/>
        <v>0</v>
      </c>
      <c r="AB43" s="375">
        <f t="shared" si="18"/>
        <v>0</v>
      </c>
      <c r="AC43" s="202">
        <f t="shared" si="19"/>
        <v>0</v>
      </c>
      <c r="AD43" s="376">
        <f t="shared" si="20"/>
        <v>0</v>
      </c>
      <c r="AE43" s="549">
        <f t="shared" si="21"/>
        <v>0</v>
      </c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</row>
    <row r="44" spans="1:72" s="377" customFormat="1">
      <c r="A44" s="192">
        <v>31</v>
      </c>
      <c r="B44" s="470"/>
      <c r="C44" s="192"/>
      <c r="D44" s="192"/>
      <c r="E44" s="373"/>
      <c r="F44" s="373"/>
      <c r="G44" s="192"/>
      <c r="H44" s="192"/>
      <c r="I44" s="192"/>
      <c r="J44" s="201">
        <f t="shared" si="2"/>
        <v>0</v>
      </c>
      <c r="K44" s="541">
        <f t="shared" si="3"/>
        <v>0.3</v>
      </c>
      <c r="L44" s="165">
        <f t="shared" si="4"/>
        <v>0</v>
      </c>
      <c r="M44" s="201">
        <f t="shared" si="5"/>
        <v>0</v>
      </c>
      <c r="N44" s="542">
        <f t="shared" si="6"/>
        <v>100</v>
      </c>
      <c r="O44" s="543">
        <f t="shared" si="0"/>
        <v>9000</v>
      </c>
      <c r="P44" s="201">
        <f t="shared" si="7"/>
        <v>0</v>
      </c>
      <c r="Q44" s="201">
        <f t="shared" si="1"/>
        <v>0</v>
      </c>
      <c r="R44" s="201">
        <f t="shared" si="8"/>
        <v>0</v>
      </c>
      <c r="S44" s="541">
        <f t="shared" si="9"/>
        <v>0</v>
      </c>
      <c r="T44" s="541" t="e" vm="1">
        <f t="shared" si="10"/>
        <v>#VALUE!</v>
      </c>
      <c r="U44" s="201">
        <f t="shared" si="11"/>
        <v>0</v>
      </c>
      <c r="V44" s="374">
        <f t="shared" si="12"/>
        <v>0</v>
      </c>
      <c r="W44" s="201">
        <f t="shared" si="13"/>
        <v>0</v>
      </c>
      <c r="X44" s="201">
        <f t="shared" si="14"/>
        <v>0</v>
      </c>
      <c r="Y44" s="201">
        <f t="shared" si="15"/>
        <v>0</v>
      </c>
      <c r="Z44" s="201">
        <f t="shared" si="16"/>
        <v>0</v>
      </c>
      <c r="AA44" s="201">
        <f t="shared" si="17"/>
        <v>0</v>
      </c>
      <c r="AB44" s="375">
        <f t="shared" si="18"/>
        <v>0</v>
      </c>
      <c r="AC44" s="202">
        <f t="shared" si="19"/>
        <v>0</v>
      </c>
      <c r="AD44" s="376">
        <f t="shared" si="20"/>
        <v>0</v>
      </c>
      <c r="AE44" s="549">
        <f t="shared" si="21"/>
        <v>0</v>
      </c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</row>
    <row r="45" spans="1:72" s="377" customFormat="1">
      <c r="A45" s="192">
        <v>32</v>
      </c>
      <c r="B45" s="470"/>
      <c r="C45" s="192"/>
      <c r="D45" s="192"/>
      <c r="E45" s="373"/>
      <c r="F45" s="373"/>
      <c r="G45" s="192"/>
      <c r="H45" s="192"/>
      <c r="I45" s="192"/>
      <c r="J45" s="201">
        <f t="shared" si="2"/>
        <v>0</v>
      </c>
      <c r="K45" s="541">
        <f t="shared" si="3"/>
        <v>0.3</v>
      </c>
      <c r="L45" s="165">
        <f t="shared" si="4"/>
        <v>0</v>
      </c>
      <c r="M45" s="201">
        <f t="shared" si="5"/>
        <v>0</v>
      </c>
      <c r="N45" s="542">
        <f t="shared" si="6"/>
        <v>100</v>
      </c>
      <c r="O45" s="543">
        <f t="shared" si="0"/>
        <v>9000</v>
      </c>
      <c r="P45" s="201">
        <f t="shared" si="7"/>
        <v>0</v>
      </c>
      <c r="Q45" s="201">
        <f t="shared" si="1"/>
        <v>0</v>
      </c>
      <c r="R45" s="201">
        <f t="shared" si="8"/>
        <v>0</v>
      </c>
      <c r="S45" s="541">
        <f t="shared" si="9"/>
        <v>0</v>
      </c>
      <c r="T45" s="541" t="e" vm="1">
        <f t="shared" si="10"/>
        <v>#VALUE!</v>
      </c>
      <c r="U45" s="201">
        <f t="shared" si="11"/>
        <v>0</v>
      </c>
      <c r="V45" s="374">
        <f t="shared" si="12"/>
        <v>0</v>
      </c>
      <c r="W45" s="201">
        <f t="shared" si="13"/>
        <v>0</v>
      </c>
      <c r="X45" s="201">
        <f t="shared" si="14"/>
        <v>0</v>
      </c>
      <c r="Y45" s="201">
        <f t="shared" si="15"/>
        <v>0</v>
      </c>
      <c r="Z45" s="201">
        <f t="shared" si="16"/>
        <v>0</v>
      </c>
      <c r="AA45" s="201">
        <f t="shared" si="17"/>
        <v>0</v>
      </c>
      <c r="AB45" s="375">
        <f t="shared" si="18"/>
        <v>0</v>
      </c>
      <c r="AC45" s="202">
        <f t="shared" si="19"/>
        <v>0</v>
      </c>
      <c r="AD45" s="376">
        <f t="shared" si="20"/>
        <v>0</v>
      </c>
      <c r="AE45" s="549">
        <f t="shared" si="21"/>
        <v>0</v>
      </c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</row>
    <row r="46" spans="1:72" s="377" customFormat="1">
      <c r="A46" s="192">
        <v>33</v>
      </c>
      <c r="B46" s="470"/>
      <c r="C46" s="192"/>
      <c r="D46" s="192"/>
      <c r="E46" s="373"/>
      <c r="F46" s="373"/>
      <c r="G46" s="192"/>
      <c r="H46" s="192"/>
      <c r="I46" s="192"/>
      <c r="J46" s="201">
        <f t="shared" si="2"/>
        <v>0</v>
      </c>
      <c r="K46" s="541">
        <f t="shared" si="3"/>
        <v>0.3</v>
      </c>
      <c r="L46" s="165">
        <f t="shared" si="4"/>
        <v>0</v>
      </c>
      <c r="M46" s="201">
        <f t="shared" si="5"/>
        <v>0</v>
      </c>
      <c r="N46" s="542">
        <f t="shared" si="6"/>
        <v>100</v>
      </c>
      <c r="O46" s="543">
        <f t="shared" si="0"/>
        <v>9000</v>
      </c>
      <c r="P46" s="201">
        <f t="shared" si="7"/>
        <v>0</v>
      </c>
      <c r="Q46" s="201">
        <f t="shared" si="1"/>
        <v>0</v>
      </c>
      <c r="R46" s="201">
        <f t="shared" si="8"/>
        <v>0</v>
      </c>
      <c r="S46" s="541">
        <f t="shared" si="9"/>
        <v>0</v>
      </c>
      <c r="T46" s="541" t="e" vm="1">
        <f t="shared" si="10"/>
        <v>#VALUE!</v>
      </c>
      <c r="U46" s="201">
        <f t="shared" si="11"/>
        <v>0</v>
      </c>
      <c r="V46" s="374">
        <f t="shared" si="12"/>
        <v>0</v>
      </c>
      <c r="W46" s="201">
        <f t="shared" si="13"/>
        <v>0</v>
      </c>
      <c r="X46" s="201">
        <f t="shared" si="14"/>
        <v>0</v>
      </c>
      <c r="Y46" s="201">
        <f t="shared" si="15"/>
        <v>0</v>
      </c>
      <c r="Z46" s="201">
        <f t="shared" si="16"/>
        <v>0</v>
      </c>
      <c r="AA46" s="201">
        <f t="shared" si="17"/>
        <v>0</v>
      </c>
      <c r="AB46" s="375">
        <f t="shared" si="18"/>
        <v>0</v>
      </c>
      <c r="AC46" s="202">
        <f t="shared" si="19"/>
        <v>0</v>
      </c>
      <c r="AD46" s="376">
        <f t="shared" si="20"/>
        <v>0</v>
      </c>
      <c r="AE46" s="549">
        <f t="shared" si="21"/>
        <v>0</v>
      </c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</row>
    <row r="47" spans="1:72" s="377" customFormat="1">
      <c r="A47" s="192">
        <v>34</v>
      </c>
      <c r="B47" s="470"/>
      <c r="C47" s="192"/>
      <c r="D47" s="192"/>
      <c r="E47" s="373"/>
      <c r="F47" s="373"/>
      <c r="G47" s="192"/>
      <c r="H47" s="192"/>
      <c r="I47" s="192"/>
      <c r="J47" s="201">
        <f t="shared" si="2"/>
        <v>0</v>
      </c>
      <c r="K47" s="541">
        <f t="shared" si="3"/>
        <v>0.3</v>
      </c>
      <c r="L47" s="165">
        <f t="shared" si="4"/>
        <v>0</v>
      </c>
      <c r="M47" s="201">
        <f t="shared" si="5"/>
        <v>0</v>
      </c>
      <c r="N47" s="542">
        <f t="shared" si="6"/>
        <v>100</v>
      </c>
      <c r="O47" s="543">
        <f t="shared" si="0"/>
        <v>9000</v>
      </c>
      <c r="P47" s="201">
        <f t="shared" si="7"/>
        <v>0</v>
      </c>
      <c r="Q47" s="201">
        <f t="shared" si="1"/>
        <v>0</v>
      </c>
      <c r="R47" s="201">
        <f t="shared" si="8"/>
        <v>0</v>
      </c>
      <c r="S47" s="541">
        <f t="shared" si="9"/>
        <v>0</v>
      </c>
      <c r="T47" s="541" t="e" vm="1">
        <f t="shared" si="10"/>
        <v>#VALUE!</v>
      </c>
      <c r="U47" s="201">
        <f t="shared" si="11"/>
        <v>0</v>
      </c>
      <c r="V47" s="374">
        <f t="shared" si="12"/>
        <v>0</v>
      </c>
      <c r="W47" s="201">
        <f t="shared" si="13"/>
        <v>0</v>
      </c>
      <c r="X47" s="201">
        <f t="shared" si="14"/>
        <v>0</v>
      </c>
      <c r="Y47" s="201">
        <f t="shared" si="15"/>
        <v>0</v>
      </c>
      <c r="Z47" s="201">
        <f t="shared" si="16"/>
        <v>0</v>
      </c>
      <c r="AA47" s="201">
        <f t="shared" si="17"/>
        <v>0</v>
      </c>
      <c r="AB47" s="375">
        <f t="shared" si="18"/>
        <v>0</v>
      </c>
      <c r="AC47" s="202">
        <f t="shared" si="19"/>
        <v>0</v>
      </c>
      <c r="AD47" s="376">
        <f t="shared" si="20"/>
        <v>0</v>
      </c>
      <c r="AE47" s="549">
        <f t="shared" si="21"/>
        <v>0</v>
      </c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</row>
    <row r="48" spans="1:72" s="377" customFormat="1">
      <c r="A48" s="192">
        <v>35</v>
      </c>
      <c r="B48" s="470"/>
      <c r="C48" s="192"/>
      <c r="D48" s="192"/>
      <c r="E48" s="373"/>
      <c r="F48" s="373"/>
      <c r="G48" s="192"/>
      <c r="H48" s="192"/>
      <c r="I48" s="192"/>
      <c r="J48" s="201">
        <f t="shared" si="2"/>
        <v>0</v>
      </c>
      <c r="K48" s="541">
        <f t="shared" si="3"/>
        <v>0.3</v>
      </c>
      <c r="L48" s="165">
        <f t="shared" si="4"/>
        <v>0</v>
      </c>
      <c r="M48" s="201">
        <f t="shared" si="5"/>
        <v>0</v>
      </c>
      <c r="N48" s="542">
        <f t="shared" si="6"/>
        <v>100</v>
      </c>
      <c r="O48" s="543">
        <f t="shared" si="0"/>
        <v>9000</v>
      </c>
      <c r="P48" s="201">
        <f t="shared" si="7"/>
        <v>0</v>
      </c>
      <c r="Q48" s="201">
        <f t="shared" si="1"/>
        <v>0</v>
      </c>
      <c r="R48" s="201">
        <f t="shared" si="8"/>
        <v>0</v>
      </c>
      <c r="S48" s="541">
        <f t="shared" si="9"/>
        <v>0</v>
      </c>
      <c r="T48" s="541" t="e" vm="1">
        <f t="shared" si="10"/>
        <v>#VALUE!</v>
      </c>
      <c r="U48" s="201">
        <f t="shared" si="11"/>
        <v>0</v>
      </c>
      <c r="V48" s="374">
        <f t="shared" si="12"/>
        <v>0</v>
      </c>
      <c r="W48" s="201">
        <f t="shared" si="13"/>
        <v>0</v>
      </c>
      <c r="X48" s="201">
        <f t="shared" si="14"/>
        <v>0</v>
      </c>
      <c r="Y48" s="201">
        <f t="shared" si="15"/>
        <v>0</v>
      </c>
      <c r="Z48" s="201">
        <f t="shared" si="16"/>
        <v>0</v>
      </c>
      <c r="AA48" s="201">
        <f t="shared" si="17"/>
        <v>0</v>
      </c>
      <c r="AB48" s="375">
        <f t="shared" si="18"/>
        <v>0</v>
      </c>
      <c r="AC48" s="202">
        <f t="shared" si="19"/>
        <v>0</v>
      </c>
      <c r="AD48" s="376">
        <f t="shared" si="20"/>
        <v>0</v>
      </c>
      <c r="AE48" s="549">
        <f t="shared" si="21"/>
        <v>0</v>
      </c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</row>
    <row r="49" spans="1:72" s="377" customFormat="1">
      <c r="A49" s="192">
        <v>36</v>
      </c>
      <c r="B49" s="470"/>
      <c r="C49" s="192"/>
      <c r="D49" s="192"/>
      <c r="E49" s="373"/>
      <c r="F49" s="373"/>
      <c r="G49" s="192"/>
      <c r="H49" s="192"/>
      <c r="I49" s="192"/>
      <c r="J49" s="201">
        <f t="shared" si="2"/>
        <v>0</v>
      </c>
      <c r="K49" s="541">
        <f t="shared" si="3"/>
        <v>0.3</v>
      </c>
      <c r="L49" s="165">
        <f t="shared" si="4"/>
        <v>0</v>
      </c>
      <c r="M49" s="201">
        <f t="shared" si="5"/>
        <v>0</v>
      </c>
      <c r="N49" s="542">
        <f t="shared" si="6"/>
        <v>100</v>
      </c>
      <c r="O49" s="543">
        <f t="shared" si="0"/>
        <v>9000</v>
      </c>
      <c r="P49" s="201">
        <f t="shared" si="7"/>
        <v>0</v>
      </c>
      <c r="Q49" s="201">
        <f t="shared" si="1"/>
        <v>0</v>
      </c>
      <c r="R49" s="201">
        <f t="shared" si="8"/>
        <v>0</v>
      </c>
      <c r="S49" s="541">
        <f t="shared" si="9"/>
        <v>0</v>
      </c>
      <c r="T49" s="541" t="e" vm="1">
        <f t="shared" si="10"/>
        <v>#VALUE!</v>
      </c>
      <c r="U49" s="201">
        <f t="shared" si="11"/>
        <v>0</v>
      </c>
      <c r="V49" s="374">
        <f t="shared" si="12"/>
        <v>0</v>
      </c>
      <c r="W49" s="201">
        <f t="shared" si="13"/>
        <v>0</v>
      </c>
      <c r="X49" s="201">
        <f t="shared" si="14"/>
        <v>0</v>
      </c>
      <c r="Y49" s="201">
        <f t="shared" si="15"/>
        <v>0</v>
      </c>
      <c r="Z49" s="201">
        <f t="shared" si="16"/>
        <v>0</v>
      </c>
      <c r="AA49" s="201">
        <f t="shared" si="17"/>
        <v>0</v>
      </c>
      <c r="AB49" s="375">
        <f t="shared" si="18"/>
        <v>0</v>
      </c>
      <c r="AC49" s="202">
        <f t="shared" si="19"/>
        <v>0</v>
      </c>
      <c r="AD49" s="376">
        <f t="shared" si="20"/>
        <v>0</v>
      </c>
      <c r="AE49" s="549">
        <f t="shared" si="21"/>
        <v>0</v>
      </c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</row>
    <row r="50" spans="1:72" s="377" customFormat="1">
      <c r="A50" s="192">
        <v>37</v>
      </c>
      <c r="B50" s="470"/>
      <c r="C50" s="192"/>
      <c r="D50" s="192"/>
      <c r="E50" s="373"/>
      <c r="F50" s="373"/>
      <c r="G50" s="192"/>
      <c r="H50" s="192"/>
      <c r="I50" s="192"/>
      <c r="J50" s="201">
        <f t="shared" si="2"/>
        <v>0</v>
      </c>
      <c r="K50" s="541">
        <f t="shared" si="3"/>
        <v>0.3</v>
      </c>
      <c r="L50" s="165">
        <f t="shared" si="4"/>
        <v>0</v>
      </c>
      <c r="M50" s="201">
        <f t="shared" si="5"/>
        <v>0</v>
      </c>
      <c r="N50" s="542">
        <f t="shared" si="6"/>
        <v>100</v>
      </c>
      <c r="O50" s="543">
        <f t="shared" si="0"/>
        <v>9000</v>
      </c>
      <c r="P50" s="201">
        <f t="shared" si="7"/>
        <v>0</v>
      </c>
      <c r="Q50" s="201">
        <f t="shared" si="1"/>
        <v>0</v>
      </c>
      <c r="R50" s="201">
        <f t="shared" si="8"/>
        <v>0</v>
      </c>
      <c r="S50" s="541">
        <f t="shared" si="9"/>
        <v>0</v>
      </c>
      <c r="T50" s="541" t="e" vm="1">
        <f t="shared" si="10"/>
        <v>#VALUE!</v>
      </c>
      <c r="U50" s="201">
        <f t="shared" si="11"/>
        <v>0</v>
      </c>
      <c r="V50" s="374">
        <f t="shared" si="12"/>
        <v>0</v>
      </c>
      <c r="W50" s="201">
        <f t="shared" si="13"/>
        <v>0</v>
      </c>
      <c r="X50" s="201">
        <f t="shared" si="14"/>
        <v>0</v>
      </c>
      <c r="Y50" s="201">
        <f t="shared" si="15"/>
        <v>0</v>
      </c>
      <c r="Z50" s="201">
        <f t="shared" si="16"/>
        <v>0</v>
      </c>
      <c r="AA50" s="201">
        <f t="shared" si="17"/>
        <v>0</v>
      </c>
      <c r="AB50" s="375">
        <f t="shared" si="18"/>
        <v>0</v>
      </c>
      <c r="AC50" s="202">
        <f t="shared" si="19"/>
        <v>0</v>
      </c>
      <c r="AD50" s="376">
        <f t="shared" si="20"/>
        <v>0</v>
      </c>
      <c r="AE50" s="549">
        <f t="shared" si="21"/>
        <v>0</v>
      </c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</row>
    <row r="51" spans="1:72" s="377" customFormat="1">
      <c r="A51" s="192">
        <v>38</v>
      </c>
      <c r="B51" s="470"/>
      <c r="C51" s="192"/>
      <c r="D51" s="192"/>
      <c r="E51" s="373"/>
      <c r="F51" s="373"/>
      <c r="G51" s="192"/>
      <c r="H51" s="192"/>
      <c r="I51" s="192"/>
      <c r="J51" s="201">
        <f t="shared" si="2"/>
        <v>0</v>
      </c>
      <c r="K51" s="541">
        <f t="shared" si="3"/>
        <v>0.3</v>
      </c>
      <c r="L51" s="165">
        <f t="shared" si="4"/>
        <v>0</v>
      </c>
      <c r="M51" s="201">
        <f t="shared" si="5"/>
        <v>0</v>
      </c>
      <c r="N51" s="542">
        <f t="shared" si="6"/>
        <v>100</v>
      </c>
      <c r="O51" s="543">
        <f t="shared" si="0"/>
        <v>9000</v>
      </c>
      <c r="P51" s="201">
        <f t="shared" si="7"/>
        <v>0</v>
      </c>
      <c r="Q51" s="201">
        <f t="shared" si="1"/>
        <v>0</v>
      </c>
      <c r="R51" s="201">
        <f t="shared" si="8"/>
        <v>0</v>
      </c>
      <c r="S51" s="541">
        <f t="shared" si="9"/>
        <v>0</v>
      </c>
      <c r="T51" s="541" t="e" vm="1">
        <f t="shared" si="10"/>
        <v>#VALUE!</v>
      </c>
      <c r="U51" s="201">
        <f t="shared" si="11"/>
        <v>0</v>
      </c>
      <c r="V51" s="374">
        <f t="shared" si="12"/>
        <v>0</v>
      </c>
      <c r="W51" s="201">
        <f t="shared" si="13"/>
        <v>0</v>
      </c>
      <c r="X51" s="201">
        <f t="shared" si="14"/>
        <v>0</v>
      </c>
      <c r="Y51" s="201">
        <f t="shared" si="15"/>
        <v>0</v>
      </c>
      <c r="Z51" s="201">
        <f t="shared" si="16"/>
        <v>0</v>
      </c>
      <c r="AA51" s="201">
        <f t="shared" si="17"/>
        <v>0</v>
      </c>
      <c r="AB51" s="375">
        <f t="shared" si="18"/>
        <v>0</v>
      </c>
      <c r="AC51" s="202">
        <f t="shared" si="19"/>
        <v>0</v>
      </c>
      <c r="AD51" s="376">
        <f t="shared" si="20"/>
        <v>0</v>
      </c>
      <c r="AE51" s="549">
        <f t="shared" si="21"/>
        <v>0</v>
      </c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</row>
    <row r="52" spans="1:72" s="377" customFormat="1">
      <c r="A52" s="192">
        <v>39</v>
      </c>
      <c r="B52" s="470"/>
      <c r="C52" s="192"/>
      <c r="D52" s="192"/>
      <c r="E52" s="373"/>
      <c r="F52" s="373"/>
      <c r="G52" s="192"/>
      <c r="H52" s="192"/>
      <c r="I52" s="192"/>
      <c r="J52" s="201">
        <f t="shared" si="2"/>
        <v>0</v>
      </c>
      <c r="K52" s="541">
        <f t="shared" si="3"/>
        <v>0.3</v>
      </c>
      <c r="L52" s="165">
        <f t="shared" si="4"/>
        <v>0</v>
      </c>
      <c r="M52" s="201">
        <f t="shared" si="5"/>
        <v>0</v>
      </c>
      <c r="N52" s="542">
        <f t="shared" si="6"/>
        <v>100</v>
      </c>
      <c r="O52" s="543">
        <f t="shared" si="0"/>
        <v>9000</v>
      </c>
      <c r="P52" s="201">
        <f t="shared" si="7"/>
        <v>0</v>
      </c>
      <c r="Q52" s="201">
        <f t="shared" si="1"/>
        <v>0</v>
      </c>
      <c r="R52" s="201">
        <f t="shared" si="8"/>
        <v>0</v>
      </c>
      <c r="S52" s="541">
        <f t="shared" si="9"/>
        <v>0</v>
      </c>
      <c r="T52" s="541" t="e" vm="1">
        <f>IF(TRUNC(E52)&gt;1,HLOOKUP(D52,C$86:I$87,2),IF(D52&lt;=980,HLOOKUP(D52+10*(E52-1),B$74:AG$75,2),HLOOKUP(D52+10*(E52-1),B$76:AG$77,2)))</f>
        <v>#VALUE!</v>
      </c>
      <c r="U52" s="201">
        <f t="shared" si="11"/>
        <v>0</v>
      </c>
      <c r="V52" s="374">
        <f t="shared" si="12"/>
        <v>0</v>
      </c>
      <c r="W52" s="201">
        <f t="shared" si="13"/>
        <v>0</v>
      </c>
      <c r="X52" s="201">
        <f t="shared" si="14"/>
        <v>0</v>
      </c>
      <c r="Y52" s="201">
        <f t="shared" si="15"/>
        <v>0</v>
      </c>
      <c r="Z52" s="201">
        <f t="shared" si="16"/>
        <v>0</v>
      </c>
      <c r="AA52" s="201">
        <f t="shared" si="17"/>
        <v>0</v>
      </c>
      <c r="AB52" s="375">
        <f t="shared" si="18"/>
        <v>0</v>
      </c>
      <c r="AC52" s="202">
        <f t="shared" si="19"/>
        <v>0</v>
      </c>
      <c r="AD52" s="376">
        <f t="shared" si="20"/>
        <v>0</v>
      </c>
      <c r="AE52" s="549">
        <f t="shared" si="21"/>
        <v>0</v>
      </c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</row>
    <row r="53" spans="1:72" s="377" customFormat="1">
      <c r="A53" s="192">
        <v>40</v>
      </c>
      <c r="B53" s="470"/>
      <c r="C53" s="192"/>
      <c r="D53" s="192"/>
      <c r="E53" s="373"/>
      <c r="F53" s="373"/>
      <c r="G53" s="192"/>
      <c r="H53" s="192"/>
      <c r="I53" s="192"/>
      <c r="J53" s="201">
        <f t="shared" si="2"/>
        <v>0</v>
      </c>
      <c r="K53" s="541">
        <f t="shared" si="3"/>
        <v>0.3</v>
      </c>
      <c r="L53" s="165">
        <f t="shared" si="4"/>
        <v>0</v>
      </c>
      <c r="M53" s="201">
        <f t="shared" si="5"/>
        <v>0</v>
      </c>
      <c r="N53" s="542">
        <f t="shared" si="6"/>
        <v>100</v>
      </c>
      <c r="O53" s="543">
        <f t="shared" si="0"/>
        <v>9000</v>
      </c>
      <c r="P53" s="201">
        <f t="shared" si="7"/>
        <v>0</v>
      </c>
      <c r="Q53" s="201">
        <f t="shared" si="1"/>
        <v>0</v>
      </c>
      <c r="R53" s="201">
        <f t="shared" si="8"/>
        <v>0</v>
      </c>
      <c r="S53" s="541">
        <f t="shared" si="9"/>
        <v>0</v>
      </c>
      <c r="T53" s="541" t="e" vm="1">
        <f t="shared" si="10"/>
        <v>#VALUE!</v>
      </c>
      <c r="U53" s="201">
        <f t="shared" si="11"/>
        <v>0</v>
      </c>
      <c r="V53" s="374">
        <f t="shared" si="12"/>
        <v>0</v>
      </c>
      <c r="W53" s="201">
        <f t="shared" si="13"/>
        <v>0</v>
      </c>
      <c r="X53" s="201">
        <f t="shared" si="14"/>
        <v>0</v>
      </c>
      <c r="Y53" s="201">
        <f t="shared" si="15"/>
        <v>0</v>
      </c>
      <c r="Z53" s="201">
        <f t="shared" si="16"/>
        <v>0</v>
      </c>
      <c r="AA53" s="201">
        <f t="shared" si="17"/>
        <v>0</v>
      </c>
      <c r="AB53" s="375">
        <f t="shared" si="18"/>
        <v>0</v>
      </c>
      <c r="AC53" s="202">
        <f t="shared" si="19"/>
        <v>0</v>
      </c>
      <c r="AD53" s="376">
        <f t="shared" si="20"/>
        <v>0</v>
      </c>
      <c r="AE53" s="549">
        <f t="shared" si="21"/>
        <v>0</v>
      </c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</row>
    <row r="54" spans="1:72" s="464" customFormat="1" ht="17.25" thickBot="1">
      <c r="A54" s="209">
        <v>41</v>
      </c>
      <c r="B54" s="472"/>
      <c r="C54" s="209"/>
      <c r="D54" s="209"/>
      <c r="E54" s="378"/>
      <c r="F54" s="378"/>
      <c r="G54" s="209"/>
      <c r="H54" s="209"/>
      <c r="I54" s="209"/>
      <c r="J54" s="214">
        <f t="shared" si="2"/>
        <v>0</v>
      </c>
      <c r="K54" s="544">
        <f t="shared" si="3"/>
        <v>0.3</v>
      </c>
      <c r="L54" s="379">
        <f t="shared" si="4"/>
        <v>0</v>
      </c>
      <c r="M54" s="201">
        <f t="shared" si="5"/>
        <v>0</v>
      </c>
      <c r="N54" s="545">
        <f t="shared" si="6"/>
        <v>100</v>
      </c>
      <c r="O54" s="546">
        <f t="shared" si="0"/>
        <v>9000</v>
      </c>
      <c r="P54" s="214">
        <f t="shared" si="7"/>
        <v>0</v>
      </c>
      <c r="Q54" s="214">
        <f t="shared" si="1"/>
        <v>0</v>
      </c>
      <c r="R54" s="214">
        <f t="shared" si="8"/>
        <v>0</v>
      </c>
      <c r="S54" s="544">
        <f t="shared" si="9"/>
        <v>0</v>
      </c>
      <c r="T54" s="541" t="e" vm="1">
        <f t="shared" si="10"/>
        <v>#VALUE!</v>
      </c>
      <c r="U54" s="214">
        <f t="shared" si="11"/>
        <v>0</v>
      </c>
      <c r="V54" s="380">
        <f t="shared" si="12"/>
        <v>0</v>
      </c>
      <c r="W54" s="214">
        <f t="shared" si="13"/>
        <v>0</v>
      </c>
      <c r="X54" s="214">
        <f t="shared" si="14"/>
        <v>0</v>
      </c>
      <c r="Y54" s="214">
        <f t="shared" si="15"/>
        <v>0</v>
      </c>
      <c r="Z54" s="214">
        <f t="shared" si="16"/>
        <v>0</v>
      </c>
      <c r="AA54" s="214">
        <f t="shared" si="17"/>
        <v>0</v>
      </c>
      <c r="AB54" s="381">
        <f t="shared" si="18"/>
        <v>0</v>
      </c>
      <c r="AC54" s="215">
        <f t="shared" si="19"/>
        <v>0</v>
      </c>
      <c r="AD54" s="382">
        <f t="shared" si="20"/>
        <v>0</v>
      </c>
      <c r="AE54" s="550">
        <f t="shared" si="21"/>
        <v>0</v>
      </c>
      <c r="AF54" s="281"/>
      <c r="AG54" s="281"/>
      <c r="AH54" s="281"/>
      <c r="AI54" s="281"/>
      <c r="AJ54" s="281"/>
      <c r="AK54" s="281"/>
      <c r="AL54" s="281"/>
      <c r="AM54" s="281"/>
      <c r="AN54" s="281"/>
      <c r="AO54" s="281"/>
      <c r="AP54" s="281"/>
      <c r="AQ54" s="281"/>
      <c r="AR54" s="281"/>
      <c r="AS54" s="281"/>
      <c r="AT54" s="281"/>
      <c r="AU54" s="281"/>
      <c r="AV54" s="281"/>
      <c r="AW54" s="281"/>
      <c r="AX54" s="281"/>
      <c r="AY54" s="281"/>
      <c r="AZ54" s="281"/>
      <c r="BA54" s="281"/>
      <c r="BB54" s="281"/>
      <c r="BC54" s="281"/>
      <c r="BD54" s="281"/>
      <c r="BE54" s="281"/>
      <c r="BF54" s="281"/>
      <c r="BG54" s="281"/>
      <c r="BH54" s="281"/>
      <c r="BI54" s="281"/>
      <c r="BJ54" s="281"/>
      <c r="BK54" s="281"/>
      <c r="BL54" s="281"/>
      <c r="BM54" s="281"/>
      <c r="BN54" s="281"/>
      <c r="BO54" s="281"/>
      <c r="BP54" s="281"/>
      <c r="BQ54" s="281"/>
      <c r="BR54" s="281"/>
      <c r="BS54" s="281"/>
      <c r="BT54" s="281"/>
    </row>
    <row r="55" spans="1:72">
      <c r="A55" s="184"/>
      <c r="AE55" s="551"/>
    </row>
    <row r="56" spans="1:72" s="389" customFormat="1">
      <c r="A56" s="383"/>
      <c r="B56" s="384" t="s">
        <v>154</v>
      </c>
      <c r="C56" s="385"/>
      <c r="D56" s="385"/>
      <c r="E56" s="385"/>
      <c r="F56" s="385"/>
      <c r="G56" s="385"/>
      <c r="H56" s="386">
        <f>SUM(H13:H55)</f>
        <v>0</v>
      </c>
      <c r="I56" s="386">
        <f>SUM(I13:I55)</f>
        <v>0</v>
      </c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7">
        <f>SUM(U14:U54)</f>
        <v>0</v>
      </c>
      <c r="V56" s="387">
        <f>SUM(V13:V54)</f>
        <v>0</v>
      </c>
      <c r="W56" s="387">
        <f>SUM(W13:W55)</f>
        <v>0</v>
      </c>
      <c r="X56" s="387">
        <f>SUM(X14:X54)</f>
        <v>0</v>
      </c>
      <c r="Y56" s="387">
        <f>SUM(Y13:Y55)</f>
        <v>0</v>
      </c>
      <c r="Z56" s="387">
        <f>SUM(Z14:Z54)</f>
        <v>0</v>
      </c>
      <c r="AA56" s="385"/>
      <c r="AB56" s="388">
        <f>SUM(AB14:AB54)</f>
        <v>0</v>
      </c>
      <c r="AC56" s="384"/>
      <c r="AD56" s="384"/>
      <c r="AE56" s="552">
        <f>SUM(AE14:AE54)</f>
        <v>0</v>
      </c>
      <c r="AF56" s="385"/>
      <c r="AG56" s="385"/>
      <c r="AH56" s="385"/>
      <c r="AI56" s="385"/>
      <c r="AJ56" s="385"/>
      <c r="AK56" s="385"/>
      <c r="AL56" s="385"/>
      <c r="AM56" s="385"/>
      <c r="AN56" s="385"/>
      <c r="AO56" s="385"/>
      <c r="AP56" s="385"/>
      <c r="AQ56" s="385"/>
      <c r="AR56" s="385"/>
      <c r="AS56" s="385"/>
      <c r="AT56" s="385"/>
      <c r="AU56" s="385"/>
      <c r="AV56" s="385"/>
      <c r="AW56" s="385"/>
      <c r="AX56" s="385"/>
      <c r="AY56" s="385"/>
      <c r="AZ56" s="385"/>
      <c r="BA56" s="385"/>
      <c r="BB56" s="385"/>
      <c r="BC56" s="385"/>
      <c r="BD56" s="385"/>
      <c r="BE56" s="385"/>
      <c r="BF56" s="385"/>
      <c r="BG56" s="385"/>
      <c r="BH56" s="385"/>
      <c r="BI56" s="385"/>
      <c r="BJ56" s="385"/>
      <c r="BK56" s="385"/>
      <c r="BL56" s="385"/>
      <c r="BM56" s="385"/>
      <c r="BN56" s="385"/>
      <c r="BO56" s="385"/>
      <c r="BP56" s="385"/>
      <c r="BQ56" s="385"/>
      <c r="BR56" s="385"/>
      <c r="BS56" s="385"/>
      <c r="BT56" s="385"/>
    </row>
    <row r="57" spans="1:72" s="389" customFormat="1">
      <c r="A57" s="390"/>
      <c r="B57" s="220" t="s">
        <v>155</v>
      </c>
      <c r="C57" s="384">
        <f>SUM(C14:C54)</f>
        <v>0</v>
      </c>
      <c r="D57" s="391" t="str">
        <f>IF(P4=1,"METERS","FEET")</f>
        <v>METERS</v>
      </c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92">
        <f>V56/I$4</f>
        <v>0</v>
      </c>
      <c r="W57" s="393">
        <f>W56/I$6</f>
        <v>0</v>
      </c>
      <c r="X57" s="385"/>
      <c r="Y57" s="385"/>
      <c r="Z57" s="394">
        <f>Z56/I$7</f>
        <v>0</v>
      </c>
      <c r="AA57" s="385"/>
      <c r="AB57" s="385"/>
      <c r="AC57" s="384">
        <f>SUM(AC13:AC54)</f>
        <v>0</v>
      </c>
      <c r="AD57" s="386">
        <f>SUM(AD13:AD54)</f>
        <v>0</v>
      </c>
      <c r="AE57" s="392"/>
      <c r="AF57" s="385"/>
      <c r="AG57" s="385"/>
      <c r="AH57" s="385"/>
      <c r="AI57" s="385"/>
      <c r="AJ57" s="385"/>
      <c r="AK57" s="385"/>
      <c r="AL57" s="385"/>
      <c r="AM57" s="385"/>
      <c r="AN57" s="385"/>
      <c r="AO57" s="385"/>
      <c r="AP57" s="385"/>
      <c r="AQ57" s="385"/>
      <c r="AR57" s="385"/>
      <c r="AS57" s="385"/>
      <c r="AT57" s="385"/>
      <c r="AU57" s="385"/>
      <c r="AV57" s="385"/>
      <c r="AW57" s="385"/>
      <c r="AX57" s="385"/>
      <c r="AY57" s="385"/>
      <c r="AZ57" s="385"/>
      <c r="BA57" s="385"/>
      <c r="BB57" s="385"/>
      <c r="BC57" s="385"/>
      <c r="BD57" s="385"/>
      <c r="BE57" s="385"/>
      <c r="BF57" s="385"/>
      <c r="BG57" s="385"/>
      <c r="BH57" s="385"/>
      <c r="BI57" s="385"/>
      <c r="BJ57" s="385"/>
      <c r="BK57" s="385"/>
      <c r="BL57" s="385"/>
      <c r="BM57" s="385"/>
      <c r="BN57" s="385"/>
      <c r="BO57" s="385"/>
      <c r="BP57" s="385"/>
      <c r="BQ57" s="385"/>
      <c r="BR57" s="385"/>
      <c r="BS57" s="385"/>
      <c r="BT57" s="385"/>
    </row>
    <row r="58" spans="1:72" ht="17.25" thickBot="1">
      <c r="A58" s="184"/>
    </row>
    <row r="59" spans="1:72" ht="17.25" thickBot="1">
      <c r="A59" s="184"/>
      <c r="Y59" s="395"/>
      <c r="Z59" s="396"/>
      <c r="AA59" s="396"/>
      <c r="AB59" s="372"/>
    </row>
    <row r="60" spans="1:72" ht="17.25" thickBot="1">
      <c r="B60" s="397" t="s">
        <v>156</v>
      </c>
      <c r="C60" s="398">
        <f>SUMIFS(U14:U54,E14:E54,"&gt;1",E14:E54,"&lt;2")</f>
        <v>0</v>
      </c>
      <c r="D60" s="216"/>
      <c r="G60" s="147" t="s">
        <v>157</v>
      </c>
      <c r="H60" s="319"/>
      <c r="I60" s="399">
        <f>AC57</f>
        <v>0</v>
      </c>
      <c r="K60" s="277"/>
      <c r="M60" s="151" t="s">
        <v>158</v>
      </c>
      <c r="N60" s="319"/>
      <c r="O60" s="400">
        <f>IF(AC57=0,0,Y56/AC57)</f>
        <v>0</v>
      </c>
      <c r="X60" s="277"/>
      <c r="Y60" s="401" t="s">
        <v>56</v>
      </c>
      <c r="Z60" s="402" t="s">
        <v>57</v>
      </c>
      <c r="AA60" s="402" t="s">
        <v>159</v>
      </c>
      <c r="AB60" s="403" t="s">
        <v>160</v>
      </c>
    </row>
    <row r="61" spans="1:72">
      <c r="B61" s="404" t="s">
        <v>161</v>
      </c>
      <c r="C61" s="398">
        <f>SUMIFS(U14:U54,E14:E54,"&gt;=2",E14:E54,"&lt;3")</f>
        <v>0</v>
      </c>
      <c r="D61" s="216"/>
      <c r="G61" s="156" t="s">
        <v>162</v>
      </c>
      <c r="H61" s="327"/>
      <c r="I61" s="406">
        <f>AD57</f>
        <v>0</v>
      </c>
      <c r="K61" s="277"/>
      <c r="M61" s="158" t="s">
        <v>163</v>
      </c>
      <c r="N61" s="327"/>
      <c r="O61" s="407">
        <f>Y56/F6</f>
        <v>0</v>
      </c>
      <c r="X61" s="277"/>
      <c r="Y61" s="408"/>
      <c r="Z61" s="409"/>
      <c r="AA61" s="409"/>
      <c r="AB61" s="410"/>
    </row>
    <row r="62" spans="1:72">
      <c r="B62" s="404" t="s">
        <v>164</v>
      </c>
      <c r="C62" s="405">
        <f>V56</f>
        <v>0</v>
      </c>
      <c r="D62" s="216"/>
      <c r="G62" s="156" t="s">
        <v>165</v>
      </c>
      <c r="H62" s="327"/>
      <c r="I62" s="406">
        <f>AD57*3.28</f>
        <v>0</v>
      </c>
      <c r="K62" s="277"/>
      <c r="M62" s="158" t="s">
        <v>166</v>
      </c>
      <c r="N62" s="327"/>
      <c r="O62" s="407">
        <f>IF(O61=0,0,AC57/O61)</f>
        <v>0</v>
      </c>
      <c r="X62" s="277"/>
      <c r="Y62" s="332" t="s">
        <v>167</v>
      </c>
      <c r="Z62" s="411">
        <f>X56</f>
        <v>0</v>
      </c>
      <c r="AA62" s="411">
        <f>(P5-TRUNC(P5))*Z62</f>
        <v>0</v>
      </c>
      <c r="AB62" s="412">
        <f>Z62+AA62</f>
        <v>0</v>
      </c>
    </row>
    <row r="63" spans="1:72">
      <c r="B63" s="404" t="s">
        <v>168</v>
      </c>
      <c r="C63" s="405">
        <f>H56</f>
        <v>0</v>
      </c>
      <c r="D63" s="216"/>
      <c r="G63" s="156" t="s">
        <v>169</v>
      </c>
      <c r="H63" s="327"/>
      <c r="I63" s="406">
        <f>IF(P4=1,C57,C57*1/3.28)</f>
        <v>0</v>
      </c>
      <c r="K63" s="277"/>
      <c r="M63" s="158" t="s">
        <v>170</v>
      </c>
      <c r="N63" s="327"/>
      <c r="O63" s="407">
        <f>IF(O61=0,0,I61/O61)</f>
        <v>0</v>
      </c>
      <c r="X63" s="277"/>
      <c r="Y63" s="332" t="s">
        <v>171</v>
      </c>
      <c r="Z63" s="411">
        <f>Y56</f>
        <v>0</v>
      </c>
      <c r="AA63" s="411">
        <f>(P5-TRUNC(P5))*Z63</f>
        <v>0</v>
      </c>
      <c r="AB63" s="412">
        <f>Z63+AA63</f>
        <v>0</v>
      </c>
    </row>
    <row r="64" spans="1:72">
      <c r="B64" s="404" t="s">
        <v>172</v>
      </c>
      <c r="C64" s="405">
        <f>X56</f>
        <v>0</v>
      </c>
      <c r="D64" s="216"/>
      <c r="G64" s="156" t="s">
        <v>173</v>
      </c>
      <c r="H64" s="327"/>
      <c r="I64" s="406">
        <f>IF(P4=0,C57,C57*3.28)</f>
        <v>0</v>
      </c>
      <c r="K64" s="277"/>
      <c r="M64" s="158" t="s">
        <v>174</v>
      </c>
      <c r="N64" s="327"/>
      <c r="O64" s="407">
        <f>O63*3.28</f>
        <v>0</v>
      </c>
      <c r="X64" s="277"/>
      <c r="Y64" s="332" t="s">
        <v>175</v>
      </c>
      <c r="Z64" s="411">
        <f>Z56</f>
        <v>0</v>
      </c>
      <c r="AA64" s="411">
        <f>(P5-TRUNC(P5))*Z64</f>
        <v>0</v>
      </c>
      <c r="AB64" s="412">
        <f>Z64+AA64</f>
        <v>0</v>
      </c>
    </row>
    <row r="65" spans="1:33" ht="17.25" thickBot="1">
      <c r="B65" s="404" t="s">
        <v>176</v>
      </c>
      <c r="C65" s="405">
        <f>0.7*Y56</f>
        <v>0</v>
      </c>
      <c r="D65" s="216"/>
      <c r="G65" s="156" t="s">
        <v>177</v>
      </c>
      <c r="H65" s="327"/>
      <c r="I65" s="406">
        <f>IF(AB56=0,0,X56/AB56*100)</f>
        <v>0</v>
      </c>
      <c r="K65" s="277"/>
      <c r="M65" s="158" t="s">
        <v>178</v>
      </c>
      <c r="N65" s="327"/>
      <c r="O65" s="407">
        <f>IF(O61=0,0,I63/O61)</f>
        <v>0</v>
      </c>
      <c r="X65" s="277"/>
      <c r="Y65" s="413"/>
      <c r="Z65" s="414"/>
      <c r="AA65" s="415"/>
      <c r="AB65" s="416"/>
    </row>
    <row r="66" spans="1:33">
      <c r="B66" s="404" t="s">
        <v>179</v>
      </c>
      <c r="C66" s="405">
        <f>0.3*Y56</f>
        <v>0</v>
      </c>
      <c r="D66" s="216"/>
      <c r="G66" s="156" t="s">
        <v>180</v>
      </c>
      <c r="H66" s="327"/>
      <c r="I66" s="406">
        <f>IF(AB56=0,0,Y56/AB56*100)</f>
        <v>0</v>
      </c>
      <c r="K66" s="277"/>
      <c r="M66" s="158" t="s">
        <v>181</v>
      </c>
      <c r="N66" s="327"/>
      <c r="O66" s="407">
        <f>IF(O61=0,0,I64/O61)</f>
        <v>0</v>
      </c>
      <c r="X66" s="277"/>
      <c r="Y66" s="417"/>
      <c r="Z66" s="418"/>
      <c r="AA66" s="419"/>
      <c r="AB66" s="420"/>
    </row>
    <row r="67" spans="1:33" ht="17.25" thickBot="1">
      <c r="B67" s="404" t="s">
        <v>182</v>
      </c>
      <c r="C67" s="405">
        <f>Y56</f>
        <v>0</v>
      </c>
      <c r="D67" s="216"/>
      <c r="G67" s="178" t="s">
        <v>183</v>
      </c>
      <c r="H67" s="345"/>
      <c r="I67" s="421">
        <f>IF(I65=0,0,100-I65-I66)</f>
        <v>0</v>
      </c>
      <c r="K67" s="277"/>
      <c r="M67" s="158" t="s">
        <v>184</v>
      </c>
      <c r="N67" s="327"/>
      <c r="O67" s="422">
        <f>IF(I63=0,0,Y56/I63)</f>
        <v>0</v>
      </c>
      <c r="X67" s="277"/>
      <c r="Y67" s="423" t="s">
        <v>185</v>
      </c>
      <c r="Z67" s="424">
        <f>SUM(Z61:Z65)</f>
        <v>0</v>
      </c>
      <c r="AA67" s="424">
        <f>SUM(AA61:AA65)</f>
        <v>0</v>
      </c>
      <c r="AB67" s="425">
        <f>SUM(AB61:AB65)</f>
        <v>0</v>
      </c>
    </row>
    <row r="68" spans="1:33" ht="17.25" thickBot="1">
      <c r="B68" s="426" t="s">
        <v>186</v>
      </c>
      <c r="C68" s="427">
        <f>Z56</f>
        <v>0</v>
      </c>
      <c r="D68" s="216"/>
      <c r="I68" s="360"/>
      <c r="K68" s="277"/>
      <c r="M68" s="350" t="s">
        <v>187</v>
      </c>
      <c r="N68" s="345"/>
      <c r="O68" s="428">
        <f>IF(I61=0,0,Y56/I61)</f>
        <v>0</v>
      </c>
      <c r="X68" s="277"/>
      <c r="Y68" s="429"/>
      <c r="Z68" s="430"/>
      <c r="AA68" s="430"/>
      <c r="AB68" s="431"/>
    </row>
    <row r="69" spans="1:33">
      <c r="A69" s="184"/>
      <c r="B69" s="216"/>
    </row>
    <row r="70" spans="1:33">
      <c r="A70" s="184"/>
      <c r="B70" s="216"/>
    </row>
    <row r="71" spans="1:33">
      <c r="A71" s="184"/>
      <c r="B71" s="216"/>
    </row>
    <row r="72" spans="1:33">
      <c r="A72" s="184"/>
      <c r="B72" s="216"/>
    </row>
    <row r="73" spans="1:33" ht="17.25" thickBot="1">
      <c r="A73" s="216" t="s">
        <v>371</v>
      </c>
      <c r="B73" s="432"/>
    </row>
    <row r="74" spans="1:33">
      <c r="A74" s="433" t="s">
        <v>188</v>
      </c>
      <c r="B74" s="297">
        <v>151</v>
      </c>
      <c r="C74" s="297">
        <v>201</v>
      </c>
      <c r="D74" s="297">
        <v>251</v>
      </c>
      <c r="E74" s="297">
        <v>301</v>
      </c>
      <c r="F74" s="309">
        <v>302</v>
      </c>
      <c r="G74" s="297">
        <v>376</v>
      </c>
      <c r="H74" s="297">
        <v>377</v>
      </c>
      <c r="I74" s="297">
        <v>451</v>
      </c>
      <c r="J74" s="297">
        <v>452</v>
      </c>
      <c r="K74" s="297">
        <v>455</v>
      </c>
      <c r="L74" s="297">
        <v>527</v>
      </c>
      <c r="M74" s="297">
        <v>529</v>
      </c>
      <c r="N74" s="297">
        <v>530</v>
      </c>
      <c r="O74" s="297">
        <v>602</v>
      </c>
      <c r="P74" s="297">
        <v>604</v>
      </c>
      <c r="Q74" s="297">
        <v>605</v>
      </c>
      <c r="R74" s="297">
        <v>677</v>
      </c>
      <c r="S74" s="297">
        <v>679</v>
      </c>
      <c r="T74" s="297">
        <v>680</v>
      </c>
      <c r="U74" s="297">
        <v>752</v>
      </c>
      <c r="V74" s="297">
        <v>754</v>
      </c>
      <c r="W74" s="297">
        <v>755</v>
      </c>
      <c r="X74" s="297">
        <v>827</v>
      </c>
      <c r="Y74" s="297">
        <v>829</v>
      </c>
      <c r="Z74" s="297">
        <v>830</v>
      </c>
      <c r="AA74" s="297">
        <v>902</v>
      </c>
      <c r="AB74" s="297">
        <v>904</v>
      </c>
      <c r="AC74" s="297">
        <v>905</v>
      </c>
      <c r="AD74" s="297">
        <v>977</v>
      </c>
      <c r="AE74" s="297">
        <v>978</v>
      </c>
      <c r="AF74" s="142">
        <v>979</v>
      </c>
      <c r="AG74" s="142">
        <v>980</v>
      </c>
    </row>
    <row r="75" spans="1:33">
      <c r="A75" s="434" t="s">
        <v>189</v>
      </c>
      <c r="B75" s="309">
        <v>0</v>
      </c>
      <c r="C75" s="309">
        <v>0</v>
      </c>
      <c r="D75" s="309">
        <v>0</v>
      </c>
      <c r="E75" s="309">
        <v>0</v>
      </c>
      <c r="F75" s="309">
        <v>125.6</v>
      </c>
      <c r="G75" s="309">
        <v>0</v>
      </c>
      <c r="H75" s="309">
        <v>154.9</v>
      </c>
      <c r="I75" s="309">
        <v>0</v>
      </c>
      <c r="J75" s="302">
        <v>159.5</v>
      </c>
      <c r="K75" s="302">
        <v>199.6</v>
      </c>
      <c r="L75" s="309">
        <v>174.1</v>
      </c>
      <c r="M75" s="302">
        <v>203.4</v>
      </c>
      <c r="N75" s="309">
        <v>240.1</v>
      </c>
      <c r="O75" s="309">
        <v>234.4</v>
      </c>
      <c r="P75" s="302">
        <v>269</v>
      </c>
      <c r="Q75" s="435">
        <v>316.60000000000002</v>
      </c>
      <c r="R75" s="302">
        <v>359.2</v>
      </c>
      <c r="S75" s="302">
        <v>408.8</v>
      </c>
      <c r="T75" s="302">
        <v>479</v>
      </c>
      <c r="U75" s="302">
        <v>473.4</v>
      </c>
      <c r="V75" s="302">
        <v>541.1</v>
      </c>
      <c r="W75" s="302">
        <v>632.4</v>
      </c>
      <c r="X75" s="302">
        <v>549.1</v>
      </c>
      <c r="Y75" s="302">
        <v>698.3</v>
      </c>
      <c r="Z75" s="302">
        <v>733.9</v>
      </c>
      <c r="AA75" s="302">
        <v>658.8</v>
      </c>
      <c r="AB75" s="436">
        <v>753.6</v>
      </c>
      <c r="AC75" s="435">
        <v>879.9</v>
      </c>
      <c r="AD75" s="435">
        <v>722.8</v>
      </c>
      <c r="AE75" s="302">
        <v>760.9</v>
      </c>
      <c r="AF75" s="142">
        <v>865.8</v>
      </c>
      <c r="AG75" s="142">
        <v>1013.4</v>
      </c>
    </row>
    <row r="76" spans="1:33">
      <c r="A76" s="437">
        <v>42064</v>
      </c>
      <c r="B76" s="309">
        <v>1052</v>
      </c>
      <c r="C76" s="309">
        <v>1053</v>
      </c>
      <c r="D76" s="309">
        <v>1054</v>
      </c>
      <c r="E76" s="309">
        <v>1055</v>
      </c>
      <c r="F76" s="309">
        <v>1202</v>
      </c>
      <c r="G76" s="309">
        <v>1203</v>
      </c>
      <c r="H76" s="309">
        <v>1204</v>
      </c>
      <c r="I76" s="309">
        <v>1205</v>
      </c>
      <c r="J76" s="309">
        <v>1352</v>
      </c>
      <c r="K76" s="309">
        <v>1353</v>
      </c>
      <c r="L76" s="309">
        <v>1354</v>
      </c>
      <c r="M76" s="309">
        <v>1355</v>
      </c>
      <c r="N76" s="309">
        <v>1502</v>
      </c>
      <c r="O76" s="309">
        <v>1503</v>
      </c>
      <c r="P76" s="309">
        <v>1504</v>
      </c>
      <c r="Q76" s="309">
        <v>1505</v>
      </c>
      <c r="R76" s="309">
        <v>1652</v>
      </c>
      <c r="S76" s="309">
        <v>1653</v>
      </c>
      <c r="T76" s="309">
        <v>1654</v>
      </c>
      <c r="U76" s="309">
        <v>1655</v>
      </c>
      <c r="V76" s="309">
        <v>1802</v>
      </c>
      <c r="W76" s="309">
        <v>1803</v>
      </c>
      <c r="X76" s="309">
        <v>1804</v>
      </c>
      <c r="Y76" s="309">
        <v>1805</v>
      </c>
      <c r="Z76" s="309">
        <v>1952</v>
      </c>
      <c r="AA76" s="309">
        <v>1953</v>
      </c>
      <c r="AB76" s="309">
        <v>1954</v>
      </c>
      <c r="AC76" s="309">
        <v>1955</v>
      </c>
      <c r="AD76" s="309">
        <v>2102</v>
      </c>
      <c r="AE76" s="309">
        <v>2103</v>
      </c>
      <c r="AF76" s="142">
        <v>2104</v>
      </c>
      <c r="AG76" s="142">
        <v>2105</v>
      </c>
    </row>
    <row r="77" spans="1:33" ht="17.25" thickBot="1">
      <c r="A77" s="438" t="s">
        <v>190</v>
      </c>
      <c r="B77" s="313">
        <v>827.8</v>
      </c>
      <c r="C77" s="313">
        <v>869.3</v>
      </c>
      <c r="D77" s="313">
        <v>995.3</v>
      </c>
      <c r="E77" s="313">
        <v>1159.5</v>
      </c>
      <c r="F77" s="313">
        <v>1037.5</v>
      </c>
      <c r="G77" s="313">
        <v>1089.8</v>
      </c>
      <c r="H77" s="313">
        <v>1246.7</v>
      </c>
      <c r="I77" s="313">
        <v>1452.7</v>
      </c>
      <c r="J77" s="439">
        <v>1334.2</v>
      </c>
      <c r="K77" s="439">
        <v>1400.8</v>
      </c>
      <c r="L77" s="313">
        <v>1602.5</v>
      </c>
      <c r="M77" s="439">
        <v>1866.2</v>
      </c>
      <c r="N77" s="313">
        <v>1631.9</v>
      </c>
      <c r="O77" s="313">
        <v>1712.7</v>
      </c>
      <c r="P77" s="439">
        <v>1958.1</v>
      </c>
      <c r="Q77" s="440">
        <v>2284.6</v>
      </c>
      <c r="R77" s="439">
        <v>1954.2</v>
      </c>
      <c r="S77" s="439">
        <v>2053.4</v>
      </c>
      <c r="T77" s="439">
        <v>2346.9</v>
      </c>
      <c r="U77" s="439">
        <v>2736.1</v>
      </c>
      <c r="V77" s="439">
        <v>2361.3000000000002</v>
      </c>
      <c r="W77" s="439">
        <v>2482.6999999999998</v>
      </c>
      <c r="X77" s="439">
        <v>2834.3</v>
      </c>
      <c r="Y77" s="439">
        <v>3307.4</v>
      </c>
      <c r="Z77" s="439">
        <v>2738.5</v>
      </c>
      <c r="AA77" s="439">
        <v>2878.7</v>
      </c>
      <c r="AB77" s="313">
        <v>3285.5</v>
      </c>
      <c r="AC77" s="440">
        <v>3835.3</v>
      </c>
      <c r="AD77" s="440">
        <v>3142.4</v>
      </c>
      <c r="AE77" s="439">
        <v>3296.3</v>
      </c>
      <c r="AF77" s="142">
        <v>3769.8</v>
      </c>
      <c r="AG77" s="142">
        <v>4396.8</v>
      </c>
    </row>
    <row r="78" spans="1:33">
      <c r="A78" s="216"/>
      <c r="J78" s="441"/>
      <c r="K78" s="441"/>
      <c r="M78" s="441"/>
      <c r="P78" s="441"/>
      <c r="Q78" s="442"/>
      <c r="R78" s="441"/>
      <c r="S78" s="441"/>
      <c r="T78" s="441"/>
      <c r="U78" s="441"/>
      <c r="V78" s="441"/>
      <c r="W78" s="441"/>
      <c r="X78" s="441"/>
      <c r="Y78" s="441"/>
      <c r="Z78" s="441"/>
      <c r="AA78" s="441"/>
      <c r="AC78" s="442"/>
      <c r="AD78" s="442"/>
      <c r="AE78" s="441"/>
    </row>
    <row r="79" spans="1:33" ht="17.25" thickBot="1">
      <c r="A79" s="216" t="s">
        <v>191</v>
      </c>
      <c r="J79" s="441"/>
      <c r="K79" s="441"/>
      <c r="M79" s="441"/>
      <c r="P79" s="441"/>
      <c r="Q79" s="442"/>
      <c r="R79" s="441"/>
      <c r="S79" s="441"/>
      <c r="T79" s="441"/>
      <c r="U79" s="441"/>
      <c r="V79" s="441"/>
      <c r="W79" s="441"/>
      <c r="X79" s="441"/>
      <c r="Y79" s="441"/>
      <c r="Z79" s="441"/>
      <c r="AA79" s="441"/>
      <c r="AC79" s="442"/>
      <c r="AD79" s="442"/>
      <c r="AE79" s="441"/>
    </row>
    <row r="80" spans="1:33">
      <c r="A80" s="443" t="s">
        <v>192</v>
      </c>
      <c r="B80" s="289"/>
      <c r="C80" s="289">
        <v>1</v>
      </c>
      <c r="D80" s="289">
        <v>1.2</v>
      </c>
      <c r="E80" s="289">
        <v>1.4</v>
      </c>
      <c r="F80" s="289">
        <v>1.6</v>
      </c>
      <c r="G80" s="289">
        <v>1.8</v>
      </c>
      <c r="H80" s="289">
        <v>2</v>
      </c>
      <c r="I80" s="289">
        <v>2.2000000000000002</v>
      </c>
      <c r="J80" s="289">
        <v>2.2999999999999998</v>
      </c>
      <c r="K80" s="289">
        <v>2.4</v>
      </c>
      <c r="L80" s="289">
        <v>2.6</v>
      </c>
      <c r="M80" s="289">
        <v>2.8</v>
      </c>
      <c r="N80" s="289">
        <v>3</v>
      </c>
      <c r="O80" s="289">
        <v>3.2</v>
      </c>
      <c r="P80" s="289">
        <v>3.4</v>
      </c>
      <c r="Q80" s="289">
        <v>3.6</v>
      </c>
      <c r="R80" s="289">
        <v>3.8</v>
      </c>
      <c r="S80" s="289">
        <v>4</v>
      </c>
      <c r="T80" s="289">
        <v>4.2</v>
      </c>
      <c r="U80" s="289">
        <v>4.4000000000000004</v>
      </c>
      <c r="V80" s="289">
        <v>4.5999999999999996</v>
      </c>
      <c r="W80" s="289">
        <v>4.8</v>
      </c>
      <c r="X80" s="289">
        <v>5</v>
      </c>
      <c r="Y80" s="289">
        <v>5.2</v>
      </c>
      <c r="Z80" s="289">
        <v>5.4</v>
      </c>
      <c r="AA80" s="289">
        <v>5.6</v>
      </c>
      <c r="AB80" s="289">
        <v>5.8</v>
      </c>
      <c r="AC80" s="291">
        <v>6</v>
      </c>
    </row>
    <row r="81" spans="1:32">
      <c r="A81" s="444" t="s">
        <v>193</v>
      </c>
      <c r="B81" s="445"/>
      <c r="C81" s="445">
        <v>120</v>
      </c>
      <c r="D81" s="445">
        <v>135</v>
      </c>
      <c r="E81" s="445">
        <v>160</v>
      </c>
      <c r="F81" s="445">
        <v>180</v>
      </c>
      <c r="G81" s="445">
        <v>240</v>
      </c>
      <c r="H81" s="445">
        <v>270</v>
      </c>
      <c r="I81" s="445">
        <v>325</v>
      </c>
      <c r="J81" s="445">
        <v>350</v>
      </c>
      <c r="K81" s="445">
        <v>380</v>
      </c>
      <c r="L81" s="445">
        <v>440</v>
      </c>
      <c r="M81" s="445">
        <v>500</v>
      </c>
      <c r="N81" s="445">
        <v>550</v>
      </c>
      <c r="O81" s="445">
        <v>605</v>
      </c>
      <c r="P81" s="445">
        <v>665</v>
      </c>
      <c r="Q81" s="445">
        <v>710</v>
      </c>
      <c r="R81" s="445">
        <v>760</v>
      </c>
      <c r="S81" s="445">
        <v>800</v>
      </c>
      <c r="T81" s="445">
        <v>850</v>
      </c>
      <c r="U81" s="445">
        <v>900</v>
      </c>
      <c r="V81" s="445">
        <v>920</v>
      </c>
      <c r="W81" s="445">
        <v>925</v>
      </c>
      <c r="X81" s="445">
        <v>925</v>
      </c>
      <c r="Y81" s="445">
        <v>920</v>
      </c>
      <c r="Z81" s="445">
        <v>900</v>
      </c>
      <c r="AA81" s="445">
        <v>830</v>
      </c>
      <c r="AB81" s="445">
        <v>750</v>
      </c>
      <c r="AC81" s="446">
        <v>710</v>
      </c>
    </row>
    <row r="82" spans="1:32">
      <c r="A82" s="444" t="s">
        <v>194</v>
      </c>
      <c r="B82" s="445"/>
      <c r="C82" s="445">
        <v>1</v>
      </c>
      <c r="D82" s="445">
        <v>1.2</v>
      </c>
      <c r="E82" s="445">
        <v>1.4</v>
      </c>
      <c r="F82" s="445">
        <v>1.6</v>
      </c>
      <c r="G82" s="445">
        <v>1.8</v>
      </c>
      <c r="H82" s="445">
        <v>2</v>
      </c>
      <c r="I82" s="445">
        <v>2.2000000000000002</v>
      </c>
      <c r="J82" s="445">
        <v>2.2999999999999998</v>
      </c>
      <c r="K82" s="445">
        <v>2.4</v>
      </c>
      <c r="L82" s="445">
        <v>2.6</v>
      </c>
      <c r="M82" s="445">
        <v>2.8</v>
      </c>
      <c r="N82" s="445">
        <v>3</v>
      </c>
      <c r="O82" s="445">
        <v>3.2</v>
      </c>
      <c r="P82" s="445">
        <v>3.4</v>
      </c>
      <c r="Q82" s="445">
        <v>3.6</v>
      </c>
      <c r="R82" s="445">
        <v>3.8</v>
      </c>
      <c r="S82" s="445">
        <v>4</v>
      </c>
      <c r="T82" s="445">
        <v>4.2</v>
      </c>
      <c r="U82" s="445">
        <v>4.4000000000000004</v>
      </c>
      <c r="V82" s="445">
        <v>4.5999999999999996</v>
      </c>
      <c r="W82" s="445">
        <v>4.8</v>
      </c>
      <c r="X82" s="445">
        <v>5</v>
      </c>
      <c r="Y82" s="445">
        <v>5.2</v>
      </c>
      <c r="Z82" s="445">
        <v>5.4</v>
      </c>
      <c r="AA82" s="445">
        <v>5.6</v>
      </c>
      <c r="AB82" s="445">
        <v>5.8</v>
      </c>
      <c r="AC82" s="446">
        <v>6</v>
      </c>
    </row>
    <row r="83" spans="1:32" ht="17.25" thickBot="1">
      <c r="A83" s="447" t="s">
        <v>195</v>
      </c>
      <c r="B83" s="293"/>
      <c r="C83" s="293">
        <v>74</v>
      </c>
      <c r="D83" s="293">
        <v>98</v>
      </c>
      <c r="E83" s="293">
        <v>119</v>
      </c>
      <c r="F83" s="293">
        <v>145</v>
      </c>
      <c r="G83" s="293">
        <v>165</v>
      </c>
      <c r="H83" s="293">
        <v>175</v>
      </c>
      <c r="I83" s="293">
        <v>180</v>
      </c>
      <c r="J83" s="293">
        <v>183</v>
      </c>
      <c r="K83" s="293">
        <v>185</v>
      </c>
      <c r="L83" s="293">
        <v>190</v>
      </c>
      <c r="M83" s="293">
        <v>195</v>
      </c>
      <c r="N83" s="293">
        <v>200</v>
      </c>
      <c r="O83" s="293">
        <v>203</v>
      </c>
      <c r="P83" s="293">
        <v>203</v>
      </c>
      <c r="Q83" s="293">
        <v>203</v>
      </c>
      <c r="R83" s="293">
        <v>203</v>
      </c>
      <c r="S83" s="293">
        <v>203</v>
      </c>
      <c r="T83" s="293">
        <v>203</v>
      </c>
      <c r="U83" s="293">
        <v>203</v>
      </c>
      <c r="V83" s="293">
        <v>203</v>
      </c>
      <c r="W83" s="293">
        <v>203</v>
      </c>
      <c r="X83" s="293">
        <v>203</v>
      </c>
      <c r="Y83" s="293">
        <v>203</v>
      </c>
      <c r="Z83" s="293">
        <v>203</v>
      </c>
      <c r="AA83" s="293">
        <v>203</v>
      </c>
      <c r="AB83" s="293">
        <v>203</v>
      </c>
      <c r="AC83" s="295">
        <v>196</v>
      </c>
    </row>
    <row r="84" spans="1:32">
      <c r="A84" s="216"/>
    </row>
    <row r="85" spans="1:32" ht="17.25" thickBot="1">
      <c r="A85" s="216" t="s">
        <v>196</v>
      </c>
    </row>
    <row r="86" spans="1:32">
      <c r="A86" s="448" t="s">
        <v>197</v>
      </c>
      <c r="B86" s="449"/>
      <c r="C86" s="449">
        <v>100</v>
      </c>
      <c r="D86" s="449">
        <v>150</v>
      </c>
      <c r="E86" s="449">
        <v>200</v>
      </c>
      <c r="F86" s="449">
        <v>250</v>
      </c>
      <c r="G86" s="449">
        <v>300</v>
      </c>
      <c r="H86" s="450">
        <v>375</v>
      </c>
      <c r="I86" s="450">
        <v>450</v>
      </c>
      <c r="J86" s="449">
        <v>0</v>
      </c>
      <c r="K86" s="449">
        <v>0</v>
      </c>
      <c r="L86" s="449">
        <v>2.4</v>
      </c>
      <c r="M86" s="451">
        <v>3</v>
      </c>
      <c r="N86" s="449">
        <v>3.7</v>
      </c>
      <c r="O86" s="449">
        <v>4.3</v>
      </c>
      <c r="P86" s="451">
        <v>4.9000000000000004</v>
      </c>
      <c r="Q86" s="452">
        <v>5.5</v>
      </c>
      <c r="R86" s="451">
        <v>6.1</v>
      </c>
      <c r="S86" s="451">
        <v>6.7</v>
      </c>
      <c r="T86" s="451">
        <v>7.3</v>
      </c>
      <c r="U86" s="453">
        <v>7.6</v>
      </c>
    </row>
    <row r="87" spans="1:32" ht="17.25" thickBot="1">
      <c r="A87" s="454" t="s">
        <v>146</v>
      </c>
      <c r="B87" s="455" t="s">
        <v>370</v>
      </c>
      <c r="C87" s="456">
        <v>18</v>
      </c>
      <c r="D87" s="456">
        <v>31</v>
      </c>
      <c r="E87" s="456">
        <v>46</v>
      </c>
      <c r="F87" s="456">
        <v>70</v>
      </c>
      <c r="G87" s="457">
        <v>99</v>
      </c>
      <c r="H87" s="457">
        <v>133</v>
      </c>
      <c r="I87" s="457">
        <v>219</v>
      </c>
      <c r="J87" s="458">
        <v>0</v>
      </c>
      <c r="K87" s="458">
        <v>0</v>
      </c>
      <c r="L87" s="458">
        <v>0.1</v>
      </c>
      <c r="M87" s="459">
        <v>0.2</v>
      </c>
      <c r="N87" s="458">
        <v>0.4</v>
      </c>
      <c r="O87" s="458">
        <v>0.7</v>
      </c>
      <c r="P87" s="459">
        <v>0.9</v>
      </c>
      <c r="Q87" s="460">
        <v>1.2</v>
      </c>
      <c r="R87" s="459">
        <v>1.5</v>
      </c>
      <c r="S87" s="459">
        <v>1.6</v>
      </c>
      <c r="T87" s="458">
        <v>1.8</v>
      </c>
      <c r="U87" s="461">
        <v>2</v>
      </c>
      <c r="AF87" s="216"/>
    </row>
    <row r="88" spans="1:32">
      <c r="C88" s="142" t="s">
        <v>198</v>
      </c>
      <c r="D88" s="142" t="s">
        <v>198</v>
      </c>
      <c r="E88" s="142" t="s">
        <v>369</v>
      </c>
      <c r="F88" s="142" t="s">
        <v>369</v>
      </c>
      <c r="G88" s="142" t="s">
        <v>369</v>
      </c>
      <c r="H88" s="142" t="s">
        <v>369</v>
      </c>
      <c r="I88" s="142" t="s">
        <v>369</v>
      </c>
    </row>
  </sheetData>
  <mergeCells count="1">
    <mergeCell ref="A1:AE1"/>
  </mergeCells>
  <printOptions horizontalCentered="1" verticalCentered="1" gridLines="1"/>
  <pageMargins left="0.5" right="0.25" top="0.25" bottom="0.25" header="0.25" footer="0.25"/>
  <pageSetup paperSize="3" scale="61" orientation="landscape" horizontalDpi="4294967295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BT88"/>
  <sheetViews>
    <sheetView view="pageBreakPreview" zoomScale="70" zoomScaleNormal="100" zoomScaleSheetLayoutView="70" workbookViewId="0">
      <selection activeCell="R8" sqref="R8"/>
    </sheetView>
  </sheetViews>
  <sheetFormatPr defaultColWidth="12.42578125" defaultRowHeight="16.5"/>
  <cols>
    <col min="1" max="1" width="6.7109375" style="142" customWidth="1"/>
    <col min="2" max="2" width="25.28515625" style="142" customWidth="1"/>
    <col min="3" max="3" width="10" style="142" customWidth="1"/>
    <col min="4" max="5" width="7.5703125" style="142" customWidth="1"/>
    <col min="6" max="6" width="9" style="142" customWidth="1"/>
    <col min="7" max="7" width="7.140625" style="142" customWidth="1"/>
    <col min="8" max="8" width="10.5703125" style="142" bestFit="1" customWidth="1"/>
    <col min="9" max="9" width="9.85546875" style="142" customWidth="1"/>
    <col min="10" max="10" width="7.7109375" style="142" customWidth="1"/>
    <col min="11" max="11" width="9.85546875" style="142" customWidth="1"/>
    <col min="12" max="12" width="7.42578125" style="142" bestFit="1" customWidth="1"/>
    <col min="13" max="13" width="9.85546875" style="142" customWidth="1"/>
    <col min="14" max="14" width="8.85546875" style="142" customWidth="1"/>
    <col min="15" max="15" width="11.140625" style="142" bestFit="1" customWidth="1"/>
    <col min="16" max="17" width="9" style="142" customWidth="1"/>
    <col min="18" max="18" width="9.140625" style="142" customWidth="1"/>
    <col min="19" max="19" width="9.85546875" style="142" customWidth="1"/>
    <col min="20" max="20" width="10.5703125" style="142" customWidth="1"/>
    <col min="21" max="21" width="12.140625" style="142" customWidth="1"/>
    <col min="22" max="22" width="11.140625" style="142" customWidth="1"/>
    <col min="23" max="23" width="11.5703125" style="142" bestFit="1" customWidth="1"/>
    <col min="24" max="24" width="12" style="142" bestFit="1" customWidth="1"/>
    <col min="25" max="25" width="16.28515625" style="142" bestFit="1" customWidth="1"/>
    <col min="26" max="26" width="13.42578125" style="142" customWidth="1"/>
    <col min="27" max="27" width="14.42578125" style="142" customWidth="1"/>
    <col min="28" max="28" width="18.7109375" style="142" bestFit="1" customWidth="1"/>
    <col min="29" max="29" width="8.7109375" style="142" bestFit="1" customWidth="1"/>
    <col min="30" max="30" width="12.5703125" style="142" bestFit="1" customWidth="1"/>
    <col min="31" max="31" width="16.7109375" style="142" bestFit="1" customWidth="1"/>
    <col min="32" max="32" width="11.140625" style="142" bestFit="1" customWidth="1"/>
    <col min="33" max="72" width="12.42578125" style="142"/>
    <col min="73" max="255" width="12.42578125" style="145"/>
    <col min="256" max="256" width="6.7109375" style="145" customWidth="1"/>
    <col min="257" max="257" width="25.28515625" style="145" customWidth="1"/>
    <col min="258" max="258" width="10" style="145" customWidth="1"/>
    <col min="259" max="260" width="7.5703125" style="145" customWidth="1"/>
    <col min="261" max="261" width="9" style="145" customWidth="1"/>
    <col min="262" max="262" width="7.140625" style="145" customWidth="1"/>
    <col min="263" max="263" width="10.5703125" style="145" bestFit="1" customWidth="1"/>
    <col min="264" max="264" width="9.85546875" style="145" customWidth="1"/>
    <col min="265" max="265" width="7.7109375" style="145" customWidth="1"/>
    <col min="266" max="266" width="9.85546875" style="145" customWidth="1"/>
    <col min="267" max="267" width="7.42578125" style="145" bestFit="1" customWidth="1"/>
    <col min="268" max="268" width="9.85546875" style="145" customWidth="1"/>
    <col min="269" max="269" width="8.85546875" style="145" customWidth="1"/>
    <col min="270" max="270" width="11.140625" style="145" bestFit="1" customWidth="1"/>
    <col min="271" max="272" width="9" style="145" customWidth="1"/>
    <col min="273" max="273" width="9.140625" style="145" customWidth="1"/>
    <col min="274" max="274" width="9.85546875" style="145" customWidth="1"/>
    <col min="275" max="275" width="10.5703125" style="145" customWidth="1"/>
    <col min="276" max="276" width="12.140625" style="145" customWidth="1"/>
    <col min="277" max="277" width="11.140625" style="145" customWidth="1"/>
    <col min="278" max="278" width="11.5703125" style="145" bestFit="1" customWidth="1"/>
    <col min="279" max="279" width="12" style="145" bestFit="1" customWidth="1"/>
    <col min="280" max="280" width="16.28515625" style="145" bestFit="1" customWidth="1"/>
    <col min="281" max="281" width="13.42578125" style="145" customWidth="1"/>
    <col min="282" max="282" width="14.42578125" style="145" customWidth="1"/>
    <col min="283" max="283" width="18.7109375" style="145" bestFit="1" customWidth="1"/>
    <col min="284" max="284" width="7.85546875" style="145" customWidth="1"/>
    <col min="285" max="285" width="9.85546875" style="145" customWidth="1"/>
    <col min="286" max="287" width="11" style="145" bestFit="1" customWidth="1"/>
    <col min="288" max="288" width="11.140625" style="145" bestFit="1" customWidth="1"/>
    <col min="289" max="511" width="12.42578125" style="145"/>
    <col min="512" max="512" width="6.7109375" style="145" customWidth="1"/>
    <col min="513" max="513" width="25.28515625" style="145" customWidth="1"/>
    <col min="514" max="514" width="10" style="145" customWidth="1"/>
    <col min="515" max="516" width="7.5703125" style="145" customWidth="1"/>
    <col min="517" max="517" width="9" style="145" customWidth="1"/>
    <col min="518" max="518" width="7.140625" style="145" customWidth="1"/>
    <col min="519" max="519" width="10.5703125" style="145" bestFit="1" customWidth="1"/>
    <col min="520" max="520" width="9.85546875" style="145" customWidth="1"/>
    <col min="521" max="521" width="7.7109375" style="145" customWidth="1"/>
    <col min="522" max="522" width="9.85546875" style="145" customWidth="1"/>
    <col min="523" max="523" width="7.42578125" style="145" bestFit="1" customWidth="1"/>
    <col min="524" max="524" width="9.85546875" style="145" customWidth="1"/>
    <col min="525" max="525" width="8.85546875" style="145" customWidth="1"/>
    <col min="526" max="526" width="11.140625" style="145" bestFit="1" customWidth="1"/>
    <col min="527" max="528" width="9" style="145" customWidth="1"/>
    <col min="529" max="529" width="9.140625" style="145" customWidth="1"/>
    <col min="530" max="530" width="9.85546875" style="145" customWidth="1"/>
    <col min="531" max="531" width="10.5703125" style="145" customWidth="1"/>
    <col min="532" max="532" width="12.140625" style="145" customWidth="1"/>
    <col min="533" max="533" width="11.140625" style="145" customWidth="1"/>
    <col min="534" max="534" width="11.5703125" style="145" bestFit="1" customWidth="1"/>
    <col min="535" max="535" width="12" style="145" bestFit="1" customWidth="1"/>
    <col min="536" max="536" width="16.28515625" style="145" bestFit="1" customWidth="1"/>
    <col min="537" max="537" width="13.42578125" style="145" customWidth="1"/>
    <col min="538" max="538" width="14.42578125" style="145" customWidth="1"/>
    <col min="539" max="539" width="18.7109375" style="145" bestFit="1" customWidth="1"/>
    <col min="540" max="540" width="7.85546875" style="145" customWidth="1"/>
    <col min="541" max="541" width="9.85546875" style="145" customWidth="1"/>
    <col min="542" max="543" width="11" style="145" bestFit="1" customWidth="1"/>
    <col min="544" max="544" width="11.140625" style="145" bestFit="1" customWidth="1"/>
    <col min="545" max="767" width="12.42578125" style="145"/>
    <col min="768" max="768" width="6.7109375" style="145" customWidth="1"/>
    <col min="769" max="769" width="25.28515625" style="145" customWidth="1"/>
    <col min="770" max="770" width="10" style="145" customWidth="1"/>
    <col min="771" max="772" width="7.5703125" style="145" customWidth="1"/>
    <col min="773" max="773" width="9" style="145" customWidth="1"/>
    <col min="774" max="774" width="7.140625" style="145" customWidth="1"/>
    <col min="775" max="775" width="10.5703125" style="145" bestFit="1" customWidth="1"/>
    <col min="776" max="776" width="9.85546875" style="145" customWidth="1"/>
    <col min="777" max="777" width="7.7109375" style="145" customWidth="1"/>
    <col min="778" max="778" width="9.85546875" style="145" customWidth="1"/>
    <col min="779" max="779" width="7.42578125" style="145" bestFit="1" customWidth="1"/>
    <col min="780" max="780" width="9.85546875" style="145" customWidth="1"/>
    <col min="781" max="781" width="8.85546875" style="145" customWidth="1"/>
    <col min="782" max="782" width="11.140625" style="145" bestFit="1" customWidth="1"/>
    <col min="783" max="784" width="9" style="145" customWidth="1"/>
    <col min="785" max="785" width="9.140625" style="145" customWidth="1"/>
    <col min="786" max="786" width="9.85546875" style="145" customWidth="1"/>
    <col min="787" max="787" width="10.5703125" style="145" customWidth="1"/>
    <col min="788" max="788" width="12.140625" style="145" customWidth="1"/>
    <col min="789" max="789" width="11.140625" style="145" customWidth="1"/>
    <col min="790" max="790" width="11.5703125" style="145" bestFit="1" customWidth="1"/>
    <col min="791" max="791" width="12" style="145" bestFit="1" customWidth="1"/>
    <col min="792" max="792" width="16.28515625" style="145" bestFit="1" customWidth="1"/>
    <col min="793" max="793" width="13.42578125" style="145" customWidth="1"/>
    <col min="794" max="794" width="14.42578125" style="145" customWidth="1"/>
    <col min="795" max="795" width="18.7109375" style="145" bestFit="1" customWidth="1"/>
    <col min="796" max="796" width="7.85546875" style="145" customWidth="1"/>
    <col min="797" max="797" width="9.85546875" style="145" customWidth="1"/>
    <col min="798" max="799" width="11" style="145" bestFit="1" customWidth="1"/>
    <col min="800" max="800" width="11.140625" style="145" bestFit="1" customWidth="1"/>
    <col min="801" max="1023" width="12.42578125" style="145"/>
    <col min="1024" max="1024" width="6.7109375" style="145" customWidth="1"/>
    <col min="1025" max="1025" width="25.28515625" style="145" customWidth="1"/>
    <col min="1026" max="1026" width="10" style="145" customWidth="1"/>
    <col min="1027" max="1028" width="7.5703125" style="145" customWidth="1"/>
    <col min="1029" max="1029" width="9" style="145" customWidth="1"/>
    <col min="1030" max="1030" width="7.140625" style="145" customWidth="1"/>
    <col min="1031" max="1031" width="10.5703125" style="145" bestFit="1" customWidth="1"/>
    <col min="1032" max="1032" width="9.85546875" style="145" customWidth="1"/>
    <col min="1033" max="1033" width="7.7109375" style="145" customWidth="1"/>
    <col min="1034" max="1034" width="9.85546875" style="145" customWidth="1"/>
    <col min="1035" max="1035" width="7.42578125" style="145" bestFit="1" customWidth="1"/>
    <col min="1036" max="1036" width="9.85546875" style="145" customWidth="1"/>
    <col min="1037" max="1037" width="8.85546875" style="145" customWidth="1"/>
    <col min="1038" max="1038" width="11.140625" style="145" bestFit="1" customWidth="1"/>
    <col min="1039" max="1040" width="9" style="145" customWidth="1"/>
    <col min="1041" max="1041" width="9.140625" style="145" customWidth="1"/>
    <col min="1042" max="1042" width="9.85546875" style="145" customWidth="1"/>
    <col min="1043" max="1043" width="10.5703125" style="145" customWidth="1"/>
    <col min="1044" max="1044" width="12.140625" style="145" customWidth="1"/>
    <col min="1045" max="1045" width="11.140625" style="145" customWidth="1"/>
    <col min="1046" max="1046" width="11.5703125" style="145" bestFit="1" customWidth="1"/>
    <col min="1047" max="1047" width="12" style="145" bestFit="1" customWidth="1"/>
    <col min="1048" max="1048" width="16.28515625" style="145" bestFit="1" customWidth="1"/>
    <col min="1049" max="1049" width="13.42578125" style="145" customWidth="1"/>
    <col min="1050" max="1050" width="14.42578125" style="145" customWidth="1"/>
    <col min="1051" max="1051" width="18.7109375" style="145" bestFit="1" customWidth="1"/>
    <col min="1052" max="1052" width="7.85546875" style="145" customWidth="1"/>
    <col min="1053" max="1053" width="9.85546875" style="145" customWidth="1"/>
    <col min="1054" max="1055" width="11" style="145" bestFit="1" customWidth="1"/>
    <col min="1056" max="1056" width="11.140625" style="145" bestFit="1" customWidth="1"/>
    <col min="1057" max="1279" width="12.42578125" style="145"/>
    <col min="1280" max="1280" width="6.7109375" style="145" customWidth="1"/>
    <col min="1281" max="1281" width="25.28515625" style="145" customWidth="1"/>
    <col min="1282" max="1282" width="10" style="145" customWidth="1"/>
    <col min="1283" max="1284" width="7.5703125" style="145" customWidth="1"/>
    <col min="1285" max="1285" width="9" style="145" customWidth="1"/>
    <col min="1286" max="1286" width="7.140625" style="145" customWidth="1"/>
    <col min="1287" max="1287" width="10.5703125" style="145" bestFit="1" customWidth="1"/>
    <col min="1288" max="1288" width="9.85546875" style="145" customWidth="1"/>
    <col min="1289" max="1289" width="7.7109375" style="145" customWidth="1"/>
    <col min="1290" max="1290" width="9.85546875" style="145" customWidth="1"/>
    <col min="1291" max="1291" width="7.42578125" style="145" bestFit="1" customWidth="1"/>
    <col min="1292" max="1292" width="9.85546875" style="145" customWidth="1"/>
    <col min="1293" max="1293" width="8.85546875" style="145" customWidth="1"/>
    <col min="1294" max="1294" width="11.140625" style="145" bestFit="1" customWidth="1"/>
    <col min="1295" max="1296" width="9" style="145" customWidth="1"/>
    <col min="1297" max="1297" width="9.140625" style="145" customWidth="1"/>
    <col min="1298" max="1298" width="9.85546875" style="145" customWidth="1"/>
    <col min="1299" max="1299" width="10.5703125" style="145" customWidth="1"/>
    <col min="1300" max="1300" width="12.140625" style="145" customWidth="1"/>
    <col min="1301" max="1301" width="11.140625" style="145" customWidth="1"/>
    <col min="1302" max="1302" width="11.5703125" style="145" bestFit="1" customWidth="1"/>
    <col min="1303" max="1303" width="12" style="145" bestFit="1" customWidth="1"/>
    <col min="1304" max="1304" width="16.28515625" style="145" bestFit="1" customWidth="1"/>
    <col min="1305" max="1305" width="13.42578125" style="145" customWidth="1"/>
    <col min="1306" max="1306" width="14.42578125" style="145" customWidth="1"/>
    <col min="1307" max="1307" width="18.7109375" style="145" bestFit="1" customWidth="1"/>
    <col min="1308" max="1308" width="7.85546875" style="145" customWidth="1"/>
    <col min="1309" max="1309" width="9.85546875" style="145" customWidth="1"/>
    <col min="1310" max="1311" width="11" style="145" bestFit="1" customWidth="1"/>
    <col min="1312" max="1312" width="11.140625" style="145" bestFit="1" customWidth="1"/>
    <col min="1313" max="1535" width="12.42578125" style="145"/>
    <col min="1536" max="1536" width="6.7109375" style="145" customWidth="1"/>
    <col min="1537" max="1537" width="25.28515625" style="145" customWidth="1"/>
    <col min="1538" max="1538" width="10" style="145" customWidth="1"/>
    <col min="1539" max="1540" width="7.5703125" style="145" customWidth="1"/>
    <col min="1541" max="1541" width="9" style="145" customWidth="1"/>
    <col min="1542" max="1542" width="7.140625" style="145" customWidth="1"/>
    <col min="1543" max="1543" width="10.5703125" style="145" bestFit="1" customWidth="1"/>
    <col min="1544" max="1544" width="9.85546875" style="145" customWidth="1"/>
    <col min="1545" max="1545" width="7.7109375" style="145" customWidth="1"/>
    <col min="1546" max="1546" width="9.85546875" style="145" customWidth="1"/>
    <col min="1547" max="1547" width="7.42578125" style="145" bestFit="1" customWidth="1"/>
    <col min="1548" max="1548" width="9.85546875" style="145" customWidth="1"/>
    <col min="1549" max="1549" width="8.85546875" style="145" customWidth="1"/>
    <col min="1550" max="1550" width="11.140625" style="145" bestFit="1" customWidth="1"/>
    <col min="1551" max="1552" width="9" style="145" customWidth="1"/>
    <col min="1553" max="1553" width="9.140625" style="145" customWidth="1"/>
    <col min="1554" max="1554" width="9.85546875" style="145" customWidth="1"/>
    <col min="1555" max="1555" width="10.5703125" style="145" customWidth="1"/>
    <col min="1556" max="1556" width="12.140625" style="145" customWidth="1"/>
    <col min="1557" max="1557" width="11.140625" style="145" customWidth="1"/>
    <col min="1558" max="1558" width="11.5703125" style="145" bestFit="1" customWidth="1"/>
    <col min="1559" max="1559" width="12" style="145" bestFit="1" customWidth="1"/>
    <col min="1560" max="1560" width="16.28515625" style="145" bestFit="1" customWidth="1"/>
    <col min="1561" max="1561" width="13.42578125" style="145" customWidth="1"/>
    <col min="1562" max="1562" width="14.42578125" style="145" customWidth="1"/>
    <col min="1563" max="1563" width="18.7109375" style="145" bestFit="1" customWidth="1"/>
    <col min="1564" max="1564" width="7.85546875" style="145" customWidth="1"/>
    <col min="1565" max="1565" width="9.85546875" style="145" customWidth="1"/>
    <col min="1566" max="1567" width="11" style="145" bestFit="1" customWidth="1"/>
    <col min="1568" max="1568" width="11.140625" style="145" bestFit="1" customWidth="1"/>
    <col min="1569" max="1791" width="12.42578125" style="145"/>
    <col min="1792" max="1792" width="6.7109375" style="145" customWidth="1"/>
    <col min="1793" max="1793" width="25.28515625" style="145" customWidth="1"/>
    <col min="1794" max="1794" width="10" style="145" customWidth="1"/>
    <col min="1795" max="1796" width="7.5703125" style="145" customWidth="1"/>
    <col min="1797" max="1797" width="9" style="145" customWidth="1"/>
    <col min="1798" max="1798" width="7.140625" style="145" customWidth="1"/>
    <col min="1799" max="1799" width="10.5703125" style="145" bestFit="1" customWidth="1"/>
    <col min="1800" max="1800" width="9.85546875" style="145" customWidth="1"/>
    <col min="1801" max="1801" width="7.7109375" style="145" customWidth="1"/>
    <col min="1802" max="1802" width="9.85546875" style="145" customWidth="1"/>
    <col min="1803" max="1803" width="7.42578125" style="145" bestFit="1" customWidth="1"/>
    <col min="1804" max="1804" width="9.85546875" style="145" customWidth="1"/>
    <col min="1805" max="1805" width="8.85546875" style="145" customWidth="1"/>
    <col min="1806" max="1806" width="11.140625" style="145" bestFit="1" customWidth="1"/>
    <col min="1807" max="1808" width="9" style="145" customWidth="1"/>
    <col min="1809" max="1809" width="9.140625" style="145" customWidth="1"/>
    <col min="1810" max="1810" width="9.85546875" style="145" customWidth="1"/>
    <col min="1811" max="1811" width="10.5703125" style="145" customWidth="1"/>
    <col min="1812" max="1812" width="12.140625" style="145" customWidth="1"/>
    <col min="1813" max="1813" width="11.140625" style="145" customWidth="1"/>
    <col min="1814" max="1814" width="11.5703125" style="145" bestFit="1" customWidth="1"/>
    <col min="1815" max="1815" width="12" style="145" bestFit="1" customWidth="1"/>
    <col min="1816" max="1816" width="16.28515625" style="145" bestFit="1" customWidth="1"/>
    <col min="1817" max="1817" width="13.42578125" style="145" customWidth="1"/>
    <col min="1818" max="1818" width="14.42578125" style="145" customWidth="1"/>
    <col min="1819" max="1819" width="18.7109375" style="145" bestFit="1" customWidth="1"/>
    <col min="1820" max="1820" width="7.85546875" style="145" customWidth="1"/>
    <col min="1821" max="1821" width="9.85546875" style="145" customWidth="1"/>
    <col min="1822" max="1823" width="11" style="145" bestFit="1" customWidth="1"/>
    <col min="1824" max="1824" width="11.140625" style="145" bestFit="1" customWidth="1"/>
    <col min="1825" max="2047" width="12.42578125" style="145"/>
    <col min="2048" max="2048" width="6.7109375" style="145" customWidth="1"/>
    <col min="2049" max="2049" width="25.28515625" style="145" customWidth="1"/>
    <col min="2050" max="2050" width="10" style="145" customWidth="1"/>
    <col min="2051" max="2052" width="7.5703125" style="145" customWidth="1"/>
    <col min="2053" max="2053" width="9" style="145" customWidth="1"/>
    <col min="2054" max="2054" width="7.140625" style="145" customWidth="1"/>
    <col min="2055" max="2055" width="10.5703125" style="145" bestFit="1" customWidth="1"/>
    <col min="2056" max="2056" width="9.85546875" style="145" customWidth="1"/>
    <col min="2057" max="2057" width="7.7109375" style="145" customWidth="1"/>
    <col min="2058" max="2058" width="9.85546875" style="145" customWidth="1"/>
    <col min="2059" max="2059" width="7.42578125" style="145" bestFit="1" customWidth="1"/>
    <col min="2060" max="2060" width="9.85546875" style="145" customWidth="1"/>
    <col min="2061" max="2061" width="8.85546875" style="145" customWidth="1"/>
    <col min="2062" max="2062" width="11.140625" style="145" bestFit="1" customWidth="1"/>
    <col min="2063" max="2064" width="9" style="145" customWidth="1"/>
    <col min="2065" max="2065" width="9.140625" style="145" customWidth="1"/>
    <col min="2066" max="2066" width="9.85546875" style="145" customWidth="1"/>
    <col min="2067" max="2067" width="10.5703125" style="145" customWidth="1"/>
    <col min="2068" max="2068" width="12.140625" style="145" customWidth="1"/>
    <col min="2069" max="2069" width="11.140625" style="145" customWidth="1"/>
    <col min="2070" max="2070" width="11.5703125" style="145" bestFit="1" customWidth="1"/>
    <col min="2071" max="2071" width="12" style="145" bestFit="1" customWidth="1"/>
    <col min="2072" max="2072" width="16.28515625" style="145" bestFit="1" customWidth="1"/>
    <col min="2073" max="2073" width="13.42578125" style="145" customWidth="1"/>
    <col min="2074" max="2074" width="14.42578125" style="145" customWidth="1"/>
    <col min="2075" max="2075" width="18.7109375" style="145" bestFit="1" customWidth="1"/>
    <col min="2076" max="2076" width="7.85546875" style="145" customWidth="1"/>
    <col min="2077" max="2077" width="9.85546875" style="145" customWidth="1"/>
    <col min="2078" max="2079" width="11" style="145" bestFit="1" customWidth="1"/>
    <col min="2080" max="2080" width="11.140625" style="145" bestFit="1" customWidth="1"/>
    <col min="2081" max="2303" width="12.42578125" style="145"/>
    <col min="2304" max="2304" width="6.7109375" style="145" customWidth="1"/>
    <col min="2305" max="2305" width="25.28515625" style="145" customWidth="1"/>
    <col min="2306" max="2306" width="10" style="145" customWidth="1"/>
    <col min="2307" max="2308" width="7.5703125" style="145" customWidth="1"/>
    <col min="2309" max="2309" width="9" style="145" customWidth="1"/>
    <col min="2310" max="2310" width="7.140625" style="145" customWidth="1"/>
    <col min="2311" max="2311" width="10.5703125" style="145" bestFit="1" customWidth="1"/>
    <col min="2312" max="2312" width="9.85546875" style="145" customWidth="1"/>
    <col min="2313" max="2313" width="7.7109375" style="145" customWidth="1"/>
    <col min="2314" max="2314" width="9.85546875" style="145" customWidth="1"/>
    <col min="2315" max="2315" width="7.42578125" style="145" bestFit="1" customWidth="1"/>
    <col min="2316" max="2316" width="9.85546875" style="145" customWidth="1"/>
    <col min="2317" max="2317" width="8.85546875" style="145" customWidth="1"/>
    <col min="2318" max="2318" width="11.140625" style="145" bestFit="1" customWidth="1"/>
    <col min="2319" max="2320" width="9" style="145" customWidth="1"/>
    <col min="2321" max="2321" width="9.140625" style="145" customWidth="1"/>
    <col min="2322" max="2322" width="9.85546875" style="145" customWidth="1"/>
    <col min="2323" max="2323" width="10.5703125" style="145" customWidth="1"/>
    <col min="2324" max="2324" width="12.140625" style="145" customWidth="1"/>
    <col min="2325" max="2325" width="11.140625" style="145" customWidth="1"/>
    <col min="2326" max="2326" width="11.5703125" style="145" bestFit="1" customWidth="1"/>
    <col min="2327" max="2327" width="12" style="145" bestFit="1" customWidth="1"/>
    <col min="2328" max="2328" width="16.28515625" style="145" bestFit="1" customWidth="1"/>
    <col min="2329" max="2329" width="13.42578125" style="145" customWidth="1"/>
    <col min="2330" max="2330" width="14.42578125" style="145" customWidth="1"/>
    <col min="2331" max="2331" width="18.7109375" style="145" bestFit="1" customWidth="1"/>
    <col min="2332" max="2332" width="7.85546875" style="145" customWidth="1"/>
    <col min="2333" max="2333" width="9.85546875" style="145" customWidth="1"/>
    <col min="2334" max="2335" width="11" style="145" bestFit="1" customWidth="1"/>
    <col min="2336" max="2336" width="11.140625" style="145" bestFit="1" customWidth="1"/>
    <col min="2337" max="2559" width="12.42578125" style="145"/>
    <col min="2560" max="2560" width="6.7109375" style="145" customWidth="1"/>
    <col min="2561" max="2561" width="25.28515625" style="145" customWidth="1"/>
    <col min="2562" max="2562" width="10" style="145" customWidth="1"/>
    <col min="2563" max="2564" width="7.5703125" style="145" customWidth="1"/>
    <col min="2565" max="2565" width="9" style="145" customWidth="1"/>
    <col min="2566" max="2566" width="7.140625" style="145" customWidth="1"/>
    <col min="2567" max="2567" width="10.5703125" style="145" bestFit="1" customWidth="1"/>
    <col min="2568" max="2568" width="9.85546875" style="145" customWidth="1"/>
    <col min="2569" max="2569" width="7.7109375" style="145" customWidth="1"/>
    <col min="2570" max="2570" width="9.85546875" style="145" customWidth="1"/>
    <col min="2571" max="2571" width="7.42578125" style="145" bestFit="1" customWidth="1"/>
    <col min="2572" max="2572" width="9.85546875" style="145" customWidth="1"/>
    <col min="2573" max="2573" width="8.85546875" style="145" customWidth="1"/>
    <col min="2574" max="2574" width="11.140625" style="145" bestFit="1" customWidth="1"/>
    <col min="2575" max="2576" width="9" style="145" customWidth="1"/>
    <col min="2577" max="2577" width="9.140625" style="145" customWidth="1"/>
    <col min="2578" max="2578" width="9.85546875" style="145" customWidth="1"/>
    <col min="2579" max="2579" width="10.5703125" style="145" customWidth="1"/>
    <col min="2580" max="2580" width="12.140625" style="145" customWidth="1"/>
    <col min="2581" max="2581" width="11.140625" style="145" customWidth="1"/>
    <col min="2582" max="2582" width="11.5703125" style="145" bestFit="1" customWidth="1"/>
    <col min="2583" max="2583" width="12" style="145" bestFit="1" customWidth="1"/>
    <col min="2584" max="2584" width="16.28515625" style="145" bestFit="1" customWidth="1"/>
    <col min="2585" max="2585" width="13.42578125" style="145" customWidth="1"/>
    <col min="2586" max="2586" width="14.42578125" style="145" customWidth="1"/>
    <col min="2587" max="2587" width="18.7109375" style="145" bestFit="1" customWidth="1"/>
    <col min="2588" max="2588" width="7.85546875" style="145" customWidth="1"/>
    <col min="2589" max="2589" width="9.85546875" style="145" customWidth="1"/>
    <col min="2590" max="2591" width="11" style="145" bestFit="1" customWidth="1"/>
    <col min="2592" max="2592" width="11.140625" style="145" bestFit="1" customWidth="1"/>
    <col min="2593" max="2815" width="12.42578125" style="145"/>
    <col min="2816" max="2816" width="6.7109375" style="145" customWidth="1"/>
    <col min="2817" max="2817" width="25.28515625" style="145" customWidth="1"/>
    <col min="2818" max="2818" width="10" style="145" customWidth="1"/>
    <col min="2819" max="2820" width="7.5703125" style="145" customWidth="1"/>
    <col min="2821" max="2821" width="9" style="145" customWidth="1"/>
    <col min="2822" max="2822" width="7.140625" style="145" customWidth="1"/>
    <col min="2823" max="2823" width="10.5703125" style="145" bestFit="1" customWidth="1"/>
    <col min="2824" max="2824" width="9.85546875" style="145" customWidth="1"/>
    <col min="2825" max="2825" width="7.7109375" style="145" customWidth="1"/>
    <col min="2826" max="2826" width="9.85546875" style="145" customWidth="1"/>
    <col min="2827" max="2827" width="7.42578125" style="145" bestFit="1" customWidth="1"/>
    <col min="2828" max="2828" width="9.85546875" style="145" customWidth="1"/>
    <col min="2829" max="2829" width="8.85546875" style="145" customWidth="1"/>
    <col min="2830" max="2830" width="11.140625" style="145" bestFit="1" customWidth="1"/>
    <col min="2831" max="2832" width="9" style="145" customWidth="1"/>
    <col min="2833" max="2833" width="9.140625" style="145" customWidth="1"/>
    <col min="2834" max="2834" width="9.85546875" style="145" customWidth="1"/>
    <col min="2835" max="2835" width="10.5703125" style="145" customWidth="1"/>
    <col min="2836" max="2836" width="12.140625" style="145" customWidth="1"/>
    <col min="2837" max="2837" width="11.140625" style="145" customWidth="1"/>
    <col min="2838" max="2838" width="11.5703125" style="145" bestFit="1" customWidth="1"/>
    <col min="2839" max="2839" width="12" style="145" bestFit="1" customWidth="1"/>
    <col min="2840" max="2840" width="16.28515625" style="145" bestFit="1" customWidth="1"/>
    <col min="2841" max="2841" width="13.42578125" style="145" customWidth="1"/>
    <col min="2842" max="2842" width="14.42578125" style="145" customWidth="1"/>
    <col min="2843" max="2843" width="18.7109375" style="145" bestFit="1" customWidth="1"/>
    <col min="2844" max="2844" width="7.85546875" style="145" customWidth="1"/>
    <col min="2845" max="2845" width="9.85546875" style="145" customWidth="1"/>
    <col min="2846" max="2847" width="11" style="145" bestFit="1" customWidth="1"/>
    <col min="2848" max="2848" width="11.140625" style="145" bestFit="1" customWidth="1"/>
    <col min="2849" max="3071" width="12.42578125" style="145"/>
    <col min="3072" max="3072" width="6.7109375" style="145" customWidth="1"/>
    <col min="3073" max="3073" width="25.28515625" style="145" customWidth="1"/>
    <col min="3074" max="3074" width="10" style="145" customWidth="1"/>
    <col min="3075" max="3076" width="7.5703125" style="145" customWidth="1"/>
    <col min="3077" max="3077" width="9" style="145" customWidth="1"/>
    <col min="3078" max="3078" width="7.140625" style="145" customWidth="1"/>
    <col min="3079" max="3079" width="10.5703125" style="145" bestFit="1" customWidth="1"/>
    <col min="3080" max="3080" width="9.85546875" style="145" customWidth="1"/>
    <col min="3081" max="3081" width="7.7109375" style="145" customWidth="1"/>
    <col min="3082" max="3082" width="9.85546875" style="145" customWidth="1"/>
    <col min="3083" max="3083" width="7.42578125" style="145" bestFit="1" customWidth="1"/>
    <col min="3084" max="3084" width="9.85546875" style="145" customWidth="1"/>
    <col min="3085" max="3085" width="8.85546875" style="145" customWidth="1"/>
    <col min="3086" max="3086" width="11.140625" style="145" bestFit="1" customWidth="1"/>
    <col min="3087" max="3088" width="9" style="145" customWidth="1"/>
    <col min="3089" max="3089" width="9.140625" style="145" customWidth="1"/>
    <col min="3090" max="3090" width="9.85546875" style="145" customWidth="1"/>
    <col min="3091" max="3091" width="10.5703125" style="145" customWidth="1"/>
    <col min="3092" max="3092" width="12.140625" style="145" customWidth="1"/>
    <col min="3093" max="3093" width="11.140625" style="145" customWidth="1"/>
    <col min="3094" max="3094" width="11.5703125" style="145" bestFit="1" customWidth="1"/>
    <col min="3095" max="3095" width="12" style="145" bestFit="1" customWidth="1"/>
    <col min="3096" max="3096" width="16.28515625" style="145" bestFit="1" customWidth="1"/>
    <col min="3097" max="3097" width="13.42578125" style="145" customWidth="1"/>
    <col min="3098" max="3098" width="14.42578125" style="145" customWidth="1"/>
    <col min="3099" max="3099" width="18.7109375" style="145" bestFit="1" customWidth="1"/>
    <col min="3100" max="3100" width="7.85546875" style="145" customWidth="1"/>
    <col min="3101" max="3101" width="9.85546875" style="145" customWidth="1"/>
    <col min="3102" max="3103" width="11" style="145" bestFit="1" customWidth="1"/>
    <col min="3104" max="3104" width="11.140625" style="145" bestFit="1" customWidth="1"/>
    <col min="3105" max="3327" width="12.42578125" style="145"/>
    <col min="3328" max="3328" width="6.7109375" style="145" customWidth="1"/>
    <col min="3329" max="3329" width="25.28515625" style="145" customWidth="1"/>
    <col min="3330" max="3330" width="10" style="145" customWidth="1"/>
    <col min="3331" max="3332" width="7.5703125" style="145" customWidth="1"/>
    <col min="3333" max="3333" width="9" style="145" customWidth="1"/>
    <col min="3334" max="3334" width="7.140625" style="145" customWidth="1"/>
    <col min="3335" max="3335" width="10.5703125" style="145" bestFit="1" customWidth="1"/>
    <col min="3336" max="3336" width="9.85546875" style="145" customWidth="1"/>
    <col min="3337" max="3337" width="7.7109375" style="145" customWidth="1"/>
    <col min="3338" max="3338" width="9.85546875" style="145" customWidth="1"/>
    <col min="3339" max="3339" width="7.42578125" style="145" bestFit="1" customWidth="1"/>
    <col min="3340" max="3340" width="9.85546875" style="145" customWidth="1"/>
    <col min="3341" max="3341" width="8.85546875" style="145" customWidth="1"/>
    <col min="3342" max="3342" width="11.140625" style="145" bestFit="1" customWidth="1"/>
    <col min="3343" max="3344" width="9" style="145" customWidth="1"/>
    <col min="3345" max="3345" width="9.140625" style="145" customWidth="1"/>
    <col min="3346" max="3346" width="9.85546875" style="145" customWidth="1"/>
    <col min="3347" max="3347" width="10.5703125" style="145" customWidth="1"/>
    <col min="3348" max="3348" width="12.140625" style="145" customWidth="1"/>
    <col min="3349" max="3349" width="11.140625" style="145" customWidth="1"/>
    <col min="3350" max="3350" width="11.5703125" style="145" bestFit="1" customWidth="1"/>
    <col min="3351" max="3351" width="12" style="145" bestFit="1" customWidth="1"/>
    <col min="3352" max="3352" width="16.28515625" style="145" bestFit="1" customWidth="1"/>
    <col min="3353" max="3353" width="13.42578125" style="145" customWidth="1"/>
    <col min="3354" max="3354" width="14.42578125" style="145" customWidth="1"/>
    <col min="3355" max="3355" width="18.7109375" style="145" bestFit="1" customWidth="1"/>
    <col min="3356" max="3356" width="7.85546875" style="145" customWidth="1"/>
    <col min="3357" max="3357" width="9.85546875" style="145" customWidth="1"/>
    <col min="3358" max="3359" width="11" style="145" bestFit="1" customWidth="1"/>
    <col min="3360" max="3360" width="11.140625" style="145" bestFit="1" customWidth="1"/>
    <col min="3361" max="3583" width="12.42578125" style="145"/>
    <col min="3584" max="3584" width="6.7109375" style="145" customWidth="1"/>
    <col min="3585" max="3585" width="25.28515625" style="145" customWidth="1"/>
    <col min="3586" max="3586" width="10" style="145" customWidth="1"/>
    <col min="3587" max="3588" width="7.5703125" style="145" customWidth="1"/>
    <col min="3589" max="3589" width="9" style="145" customWidth="1"/>
    <col min="3590" max="3590" width="7.140625" style="145" customWidth="1"/>
    <col min="3591" max="3591" width="10.5703125" style="145" bestFit="1" customWidth="1"/>
    <col min="3592" max="3592" width="9.85546875" style="145" customWidth="1"/>
    <col min="3593" max="3593" width="7.7109375" style="145" customWidth="1"/>
    <col min="3594" max="3594" width="9.85546875" style="145" customWidth="1"/>
    <col min="3595" max="3595" width="7.42578125" style="145" bestFit="1" customWidth="1"/>
    <col min="3596" max="3596" width="9.85546875" style="145" customWidth="1"/>
    <col min="3597" max="3597" width="8.85546875" style="145" customWidth="1"/>
    <col min="3598" max="3598" width="11.140625" style="145" bestFit="1" customWidth="1"/>
    <col min="3599" max="3600" width="9" style="145" customWidth="1"/>
    <col min="3601" max="3601" width="9.140625" style="145" customWidth="1"/>
    <col min="3602" max="3602" width="9.85546875" style="145" customWidth="1"/>
    <col min="3603" max="3603" width="10.5703125" style="145" customWidth="1"/>
    <col min="3604" max="3604" width="12.140625" style="145" customWidth="1"/>
    <col min="3605" max="3605" width="11.140625" style="145" customWidth="1"/>
    <col min="3606" max="3606" width="11.5703125" style="145" bestFit="1" customWidth="1"/>
    <col min="3607" max="3607" width="12" style="145" bestFit="1" customWidth="1"/>
    <col min="3608" max="3608" width="16.28515625" style="145" bestFit="1" customWidth="1"/>
    <col min="3609" max="3609" width="13.42578125" style="145" customWidth="1"/>
    <col min="3610" max="3610" width="14.42578125" style="145" customWidth="1"/>
    <col min="3611" max="3611" width="18.7109375" style="145" bestFit="1" customWidth="1"/>
    <col min="3612" max="3612" width="7.85546875" style="145" customWidth="1"/>
    <col min="3613" max="3613" width="9.85546875" style="145" customWidth="1"/>
    <col min="3614" max="3615" width="11" style="145" bestFit="1" customWidth="1"/>
    <col min="3616" max="3616" width="11.140625" style="145" bestFit="1" customWidth="1"/>
    <col min="3617" max="3839" width="12.42578125" style="145"/>
    <col min="3840" max="3840" width="6.7109375" style="145" customWidth="1"/>
    <col min="3841" max="3841" width="25.28515625" style="145" customWidth="1"/>
    <col min="3842" max="3842" width="10" style="145" customWidth="1"/>
    <col min="3843" max="3844" width="7.5703125" style="145" customWidth="1"/>
    <col min="3845" max="3845" width="9" style="145" customWidth="1"/>
    <col min="3846" max="3846" width="7.140625" style="145" customWidth="1"/>
    <col min="3847" max="3847" width="10.5703125" style="145" bestFit="1" customWidth="1"/>
    <col min="3848" max="3848" width="9.85546875" style="145" customWidth="1"/>
    <col min="3849" max="3849" width="7.7109375" style="145" customWidth="1"/>
    <col min="3850" max="3850" width="9.85546875" style="145" customWidth="1"/>
    <col min="3851" max="3851" width="7.42578125" style="145" bestFit="1" customWidth="1"/>
    <col min="3852" max="3852" width="9.85546875" style="145" customWidth="1"/>
    <col min="3853" max="3853" width="8.85546875" style="145" customWidth="1"/>
    <col min="3854" max="3854" width="11.140625" style="145" bestFit="1" customWidth="1"/>
    <col min="3855" max="3856" width="9" style="145" customWidth="1"/>
    <col min="3857" max="3857" width="9.140625" style="145" customWidth="1"/>
    <col min="3858" max="3858" width="9.85546875" style="145" customWidth="1"/>
    <col min="3859" max="3859" width="10.5703125" style="145" customWidth="1"/>
    <col min="3860" max="3860" width="12.140625" style="145" customWidth="1"/>
    <col min="3861" max="3861" width="11.140625" style="145" customWidth="1"/>
    <col min="3862" max="3862" width="11.5703125" style="145" bestFit="1" customWidth="1"/>
    <col min="3863" max="3863" width="12" style="145" bestFit="1" customWidth="1"/>
    <col min="3864" max="3864" width="16.28515625" style="145" bestFit="1" customWidth="1"/>
    <col min="3865" max="3865" width="13.42578125" style="145" customWidth="1"/>
    <col min="3866" max="3866" width="14.42578125" style="145" customWidth="1"/>
    <col min="3867" max="3867" width="18.7109375" style="145" bestFit="1" customWidth="1"/>
    <col min="3868" max="3868" width="7.85546875" style="145" customWidth="1"/>
    <col min="3869" max="3869" width="9.85546875" style="145" customWidth="1"/>
    <col min="3870" max="3871" width="11" style="145" bestFit="1" customWidth="1"/>
    <col min="3872" max="3872" width="11.140625" style="145" bestFit="1" customWidth="1"/>
    <col min="3873" max="4095" width="12.42578125" style="145"/>
    <col min="4096" max="4096" width="6.7109375" style="145" customWidth="1"/>
    <col min="4097" max="4097" width="25.28515625" style="145" customWidth="1"/>
    <col min="4098" max="4098" width="10" style="145" customWidth="1"/>
    <col min="4099" max="4100" width="7.5703125" style="145" customWidth="1"/>
    <col min="4101" max="4101" width="9" style="145" customWidth="1"/>
    <col min="4102" max="4102" width="7.140625" style="145" customWidth="1"/>
    <col min="4103" max="4103" width="10.5703125" style="145" bestFit="1" customWidth="1"/>
    <col min="4104" max="4104" width="9.85546875" style="145" customWidth="1"/>
    <col min="4105" max="4105" width="7.7109375" style="145" customWidth="1"/>
    <col min="4106" max="4106" width="9.85546875" style="145" customWidth="1"/>
    <col min="4107" max="4107" width="7.42578125" style="145" bestFit="1" customWidth="1"/>
    <col min="4108" max="4108" width="9.85546875" style="145" customWidth="1"/>
    <col min="4109" max="4109" width="8.85546875" style="145" customWidth="1"/>
    <col min="4110" max="4110" width="11.140625" style="145" bestFit="1" customWidth="1"/>
    <col min="4111" max="4112" width="9" style="145" customWidth="1"/>
    <col min="4113" max="4113" width="9.140625" style="145" customWidth="1"/>
    <col min="4114" max="4114" width="9.85546875" style="145" customWidth="1"/>
    <col min="4115" max="4115" width="10.5703125" style="145" customWidth="1"/>
    <col min="4116" max="4116" width="12.140625" style="145" customWidth="1"/>
    <col min="4117" max="4117" width="11.140625" style="145" customWidth="1"/>
    <col min="4118" max="4118" width="11.5703125" style="145" bestFit="1" customWidth="1"/>
    <col min="4119" max="4119" width="12" style="145" bestFit="1" customWidth="1"/>
    <col min="4120" max="4120" width="16.28515625" style="145" bestFit="1" customWidth="1"/>
    <col min="4121" max="4121" width="13.42578125" style="145" customWidth="1"/>
    <col min="4122" max="4122" width="14.42578125" style="145" customWidth="1"/>
    <col min="4123" max="4123" width="18.7109375" style="145" bestFit="1" customWidth="1"/>
    <col min="4124" max="4124" width="7.85546875" style="145" customWidth="1"/>
    <col min="4125" max="4125" width="9.85546875" style="145" customWidth="1"/>
    <col min="4126" max="4127" width="11" style="145" bestFit="1" customWidth="1"/>
    <col min="4128" max="4128" width="11.140625" style="145" bestFit="1" customWidth="1"/>
    <col min="4129" max="4351" width="12.42578125" style="145"/>
    <col min="4352" max="4352" width="6.7109375" style="145" customWidth="1"/>
    <col min="4353" max="4353" width="25.28515625" style="145" customWidth="1"/>
    <col min="4354" max="4354" width="10" style="145" customWidth="1"/>
    <col min="4355" max="4356" width="7.5703125" style="145" customWidth="1"/>
    <col min="4357" max="4357" width="9" style="145" customWidth="1"/>
    <col min="4358" max="4358" width="7.140625" style="145" customWidth="1"/>
    <col min="4359" max="4359" width="10.5703125" style="145" bestFit="1" customWidth="1"/>
    <col min="4360" max="4360" width="9.85546875" style="145" customWidth="1"/>
    <col min="4361" max="4361" width="7.7109375" style="145" customWidth="1"/>
    <col min="4362" max="4362" width="9.85546875" style="145" customWidth="1"/>
    <col min="4363" max="4363" width="7.42578125" style="145" bestFit="1" customWidth="1"/>
    <col min="4364" max="4364" width="9.85546875" style="145" customWidth="1"/>
    <col min="4365" max="4365" width="8.85546875" style="145" customWidth="1"/>
    <col min="4366" max="4366" width="11.140625" style="145" bestFit="1" customWidth="1"/>
    <col min="4367" max="4368" width="9" style="145" customWidth="1"/>
    <col min="4369" max="4369" width="9.140625" style="145" customWidth="1"/>
    <col min="4370" max="4370" width="9.85546875" style="145" customWidth="1"/>
    <col min="4371" max="4371" width="10.5703125" style="145" customWidth="1"/>
    <col min="4372" max="4372" width="12.140625" style="145" customWidth="1"/>
    <col min="4373" max="4373" width="11.140625" style="145" customWidth="1"/>
    <col min="4374" max="4374" width="11.5703125" style="145" bestFit="1" customWidth="1"/>
    <col min="4375" max="4375" width="12" style="145" bestFit="1" customWidth="1"/>
    <col min="4376" max="4376" width="16.28515625" style="145" bestFit="1" customWidth="1"/>
    <col min="4377" max="4377" width="13.42578125" style="145" customWidth="1"/>
    <col min="4378" max="4378" width="14.42578125" style="145" customWidth="1"/>
    <col min="4379" max="4379" width="18.7109375" style="145" bestFit="1" customWidth="1"/>
    <col min="4380" max="4380" width="7.85546875" style="145" customWidth="1"/>
    <col min="4381" max="4381" width="9.85546875" style="145" customWidth="1"/>
    <col min="4382" max="4383" width="11" style="145" bestFit="1" customWidth="1"/>
    <col min="4384" max="4384" width="11.140625" style="145" bestFit="1" customWidth="1"/>
    <col min="4385" max="4607" width="12.42578125" style="145"/>
    <col min="4608" max="4608" width="6.7109375" style="145" customWidth="1"/>
    <col min="4609" max="4609" width="25.28515625" style="145" customWidth="1"/>
    <col min="4610" max="4610" width="10" style="145" customWidth="1"/>
    <col min="4611" max="4612" width="7.5703125" style="145" customWidth="1"/>
    <col min="4613" max="4613" width="9" style="145" customWidth="1"/>
    <col min="4614" max="4614" width="7.140625" style="145" customWidth="1"/>
    <col min="4615" max="4615" width="10.5703125" style="145" bestFit="1" customWidth="1"/>
    <col min="4616" max="4616" width="9.85546875" style="145" customWidth="1"/>
    <col min="4617" max="4617" width="7.7109375" style="145" customWidth="1"/>
    <col min="4618" max="4618" width="9.85546875" style="145" customWidth="1"/>
    <col min="4619" max="4619" width="7.42578125" style="145" bestFit="1" customWidth="1"/>
    <col min="4620" max="4620" width="9.85546875" style="145" customWidth="1"/>
    <col min="4621" max="4621" width="8.85546875" style="145" customWidth="1"/>
    <col min="4622" max="4622" width="11.140625" style="145" bestFit="1" customWidth="1"/>
    <col min="4623" max="4624" width="9" style="145" customWidth="1"/>
    <col min="4625" max="4625" width="9.140625" style="145" customWidth="1"/>
    <col min="4626" max="4626" width="9.85546875" style="145" customWidth="1"/>
    <col min="4627" max="4627" width="10.5703125" style="145" customWidth="1"/>
    <col min="4628" max="4628" width="12.140625" style="145" customWidth="1"/>
    <col min="4629" max="4629" width="11.140625" style="145" customWidth="1"/>
    <col min="4630" max="4630" width="11.5703125" style="145" bestFit="1" customWidth="1"/>
    <col min="4631" max="4631" width="12" style="145" bestFit="1" customWidth="1"/>
    <col min="4632" max="4632" width="16.28515625" style="145" bestFit="1" customWidth="1"/>
    <col min="4633" max="4633" width="13.42578125" style="145" customWidth="1"/>
    <col min="4634" max="4634" width="14.42578125" style="145" customWidth="1"/>
    <col min="4635" max="4635" width="18.7109375" style="145" bestFit="1" customWidth="1"/>
    <col min="4636" max="4636" width="7.85546875" style="145" customWidth="1"/>
    <col min="4637" max="4637" width="9.85546875" style="145" customWidth="1"/>
    <col min="4638" max="4639" width="11" style="145" bestFit="1" customWidth="1"/>
    <col min="4640" max="4640" width="11.140625" style="145" bestFit="1" customWidth="1"/>
    <col min="4641" max="4863" width="12.42578125" style="145"/>
    <col min="4864" max="4864" width="6.7109375" style="145" customWidth="1"/>
    <col min="4865" max="4865" width="25.28515625" style="145" customWidth="1"/>
    <col min="4866" max="4866" width="10" style="145" customWidth="1"/>
    <col min="4867" max="4868" width="7.5703125" style="145" customWidth="1"/>
    <col min="4869" max="4869" width="9" style="145" customWidth="1"/>
    <col min="4870" max="4870" width="7.140625" style="145" customWidth="1"/>
    <col min="4871" max="4871" width="10.5703125" style="145" bestFit="1" customWidth="1"/>
    <col min="4872" max="4872" width="9.85546875" style="145" customWidth="1"/>
    <col min="4873" max="4873" width="7.7109375" style="145" customWidth="1"/>
    <col min="4874" max="4874" width="9.85546875" style="145" customWidth="1"/>
    <col min="4875" max="4875" width="7.42578125" style="145" bestFit="1" customWidth="1"/>
    <col min="4876" max="4876" width="9.85546875" style="145" customWidth="1"/>
    <col min="4877" max="4877" width="8.85546875" style="145" customWidth="1"/>
    <col min="4878" max="4878" width="11.140625" style="145" bestFit="1" customWidth="1"/>
    <col min="4879" max="4880" width="9" style="145" customWidth="1"/>
    <col min="4881" max="4881" width="9.140625" style="145" customWidth="1"/>
    <col min="4882" max="4882" width="9.85546875" style="145" customWidth="1"/>
    <col min="4883" max="4883" width="10.5703125" style="145" customWidth="1"/>
    <col min="4884" max="4884" width="12.140625" style="145" customWidth="1"/>
    <col min="4885" max="4885" width="11.140625" style="145" customWidth="1"/>
    <col min="4886" max="4886" width="11.5703125" style="145" bestFit="1" customWidth="1"/>
    <col min="4887" max="4887" width="12" style="145" bestFit="1" customWidth="1"/>
    <col min="4888" max="4888" width="16.28515625" style="145" bestFit="1" customWidth="1"/>
    <col min="4889" max="4889" width="13.42578125" style="145" customWidth="1"/>
    <col min="4890" max="4890" width="14.42578125" style="145" customWidth="1"/>
    <col min="4891" max="4891" width="18.7109375" style="145" bestFit="1" customWidth="1"/>
    <col min="4892" max="4892" width="7.85546875" style="145" customWidth="1"/>
    <col min="4893" max="4893" width="9.85546875" style="145" customWidth="1"/>
    <col min="4894" max="4895" width="11" style="145" bestFit="1" customWidth="1"/>
    <col min="4896" max="4896" width="11.140625" style="145" bestFit="1" customWidth="1"/>
    <col min="4897" max="5119" width="12.42578125" style="145"/>
    <col min="5120" max="5120" width="6.7109375" style="145" customWidth="1"/>
    <col min="5121" max="5121" width="25.28515625" style="145" customWidth="1"/>
    <col min="5122" max="5122" width="10" style="145" customWidth="1"/>
    <col min="5123" max="5124" width="7.5703125" style="145" customWidth="1"/>
    <col min="5125" max="5125" width="9" style="145" customWidth="1"/>
    <col min="5126" max="5126" width="7.140625" style="145" customWidth="1"/>
    <col min="5127" max="5127" width="10.5703125" style="145" bestFit="1" customWidth="1"/>
    <col min="5128" max="5128" width="9.85546875" style="145" customWidth="1"/>
    <col min="5129" max="5129" width="7.7109375" style="145" customWidth="1"/>
    <col min="5130" max="5130" width="9.85546875" style="145" customWidth="1"/>
    <col min="5131" max="5131" width="7.42578125" style="145" bestFit="1" customWidth="1"/>
    <col min="5132" max="5132" width="9.85546875" style="145" customWidth="1"/>
    <col min="5133" max="5133" width="8.85546875" style="145" customWidth="1"/>
    <col min="5134" max="5134" width="11.140625" style="145" bestFit="1" customWidth="1"/>
    <col min="5135" max="5136" width="9" style="145" customWidth="1"/>
    <col min="5137" max="5137" width="9.140625" style="145" customWidth="1"/>
    <col min="5138" max="5138" width="9.85546875" style="145" customWidth="1"/>
    <col min="5139" max="5139" width="10.5703125" style="145" customWidth="1"/>
    <col min="5140" max="5140" width="12.140625" style="145" customWidth="1"/>
    <col min="5141" max="5141" width="11.140625" style="145" customWidth="1"/>
    <col min="5142" max="5142" width="11.5703125" style="145" bestFit="1" customWidth="1"/>
    <col min="5143" max="5143" width="12" style="145" bestFit="1" customWidth="1"/>
    <col min="5144" max="5144" width="16.28515625" style="145" bestFit="1" customWidth="1"/>
    <col min="5145" max="5145" width="13.42578125" style="145" customWidth="1"/>
    <col min="5146" max="5146" width="14.42578125" style="145" customWidth="1"/>
    <col min="5147" max="5147" width="18.7109375" style="145" bestFit="1" customWidth="1"/>
    <col min="5148" max="5148" width="7.85546875" style="145" customWidth="1"/>
    <col min="5149" max="5149" width="9.85546875" style="145" customWidth="1"/>
    <col min="5150" max="5151" width="11" style="145" bestFit="1" customWidth="1"/>
    <col min="5152" max="5152" width="11.140625" style="145" bestFit="1" customWidth="1"/>
    <col min="5153" max="5375" width="12.42578125" style="145"/>
    <col min="5376" max="5376" width="6.7109375" style="145" customWidth="1"/>
    <col min="5377" max="5377" width="25.28515625" style="145" customWidth="1"/>
    <col min="5378" max="5378" width="10" style="145" customWidth="1"/>
    <col min="5379" max="5380" width="7.5703125" style="145" customWidth="1"/>
    <col min="5381" max="5381" width="9" style="145" customWidth="1"/>
    <col min="5382" max="5382" width="7.140625" style="145" customWidth="1"/>
    <col min="5383" max="5383" width="10.5703125" style="145" bestFit="1" customWidth="1"/>
    <col min="5384" max="5384" width="9.85546875" style="145" customWidth="1"/>
    <col min="5385" max="5385" width="7.7109375" style="145" customWidth="1"/>
    <col min="5386" max="5386" width="9.85546875" style="145" customWidth="1"/>
    <col min="5387" max="5387" width="7.42578125" style="145" bestFit="1" customWidth="1"/>
    <col min="5388" max="5388" width="9.85546875" style="145" customWidth="1"/>
    <col min="5389" max="5389" width="8.85546875" style="145" customWidth="1"/>
    <col min="5390" max="5390" width="11.140625" style="145" bestFit="1" customWidth="1"/>
    <col min="5391" max="5392" width="9" style="145" customWidth="1"/>
    <col min="5393" max="5393" width="9.140625" style="145" customWidth="1"/>
    <col min="5394" max="5394" width="9.85546875" style="145" customWidth="1"/>
    <col min="5395" max="5395" width="10.5703125" style="145" customWidth="1"/>
    <col min="5396" max="5396" width="12.140625" style="145" customWidth="1"/>
    <col min="5397" max="5397" width="11.140625" style="145" customWidth="1"/>
    <col min="5398" max="5398" width="11.5703125" style="145" bestFit="1" customWidth="1"/>
    <col min="5399" max="5399" width="12" style="145" bestFit="1" customWidth="1"/>
    <col min="5400" max="5400" width="16.28515625" style="145" bestFit="1" customWidth="1"/>
    <col min="5401" max="5401" width="13.42578125" style="145" customWidth="1"/>
    <col min="5402" max="5402" width="14.42578125" style="145" customWidth="1"/>
    <col min="5403" max="5403" width="18.7109375" style="145" bestFit="1" customWidth="1"/>
    <col min="5404" max="5404" width="7.85546875" style="145" customWidth="1"/>
    <col min="5405" max="5405" width="9.85546875" style="145" customWidth="1"/>
    <col min="5406" max="5407" width="11" style="145" bestFit="1" customWidth="1"/>
    <col min="5408" max="5408" width="11.140625" style="145" bestFit="1" customWidth="1"/>
    <col min="5409" max="5631" width="12.42578125" style="145"/>
    <col min="5632" max="5632" width="6.7109375" style="145" customWidth="1"/>
    <col min="5633" max="5633" width="25.28515625" style="145" customWidth="1"/>
    <col min="5634" max="5634" width="10" style="145" customWidth="1"/>
    <col min="5635" max="5636" width="7.5703125" style="145" customWidth="1"/>
    <col min="5637" max="5637" width="9" style="145" customWidth="1"/>
    <col min="5638" max="5638" width="7.140625" style="145" customWidth="1"/>
    <col min="5639" max="5639" width="10.5703125" style="145" bestFit="1" customWidth="1"/>
    <col min="5640" max="5640" width="9.85546875" style="145" customWidth="1"/>
    <col min="5641" max="5641" width="7.7109375" style="145" customWidth="1"/>
    <col min="5642" max="5642" width="9.85546875" style="145" customWidth="1"/>
    <col min="5643" max="5643" width="7.42578125" style="145" bestFit="1" customWidth="1"/>
    <col min="5644" max="5644" width="9.85546875" style="145" customWidth="1"/>
    <col min="5645" max="5645" width="8.85546875" style="145" customWidth="1"/>
    <col min="5646" max="5646" width="11.140625" style="145" bestFit="1" customWidth="1"/>
    <col min="5647" max="5648" width="9" style="145" customWidth="1"/>
    <col min="5649" max="5649" width="9.140625" style="145" customWidth="1"/>
    <col min="5650" max="5650" width="9.85546875" style="145" customWidth="1"/>
    <col min="5651" max="5651" width="10.5703125" style="145" customWidth="1"/>
    <col min="5652" max="5652" width="12.140625" style="145" customWidth="1"/>
    <col min="5653" max="5653" width="11.140625" style="145" customWidth="1"/>
    <col min="5654" max="5654" width="11.5703125" style="145" bestFit="1" customWidth="1"/>
    <col min="5655" max="5655" width="12" style="145" bestFit="1" customWidth="1"/>
    <col min="5656" max="5656" width="16.28515625" style="145" bestFit="1" customWidth="1"/>
    <col min="5657" max="5657" width="13.42578125" style="145" customWidth="1"/>
    <col min="5658" max="5658" width="14.42578125" style="145" customWidth="1"/>
    <col min="5659" max="5659" width="18.7109375" style="145" bestFit="1" customWidth="1"/>
    <col min="5660" max="5660" width="7.85546875" style="145" customWidth="1"/>
    <col min="5661" max="5661" width="9.85546875" style="145" customWidth="1"/>
    <col min="5662" max="5663" width="11" style="145" bestFit="1" customWidth="1"/>
    <col min="5664" max="5664" width="11.140625" style="145" bestFit="1" customWidth="1"/>
    <col min="5665" max="5887" width="12.42578125" style="145"/>
    <col min="5888" max="5888" width="6.7109375" style="145" customWidth="1"/>
    <col min="5889" max="5889" width="25.28515625" style="145" customWidth="1"/>
    <col min="5890" max="5890" width="10" style="145" customWidth="1"/>
    <col min="5891" max="5892" width="7.5703125" style="145" customWidth="1"/>
    <col min="5893" max="5893" width="9" style="145" customWidth="1"/>
    <col min="5894" max="5894" width="7.140625" style="145" customWidth="1"/>
    <col min="5895" max="5895" width="10.5703125" style="145" bestFit="1" customWidth="1"/>
    <col min="5896" max="5896" width="9.85546875" style="145" customWidth="1"/>
    <col min="5897" max="5897" width="7.7109375" style="145" customWidth="1"/>
    <col min="5898" max="5898" width="9.85546875" style="145" customWidth="1"/>
    <col min="5899" max="5899" width="7.42578125" style="145" bestFit="1" customWidth="1"/>
    <col min="5900" max="5900" width="9.85546875" style="145" customWidth="1"/>
    <col min="5901" max="5901" width="8.85546875" style="145" customWidth="1"/>
    <col min="5902" max="5902" width="11.140625" style="145" bestFit="1" customWidth="1"/>
    <col min="5903" max="5904" width="9" style="145" customWidth="1"/>
    <col min="5905" max="5905" width="9.140625" style="145" customWidth="1"/>
    <col min="5906" max="5906" width="9.85546875" style="145" customWidth="1"/>
    <col min="5907" max="5907" width="10.5703125" style="145" customWidth="1"/>
    <col min="5908" max="5908" width="12.140625" style="145" customWidth="1"/>
    <col min="5909" max="5909" width="11.140625" style="145" customWidth="1"/>
    <col min="5910" max="5910" width="11.5703125" style="145" bestFit="1" customWidth="1"/>
    <col min="5911" max="5911" width="12" style="145" bestFit="1" customWidth="1"/>
    <col min="5912" max="5912" width="16.28515625" style="145" bestFit="1" customWidth="1"/>
    <col min="5913" max="5913" width="13.42578125" style="145" customWidth="1"/>
    <col min="5914" max="5914" width="14.42578125" style="145" customWidth="1"/>
    <col min="5915" max="5915" width="18.7109375" style="145" bestFit="1" customWidth="1"/>
    <col min="5916" max="5916" width="7.85546875" style="145" customWidth="1"/>
    <col min="5917" max="5917" width="9.85546875" style="145" customWidth="1"/>
    <col min="5918" max="5919" width="11" style="145" bestFit="1" customWidth="1"/>
    <col min="5920" max="5920" width="11.140625" style="145" bestFit="1" customWidth="1"/>
    <col min="5921" max="6143" width="12.42578125" style="145"/>
    <col min="6144" max="6144" width="6.7109375" style="145" customWidth="1"/>
    <col min="6145" max="6145" width="25.28515625" style="145" customWidth="1"/>
    <col min="6146" max="6146" width="10" style="145" customWidth="1"/>
    <col min="6147" max="6148" width="7.5703125" style="145" customWidth="1"/>
    <col min="6149" max="6149" width="9" style="145" customWidth="1"/>
    <col min="6150" max="6150" width="7.140625" style="145" customWidth="1"/>
    <col min="6151" max="6151" width="10.5703125" style="145" bestFit="1" customWidth="1"/>
    <col min="6152" max="6152" width="9.85546875" style="145" customWidth="1"/>
    <col min="6153" max="6153" width="7.7109375" style="145" customWidth="1"/>
    <col min="6154" max="6154" width="9.85546875" style="145" customWidth="1"/>
    <col min="6155" max="6155" width="7.42578125" style="145" bestFit="1" customWidth="1"/>
    <col min="6156" max="6156" width="9.85546875" style="145" customWidth="1"/>
    <col min="6157" max="6157" width="8.85546875" style="145" customWidth="1"/>
    <col min="6158" max="6158" width="11.140625" style="145" bestFit="1" customWidth="1"/>
    <col min="6159" max="6160" width="9" style="145" customWidth="1"/>
    <col min="6161" max="6161" width="9.140625" style="145" customWidth="1"/>
    <col min="6162" max="6162" width="9.85546875" style="145" customWidth="1"/>
    <col min="6163" max="6163" width="10.5703125" style="145" customWidth="1"/>
    <col min="6164" max="6164" width="12.140625" style="145" customWidth="1"/>
    <col min="6165" max="6165" width="11.140625" style="145" customWidth="1"/>
    <col min="6166" max="6166" width="11.5703125" style="145" bestFit="1" customWidth="1"/>
    <col min="6167" max="6167" width="12" style="145" bestFit="1" customWidth="1"/>
    <col min="6168" max="6168" width="16.28515625" style="145" bestFit="1" customWidth="1"/>
    <col min="6169" max="6169" width="13.42578125" style="145" customWidth="1"/>
    <col min="6170" max="6170" width="14.42578125" style="145" customWidth="1"/>
    <col min="6171" max="6171" width="18.7109375" style="145" bestFit="1" customWidth="1"/>
    <col min="6172" max="6172" width="7.85546875" style="145" customWidth="1"/>
    <col min="6173" max="6173" width="9.85546875" style="145" customWidth="1"/>
    <col min="6174" max="6175" width="11" style="145" bestFit="1" customWidth="1"/>
    <col min="6176" max="6176" width="11.140625" style="145" bestFit="1" customWidth="1"/>
    <col min="6177" max="6399" width="12.42578125" style="145"/>
    <col min="6400" max="6400" width="6.7109375" style="145" customWidth="1"/>
    <col min="6401" max="6401" width="25.28515625" style="145" customWidth="1"/>
    <col min="6402" max="6402" width="10" style="145" customWidth="1"/>
    <col min="6403" max="6404" width="7.5703125" style="145" customWidth="1"/>
    <col min="6405" max="6405" width="9" style="145" customWidth="1"/>
    <col min="6406" max="6406" width="7.140625" style="145" customWidth="1"/>
    <col min="6407" max="6407" width="10.5703125" style="145" bestFit="1" customWidth="1"/>
    <col min="6408" max="6408" width="9.85546875" style="145" customWidth="1"/>
    <col min="6409" max="6409" width="7.7109375" style="145" customWidth="1"/>
    <col min="6410" max="6410" width="9.85546875" style="145" customWidth="1"/>
    <col min="6411" max="6411" width="7.42578125" style="145" bestFit="1" customWidth="1"/>
    <col min="6412" max="6412" width="9.85546875" style="145" customWidth="1"/>
    <col min="6413" max="6413" width="8.85546875" style="145" customWidth="1"/>
    <col min="6414" max="6414" width="11.140625" style="145" bestFit="1" customWidth="1"/>
    <col min="6415" max="6416" width="9" style="145" customWidth="1"/>
    <col min="6417" max="6417" width="9.140625" style="145" customWidth="1"/>
    <col min="6418" max="6418" width="9.85546875" style="145" customWidth="1"/>
    <col min="6419" max="6419" width="10.5703125" style="145" customWidth="1"/>
    <col min="6420" max="6420" width="12.140625" style="145" customWidth="1"/>
    <col min="6421" max="6421" width="11.140625" style="145" customWidth="1"/>
    <col min="6422" max="6422" width="11.5703125" style="145" bestFit="1" customWidth="1"/>
    <col min="6423" max="6423" width="12" style="145" bestFit="1" customWidth="1"/>
    <col min="6424" max="6424" width="16.28515625" style="145" bestFit="1" customWidth="1"/>
    <col min="6425" max="6425" width="13.42578125" style="145" customWidth="1"/>
    <col min="6426" max="6426" width="14.42578125" style="145" customWidth="1"/>
    <col min="6427" max="6427" width="18.7109375" style="145" bestFit="1" customWidth="1"/>
    <col min="6428" max="6428" width="7.85546875" style="145" customWidth="1"/>
    <col min="6429" max="6429" width="9.85546875" style="145" customWidth="1"/>
    <col min="6430" max="6431" width="11" style="145" bestFit="1" customWidth="1"/>
    <col min="6432" max="6432" width="11.140625" style="145" bestFit="1" customWidth="1"/>
    <col min="6433" max="6655" width="12.42578125" style="145"/>
    <col min="6656" max="6656" width="6.7109375" style="145" customWidth="1"/>
    <col min="6657" max="6657" width="25.28515625" style="145" customWidth="1"/>
    <col min="6658" max="6658" width="10" style="145" customWidth="1"/>
    <col min="6659" max="6660" width="7.5703125" style="145" customWidth="1"/>
    <col min="6661" max="6661" width="9" style="145" customWidth="1"/>
    <col min="6662" max="6662" width="7.140625" style="145" customWidth="1"/>
    <col min="6663" max="6663" width="10.5703125" style="145" bestFit="1" customWidth="1"/>
    <col min="6664" max="6664" width="9.85546875" style="145" customWidth="1"/>
    <col min="6665" max="6665" width="7.7109375" style="145" customWidth="1"/>
    <col min="6666" max="6666" width="9.85546875" style="145" customWidth="1"/>
    <col min="6667" max="6667" width="7.42578125" style="145" bestFit="1" customWidth="1"/>
    <col min="6668" max="6668" width="9.85546875" style="145" customWidth="1"/>
    <col min="6669" max="6669" width="8.85546875" style="145" customWidth="1"/>
    <col min="6670" max="6670" width="11.140625" style="145" bestFit="1" customWidth="1"/>
    <col min="6671" max="6672" width="9" style="145" customWidth="1"/>
    <col min="6673" max="6673" width="9.140625" style="145" customWidth="1"/>
    <col min="6674" max="6674" width="9.85546875" style="145" customWidth="1"/>
    <col min="6675" max="6675" width="10.5703125" style="145" customWidth="1"/>
    <col min="6676" max="6676" width="12.140625" style="145" customWidth="1"/>
    <col min="6677" max="6677" width="11.140625" style="145" customWidth="1"/>
    <col min="6678" max="6678" width="11.5703125" style="145" bestFit="1" customWidth="1"/>
    <col min="6679" max="6679" width="12" style="145" bestFit="1" customWidth="1"/>
    <col min="6680" max="6680" width="16.28515625" style="145" bestFit="1" customWidth="1"/>
    <col min="6681" max="6681" width="13.42578125" style="145" customWidth="1"/>
    <col min="6682" max="6682" width="14.42578125" style="145" customWidth="1"/>
    <col min="6683" max="6683" width="18.7109375" style="145" bestFit="1" customWidth="1"/>
    <col min="6684" max="6684" width="7.85546875" style="145" customWidth="1"/>
    <col min="6685" max="6685" width="9.85546875" style="145" customWidth="1"/>
    <col min="6686" max="6687" width="11" style="145" bestFit="1" customWidth="1"/>
    <col min="6688" max="6688" width="11.140625" style="145" bestFit="1" customWidth="1"/>
    <col min="6689" max="6911" width="12.42578125" style="145"/>
    <col min="6912" max="6912" width="6.7109375" style="145" customWidth="1"/>
    <col min="6913" max="6913" width="25.28515625" style="145" customWidth="1"/>
    <col min="6914" max="6914" width="10" style="145" customWidth="1"/>
    <col min="6915" max="6916" width="7.5703125" style="145" customWidth="1"/>
    <col min="6917" max="6917" width="9" style="145" customWidth="1"/>
    <col min="6918" max="6918" width="7.140625" style="145" customWidth="1"/>
    <col min="6919" max="6919" width="10.5703125" style="145" bestFit="1" customWidth="1"/>
    <col min="6920" max="6920" width="9.85546875" style="145" customWidth="1"/>
    <col min="6921" max="6921" width="7.7109375" style="145" customWidth="1"/>
    <col min="6922" max="6922" width="9.85546875" style="145" customWidth="1"/>
    <col min="6923" max="6923" width="7.42578125" style="145" bestFit="1" customWidth="1"/>
    <col min="6924" max="6924" width="9.85546875" style="145" customWidth="1"/>
    <col min="6925" max="6925" width="8.85546875" style="145" customWidth="1"/>
    <col min="6926" max="6926" width="11.140625" style="145" bestFit="1" customWidth="1"/>
    <col min="6927" max="6928" width="9" style="145" customWidth="1"/>
    <col min="6929" max="6929" width="9.140625" style="145" customWidth="1"/>
    <col min="6930" max="6930" width="9.85546875" style="145" customWidth="1"/>
    <col min="6931" max="6931" width="10.5703125" style="145" customWidth="1"/>
    <col min="6932" max="6932" width="12.140625" style="145" customWidth="1"/>
    <col min="6933" max="6933" width="11.140625" style="145" customWidth="1"/>
    <col min="6934" max="6934" width="11.5703125" style="145" bestFit="1" customWidth="1"/>
    <col min="6935" max="6935" width="12" style="145" bestFit="1" customWidth="1"/>
    <col min="6936" max="6936" width="16.28515625" style="145" bestFit="1" customWidth="1"/>
    <col min="6937" max="6937" width="13.42578125" style="145" customWidth="1"/>
    <col min="6938" max="6938" width="14.42578125" style="145" customWidth="1"/>
    <col min="6939" max="6939" width="18.7109375" style="145" bestFit="1" customWidth="1"/>
    <col min="6940" max="6940" width="7.85546875" style="145" customWidth="1"/>
    <col min="6941" max="6941" width="9.85546875" style="145" customWidth="1"/>
    <col min="6942" max="6943" width="11" style="145" bestFit="1" customWidth="1"/>
    <col min="6944" max="6944" width="11.140625" style="145" bestFit="1" customWidth="1"/>
    <col min="6945" max="7167" width="12.42578125" style="145"/>
    <col min="7168" max="7168" width="6.7109375" style="145" customWidth="1"/>
    <col min="7169" max="7169" width="25.28515625" style="145" customWidth="1"/>
    <col min="7170" max="7170" width="10" style="145" customWidth="1"/>
    <col min="7171" max="7172" width="7.5703125" style="145" customWidth="1"/>
    <col min="7173" max="7173" width="9" style="145" customWidth="1"/>
    <col min="7174" max="7174" width="7.140625" style="145" customWidth="1"/>
    <col min="7175" max="7175" width="10.5703125" style="145" bestFit="1" customWidth="1"/>
    <col min="7176" max="7176" width="9.85546875" style="145" customWidth="1"/>
    <col min="7177" max="7177" width="7.7109375" style="145" customWidth="1"/>
    <col min="7178" max="7178" width="9.85546875" style="145" customWidth="1"/>
    <col min="7179" max="7179" width="7.42578125" style="145" bestFit="1" customWidth="1"/>
    <col min="7180" max="7180" width="9.85546875" style="145" customWidth="1"/>
    <col min="7181" max="7181" width="8.85546875" style="145" customWidth="1"/>
    <col min="7182" max="7182" width="11.140625" style="145" bestFit="1" customWidth="1"/>
    <col min="7183" max="7184" width="9" style="145" customWidth="1"/>
    <col min="7185" max="7185" width="9.140625" style="145" customWidth="1"/>
    <col min="7186" max="7186" width="9.85546875" style="145" customWidth="1"/>
    <col min="7187" max="7187" width="10.5703125" style="145" customWidth="1"/>
    <col min="7188" max="7188" width="12.140625" style="145" customWidth="1"/>
    <col min="7189" max="7189" width="11.140625" style="145" customWidth="1"/>
    <col min="7190" max="7190" width="11.5703125" style="145" bestFit="1" customWidth="1"/>
    <col min="7191" max="7191" width="12" style="145" bestFit="1" customWidth="1"/>
    <col min="7192" max="7192" width="16.28515625" style="145" bestFit="1" customWidth="1"/>
    <col min="7193" max="7193" width="13.42578125" style="145" customWidth="1"/>
    <col min="7194" max="7194" width="14.42578125" style="145" customWidth="1"/>
    <col min="7195" max="7195" width="18.7109375" style="145" bestFit="1" customWidth="1"/>
    <col min="7196" max="7196" width="7.85546875" style="145" customWidth="1"/>
    <col min="7197" max="7197" width="9.85546875" style="145" customWidth="1"/>
    <col min="7198" max="7199" width="11" style="145" bestFit="1" customWidth="1"/>
    <col min="7200" max="7200" width="11.140625" style="145" bestFit="1" customWidth="1"/>
    <col min="7201" max="7423" width="12.42578125" style="145"/>
    <col min="7424" max="7424" width="6.7109375" style="145" customWidth="1"/>
    <col min="7425" max="7425" width="25.28515625" style="145" customWidth="1"/>
    <col min="7426" max="7426" width="10" style="145" customWidth="1"/>
    <col min="7427" max="7428" width="7.5703125" style="145" customWidth="1"/>
    <col min="7429" max="7429" width="9" style="145" customWidth="1"/>
    <col min="7430" max="7430" width="7.140625" style="145" customWidth="1"/>
    <col min="7431" max="7431" width="10.5703125" style="145" bestFit="1" customWidth="1"/>
    <col min="7432" max="7432" width="9.85546875" style="145" customWidth="1"/>
    <col min="7433" max="7433" width="7.7109375" style="145" customWidth="1"/>
    <col min="7434" max="7434" width="9.85546875" style="145" customWidth="1"/>
    <col min="7435" max="7435" width="7.42578125" style="145" bestFit="1" customWidth="1"/>
    <col min="7436" max="7436" width="9.85546875" style="145" customWidth="1"/>
    <col min="7437" max="7437" width="8.85546875" style="145" customWidth="1"/>
    <col min="7438" max="7438" width="11.140625" style="145" bestFit="1" customWidth="1"/>
    <col min="7439" max="7440" width="9" style="145" customWidth="1"/>
    <col min="7441" max="7441" width="9.140625" style="145" customWidth="1"/>
    <col min="7442" max="7442" width="9.85546875" style="145" customWidth="1"/>
    <col min="7443" max="7443" width="10.5703125" style="145" customWidth="1"/>
    <col min="7444" max="7444" width="12.140625" style="145" customWidth="1"/>
    <col min="7445" max="7445" width="11.140625" style="145" customWidth="1"/>
    <col min="7446" max="7446" width="11.5703125" style="145" bestFit="1" customWidth="1"/>
    <col min="7447" max="7447" width="12" style="145" bestFit="1" customWidth="1"/>
    <col min="7448" max="7448" width="16.28515625" style="145" bestFit="1" customWidth="1"/>
    <col min="7449" max="7449" width="13.42578125" style="145" customWidth="1"/>
    <col min="7450" max="7450" width="14.42578125" style="145" customWidth="1"/>
    <col min="7451" max="7451" width="18.7109375" style="145" bestFit="1" customWidth="1"/>
    <col min="7452" max="7452" width="7.85546875" style="145" customWidth="1"/>
    <col min="7453" max="7453" width="9.85546875" style="145" customWidth="1"/>
    <col min="7454" max="7455" width="11" style="145" bestFit="1" customWidth="1"/>
    <col min="7456" max="7456" width="11.140625" style="145" bestFit="1" customWidth="1"/>
    <col min="7457" max="7679" width="12.42578125" style="145"/>
    <col min="7680" max="7680" width="6.7109375" style="145" customWidth="1"/>
    <col min="7681" max="7681" width="25.28515625" style="145" customWidth="1"/>
    <col min="7682" max="7682" width="10" style="145" customWidth="1"/>
    <col min="7683" max="7684" width="7.5703125" style="145" customWidth="1"/>
    <col min="7685" max="7685" width="9" style="145" customWidth="1"/>
    <col min="7686" max="7686" width="7.140625" style="145" customWidth="1"/>
    <col min="7687" max="7687" width="10.5703125" style="145" bestFit="1" customWidth="1"/>
    <col min="7688" max="7688" width="9.85546875" style="145" customWidth="1"/>
    <col min="7689" max="7689" width="7.7109375" style="145" customWidth="1"/>
    <col min="7690" max="7690" width="9.85546875" style="145" customWidth="1"/>
    <col min="7691" max="7691" width="7.42578125" style="145" bestFit="1" customWidth="1"/>
    <col min="7692" max="7692" width="9.85546875" style="145" customWidth="1"/>
    <col min="7693" max="7693" width="8.85546875" style="145" customWidth="1"/>
    <col min="7694" max="7694" width="11.140625" style="145" bestFit="1" customWidth="1"/>
    <col min="7695" max="7696" width="9" style="145" customWidth="1"/>
    <col min="7697" max="7697" width="9.140625" style="145" customWidth="1"/>
    <col min="7698" max="7698" width="9.85546875" style="145" customWidth="1"/>
    <col min="7699" max="7699" width="10.5703125" style="145" customWidth="1"/>
    <col min="7700" max="7700" width="12.140625" style="145" customWidth="1"/>
    <col min="7701" max="7701" width="11.140625" style="145" customWidth="1"/>
    <col min="7702" max="7702" width="11.5703125" style="145" bestFit="1" customWidth="1"/>
    <col min="7703" max="7703" width="12" style="145" bestFit="1" customWidth="1"/>
    <col min="7704" max="7704" width="16.28515625" style="145" bestFit="1" customWidth="1"/>
    <col min="7705" max="7705" width="13.42578125" style="145" customWidth="1"/>
    <col min="7706" max="7706" width="14.42578125" style="145" customWidth="1"/>
    <col min="7707" max="7707" width="18.7109375" style="145" bestFit="1" customWidth="1"/>
    <col min="7708" max="7708" width="7.85546875" style="145" customWidth="1"/>
    <col min="7709" max="7709" width="9.85546875" style="145" customWidth="1"/>
    <col min="7710" max="7711" width="11" style="145" bestFit="1" customWidth="1"/>
    <col min="7712" max="7712" width="11.140625" style="145" bestFit="1" customWidth="1"/>
    <col min="7713" max="7935" width="12.42578125" style="145"/>
    <col min="7936" max="7936" width="6.7109375" style="145" customWidth="1"/>
    <col min="7937" max="7937" width="25.28515625" style="145" customWidth="1"/>
    <col min="7938" max="7938" width="10" style="145" customWidth="1"/>
    <col min="7939" max="7940" width="7.5703125" style="145" customWidth="1"/>
    <col min="7941" max="7941" width="9" style="145" customWidth="1"/>
    <col min="7942" max="7942" width="7.140625" style="145" customWidth="1"/>
    <col min="7943" max="7943" width="10.5703125" style="145" bestFit="1" customWidth="1"/>
    <col min="7944" max="7944" width="9.85546875" style="145" customWidth="1"/>
    <col min="7945" max="7945" width="7.7109375" style="145" customWidth="1"/>
    <col min="7946" max="7946" width="9.85546875" style="145" customWidth="1"/>
    <col min="7947" max="7947" width="7.42578125" style="145" bestFit="1" customWidth="1"/>
    <col min="7948" max="7948" width="9.85546875" style="145" customWidth="1"/>
    <col min="7949" max="7949" width="8.85546875" style="145" customWidth="1"/>
    <col min="7950" max="7950" width="11.140625" style="145" bestFit="1" customWidth="1"/>
    <col min="7951" max="7952" width="9" style="145" customWidth="1"/>
    <col min="7953" max="7953" width="9.140625" style="145" customWidth="1"/>
    <col min="7954" max="7954" width="9.85546875" style="145" customWidth="1"/>
    <col min="7955" max="7955" width="10.5703125" style="145" customWidth="1"/>
    <col min="7956" max="7956" width="12.140625" style="145" customWidth="1"/>
    <col min="7957" max="7957" width="11.140625" style="145" customWidth="1"/>
    <col min="7958" max="7958" width="11.5703125" style="145" bestFit="1" customWidth="1"/>
    <col min="7959" max="7959" width="12" style="145" bestFit="1" customWidth="1"/>
    <col min="7960" max="7960" width="16.28515625" style="145" bestFit="1" customWidth="1"/>
    <col min="7961" max="7961" width="13.42578125" style="145" customWidth="1"/>
    <col min="7962" max="7962" width="14.42578125" style="145" customWidth="1"/>
    <col min="7963" max="7963" width="18.7109375" style="145" bestFit="1" customWidth="1"/>
    <col min="7964" max="7964" width="7.85546875" style="145" customWidth="1"/>
    <col min="7965" max="7965" width="9.85546875" style="145" customWidth="1"/>
    <col min="7966" max="7967" width="11" style="145" bestFit="1" customWidth="1"/>
    <col min="7968" max="7968" width="11.140625" style="145" bestFit="1" customWidth="1"/>
    <col min="7969" max="8191" width="12.42578125" style="145"/>
    <col min="8192" max="8192" width="6.7109375" style="145" customWidth="1"/>
    <col min="8193" max="8193" width="25.28515625" style="145" customWidth="1"/>
    <col min="8194" max="8194" width="10" style="145" customWidth="1"/>
    <col min="8195" max="8196" width="7.5703125" style="145" customWidth="1"/>
    <col min="8197" max="8197" width="9" style="145" customWidth="1"/>
    <col min="8198" max="8198" width="7.140625" style="145" customWidth="1"/>
    <col min="8199" max="8199" width="10.5703125" style="145" bestFit="1" customWidth="1"/>
    <col min="8200" max="8200" width="9.85546875" style="145" customWidth="1"/>
    <col min="8201" max="8201" width="7.7109375" style="145" customWidth="1"/>
    <col min="8202" max="8202" width="9.85546875" style="145" customWidth="1"/>
    <col min="8203" max="8203" width="7.42578125" style="145" bestFit="1" customWidth="1"/>
    <col min="8204" max="8204" width="9.85546875" style="145" customWidth="1"/>
    <col min="8205" max="8205" width="8.85546875" style="145" customWidth="1"/>
    <col min="8206" max="8206" width="11.140625" style="145" bestFit="1" customWidth="1"/>
    <col min="8207" max="8208" width="9" style="145" customWidth="1"/>
    <col min="8209" max="8209" width="9.140625" style="145" customWidth="1"/>
    <col min="8210" max="8210" width="9.85546875" style="145" customWidth="1"/>
    <col min="8211" max="8211" width="10.5703125" style="145" customWidth="1"/>
    <col min="8212" max="8212" width="12.140625" style="145" customWidth="1"/>
    <col min="8213" max="8213" width="11.140625" style="145" customWidth="1"/>
    <col min="8214" max="8214" width="11.5703125" style="145" bestFit="1" customWidth="1"/>
    <col min="8215" max="8215" width="12" style="145" bestFit="1" customWidth="1"/>
    <col min="8216" max="8216" width="16.28515625" style="145" bestFit="1" customWidth="1"/>
    <col min="8217" max="8217" width="13.42578125" style="145" customWidth="1"/>
    <col min="8218" max="8218" width="14.42578125" style="145" customWidth="1"/>
    <col min="8219" max="8219" width="18.7109375" style="145" bestFit="1" customWidth="1"/>
    <col min="8220" max="8220" width="7.85546875" style="145" customWidth="1"/>
    <col min="8221" max="8221" width="9.85546875" style="145" customWidth="1"/>
    <col min="8222" max="8223" width="11" style="145" bestFit="1" customWidth="1"/>
    <col min="8224" max="8224" width="11.140625" style="145" bestFit="1" customWidth="1"/>
    <col min="8225" max="8447" width="12.42578125" style="145"/>
    <col min="8448" max="8448" width="6.7109375" style="145" customWidth="1"/>
    <col min="8449" max="8449" width="25.28515625" style="145" customWidth="1"/>
    <col min="8450" max="8450" width="10" style="145" customWidth="1"/>
    <col min="8451" max="8452" width="7.5703125" style="145" customWidth="1"/>
    <col min="8453" max="8453" width="9" style="145" customWidth="1"/>
    <col min="8454" max="8454" width="7.140625" style="145" customWidth="1"/>
    <col min="8455" max="8455" width="10.5703125" style="145" bestFit="1" customWidth="1"/>
    <col min="8456" max="8456" width="9.85546875" style="145" customWidth="1"/>
    <col min="8457" max="8457" width="7.7109375" style="145" customWidth="1"/>
    <col min="8458" max="8458" width="9.85546875" style="145" customWidth="1"/>
    <col min="8459" max="8459" width="7.42578125" style="145" bestFit="1" customWidth="1"/>
    <col min="8460" max="8460" width="9.85546875" style="145" customWidth="1"/>
    <col min="8461" max="8461" width="8.85546875" style="145" customWidth="1"/>
    <col min="8462" max="8462" width="11.140625" style="145" bestFit="1" customWidth="1"/>
    <col min="8463" max="8464" width="9" style="145" customWidth="1"/>
    <col min="8465" max="8465" width="9.140625" style="145" customWidth="1"/>
    <col min="8466" max="8466" width="9.85546875" style="145" customWidth="1"/>
    <col min="8467" max="8467" width="10.5703125" style="145" customWidth="1"/>
    <col min="8468" max="8468" width="12.140625" style="145" customWidth="1"/>
    <col min="8469" max="8469" width="11.140625" style="145" customWidth="1"/>
    <col min="8470" max="8470" width="11.5703125" style="145" bestFit="1" customWidth="1"/>
    <col min="8471" max="8471" width="12" style="145" bestFit="1" customWidth="1"/>
    <col min="8472" max="8472" width="16.28515625" style="145" bestFit="1" customWidth="1"/>
    <col min="8473" max="8473" width="13.42578125" style="145" customWidth="1"/>
    <col min="8474" max="8474" width="14.42578125" style="145" customWidth="1"/>
    <col min="8475" max="8475" width="18.7109375" style="145" bestFit="1" customWidth="1"/>
    <col min="8476" max="8476" width="7.85546875" style="145" customWidth="1"/>
    <col min="8477" max="8477" width="9.85546875" style="145" customWidth="1"/>
    <col min="8478" max="8479" width="11" style="145" bestFit="1" customWidth="1"/>
    <col min="8480" max="8480" width="11.140625" style="145" bestFit="1" customWidth="1"/>
    <col min="8481" max="8703" width="12.42578125" style="145"/>
    <col min="8704" max="8704" width="6.7109375" style="145" customWidth="1"/>
    <col min="8705" max="8705" width="25.28515625" style="145" customWidth="1"/>
    <col min="8706" max="8706" width="10" style="145" customWidth="1"/>
    <col min="8707" max="8708" width="7.5703125" style="145" customWidth="1"/>
    <col min="8709" max="8709" width="9" style="145" customWidth="1"/>
    <col min="8710" max="8710" width="7.140625" style="145" customWidth="1"/>
    <col min="8711" max="8711" width="10.5703125" style="145" bestFit="1" customWidth="1"/>
    <col min="8712" max="8712" width="9.85546875" style="145" customWidth="1"/>
    <col min="8713" max="8713" width="7.7109375" style="145" customWidth="1"/>
    <col min="8714" max="8714" width="9.85546875" style="145" customWidth="1"/>
    <col min="8715" max="8715" width="7.42578125" style="145" bestFit="1" customWidth="1"/>
    <col min="8716" max="8716" width="9.85546875" style="145" customWidth="1"/>
    <col min="8717" max="8717" width="8.85546875" style="145" customWidth="1"/>
    <col min="8718" max="8718" width="11.140625" style="145" bestFit="1" customWidth="1"/>
    <col min="8719" max="8720" width="9" style="145" customWidth="1"/>
    <col min="8721" max="8721" width="9.140625" style="145" customWidth="1"/>
    <col min="8722" max="8722" width="9.85546875" style="145" customWidth="1"/>
    <col min="8723" max="8723" width="10.5703125" style="145" customWidth="1"/>
    <col min="8724" max="8724" width="12.140625" style="145" customWidth="1"/>
    <col min="8725" max="8725" width="11.140625" style="145" customWidth="1"/>
    <col min="8726" max="8726" width="11.5703125" style="145" bestFit="1" customWidth="1"/>
    <col min="8727" max="8727" width="12" style="145" bestFit="1" customWidth="1"/>
    <col min="8728" max="8728" width="16.28515625" style="145" bestFit="1" customWidth="1"/>
    <col min="8729" max="8729" width="13.42578125" style="145" customWidth="1"/>
    <col min="8730" max="8730" width="14.42578125" style="145" customWidth="1"/>
    <col min="8731" max="8731" width="18.7109375" style="145" bestFit="1" customWidth="1"/>
    <col min="8732" max="8732" width="7.85546875" style="145" customWidth="1"/>
    <col min="8733" max="8733" width="9.85546875" style="145" customWidth="1"/>
    <col min="8734" max="8735" width="11" style="145" bestFit="1" customWidth="1"/>
    <col min="8736" max="8736" width="11.140625" style="145" bestFit="1" customWidth="1"/>
    <col min="8737" max="8959" width="12.42578125" style="145"/>
    <col min="8960" max="8960" width="6.7109375" style="145" customWidth="1"/>
    <col min="8961" max="8961" width="25.28515625" style="145" customWidth="1"/>
    <col min="8962" max="8962" width="10" style="145" customWidth="1"/>
    <col min="8963" max="8964" width="7.5703125" style="145" customWidth="1"/>
    <col min="8965" max="8965" width="9" style="145" customWidth="1"/>
    <col min="8966" max="8966" width="7.140625" style="145" customWidth="1"/>
    <col min="8967" max="8967" width="10.5703125" style="145" bestFit="1" customWidth="1"/>
    <col min="8968" max="8968" width="9.85546875" style="145" customWidth="1"/>
    <col min="8969" max="8969" width="7.7109375" style="145" customWidth="1"/>
    <col min="8970" max="8970" width="9.85546875" style="145" customWidth="1"/>
    <col min="8971" max="8971" width="7.42578125" style="145" bestFit="1" customWidth="1"/>
    <col min="8972" max="8972" width="9.85546875" style="145" customWidth="1"/>
    <col min="8973" max="8973" width="8.85546875" style="145" customWidth="1"/>
    <col min="8974" max="8974" width="11.140625" style="145" bestFit="1" customWidth="1"/>
    <col min="8975" max="8976" width="9" style="145" customWidth="1"/>
    <col min="8977" max="8977" width="9.140625" style="145" customWidth="1"/>
    <col min="8978" max="8978" width="9.85546875" style="145" customWidth="1"/>
    <col min="8979" max="8979" width="10.5703125" style="145" customWidth="1"/>
    <col min="8980" max="8980" width="12.140625" style="145" customWidth="1"/>
    <col min="8981" max="8981" width="11.140625" style="145" customWidth="1"/>
    <col min="8982" max="8982" width="11.5703125" style="145" bestFit="1" customWidth="1"/>
    <col min="8983" max="8983" width="12" style="145" bestFit="1" customWidth="1"/>
    <col min="8984" max="8984" width="16.28515625" style="145" bestFit="1" customWidth="1"/>
    <col min="8985" max="8985" width="13.42578125" style="145" customWidth="1"/>
    <col min="8986" max="8986" width="14.42578125" style="145" customWidth="1"/>
    <col min="8987" max="8987" width="18.7109375" style="145" bestFit="1" customWidth="1"/>
    <col min="8988" max="8988" width="7.85546875" style="145" customWidth="1"/>
    <col min="8989" max="8989" width="9.85546875" style="145" customWidth="1"/>
    <col min="8990" max="8991" width="11" style="145" bestFit="1" customWidth="1"/>
    <col min="8992" max="8992" width="11.140625" style="145" bestFit="1" customWidth="1"/>
    <col min="8993" max="9215" width="12.42578125" style="145"/>
    <col min="9216" max="9216" width="6.7109375" style="145" customWidth="1"/>
    <col min="9217" max="9217" width="25.28515625" style="145" customWidth="1"/>
    <col min="9218" max="9218" width="10" style="145" customWidth="1"/>
    <col min="9219" max="9220" width="7.5703125" style="145" customWidth="1"/>
    <col min="9221" max="9221" width="9" style="145" customWidth="1"/>
    <col min="9222" max="9222" width="7.140625" style="145" customWidth="1"/>
    <col min="9223" max="9223" width="10.5703125" style="145" bestFit="1" customWidth="1"/>
    <col min="9224" max="9224" width="9.85546875" style="145" customWidth="1"/>
    <col min="9225" max="9225" width="7.7109375" style="145" customWidth="1"/>
    <col min="9226" max="9226" width="9.85546875" style="145" customWidth="1"/>
    <col min="9227" max="9227" width="7.42578125" style="145" bestFit="1" customWidth="1"/>
    <col min="9228" max="9228" width="9.85546875" style="145" customWidth="1"/>
    <col min="9229" max="9229" width="8.85546875" style="145" customWidth="1"/>
    <col min="9230" max="9230" width="11.140625" style="145" bestFit="1" customWidth="1"/>
    <col min="9231" max="9232" width="9" style="145" customWidth="1"/>
    <col min="9233" max="9233" width="9.140625" style="145" customWidth="1"/>
    <col min="9234" max="9234" width="9.85546875" style="145" customWidth="1"/>
    <col min="9235" max="9235" width="10.5703125" style="145" customWidth="1"/>
    <col min="9236" max="9236" width="12.140625" style="145" customWidth="1"/>
    <col min="9237" max="9237" width="11.140625" style="145" customWidth="1"/>
    <col min="9238" max="9238" width="11.5703125" style="145" bestFit="1" customWidth="1"/>
    <col min="9239" max="9239" width="12" style="145" bestFit="1" customWidth="1"/>
    <col min="9240" max="9240" width="16.28515625" style="145" bestFit="1" customWidth="1"/>
    <col min="9241" max="9241" width="13.42578125" style="145" customWidth="1"/>
    <col min="9242" max="9242" width="14.42578125" style="145" customWidth="1"/>
    <col min="9243" max="9243" width="18.7109375" style="145" bestFit="1" customWidth="1"/>
    <col min="9244" max="9244" width="7.85546875" style="145" customWidth="1"/>
    <col min="9245" max="9245" width="9.85546875" style="145" customWidth="1"/>
    <col min="9246" max="9247" width="11" style="145" bestFit="1" customWidth="1"/>
    <col min="9248" max="9248" width="11.140625" style="145" bestFit="1" customWidth="1"/>
    <col min="9249" max="9471" width="12.42578125" style="145"/>
    <col min="9472" max="9472" width="6.7109375" style="145" customWidth="1"/>
    <col min="9473" max="9473" width="25.28515625" style="145" customWidth="1"/>
    <col min="9474" max="9474" width="10" style="145" customWidth="1"/>
    <col min="9475" max="9476" width="7.5703125" style="145" customWidth="1"/>
    <col min="9477" max="9477" width="9" style="145" customWidth="1"/>
    <col min="9478" max="9478" width="7.140625" style="145" customWidth="1"/>
    <col min="9479" max="9479" width="10.5703125" style="145" bestFit="1" customWidth="1"/>
    <col min="9480" max="9480" width="9.85546875" style="145" customWidth="1"/>
    <col min="9481" max="9481" width="7.7109375" style="145" customWidth="1"/>
    <col min="9482" max="9482" width="9.85546875" style="145" customWidth="1"/>
    <col min="9483" max="9483" width="7.42578125" style="145" bestFit="1" customWidth="1"/>
    <col min="9484" max="9484" width="9.85546875" style="145" customWidth="1"/>
    <col min="9485" max="9485" width="8.85546875" style="145" customWidth="1"/>
    <col min="9486" max="9486" width="11.140625" style="145" bestFit="1" customWidth="1"/>
    <col min="9487" max="9488" width="9" style="145" customWidth="1"/>
    <col min="9489" max="9489" width="9.140625" style="145" customWidth="1"/>
    <col min="9490" max="9490" width="9.85546875" style="145" customWidth="1"/>
    <col min="9491" max="9491" width="10.5703125" style="145" customWidth="1"/>
    <col min="9492" max="9492" width="12.140625" style="145" customWidth="1"/>
    <col min="9493" max="9493" width="11.140625" style="145" customWidth="1"/>
    <col min="9494" max="9494" width="11.5703125" style="145" bestFit="1" customWidth="1"/>
    <col min="9495" max="9495" width="12" style="145" bestFit="1" customWidth="1"/>
    <col min="9496" max="9496" width="16.28515625" style="145" bestFit="1" customWidth="1"/>
    <col min="9497" max="9497" width="13.42578125" style="145" customWidth="1"/>
    <col min="9498" max="9498" width="14.42578125" style="145" customWidth="1"/>
    <col min="9499" max="9499" width="18.7109375" style="145" bestFit="1" customWidth="1"/>
    <col min="9500" max="9500" width="7.85546875" style="145" customWidth="1"/>
    <col min="9501" max="9501" width="9.85546875" style="145" customWidth="1"/>
    <col min="9502" max="9503" width="11" style="145" bestFit="1" customWidth="1"/>
    <col min="9504" max="9504" width="11.140625" style="145" bestFit="1" customWidth="1"/>
    <col min="9505" max="9727" width="12.42578125" style="145"/>
    <col min="9728" max="9728" width="6.7109375" style="145" customWidth="1"/>
    <col min="9729" max="9729" width="25.28515625" style="145" customWidth="1"/>
    <col min="9730" max="9730" width="10" style="145" customWidth="1"/>
    <col min="9731" max="9732" width="7.5703125" style="145" customWidth="1"/>
    <col min="9733" max="9733" width="9" style="145" customWidth="1"/>
    <col min="9734" max="9734" width="7.140625" style="145" customWidth="1"/>
    <col min="9735" max="9735" width="10.5703125" style="145" bestFit="1" customWidth="1"/>
    <col min="9736" max="9736" width="9.85546875" style="145" customWidth="1"/>
    <col min="9737" max="9737" width="7.7109375" style="145" customWidth="1"/>
    <col min="9738" max="9738" width="9.85546875" style="145" customWidth="1"/>
    <col min="9739" max="9739" width="7.42578125" style="145" bestFit="1" customWidth="1"/>
    <col min="9740" max="9740" width="9.85546875" style="145" customWidth="1"/>
    <col min="9741" max="9741" width="8.85546875" style="145" customWidth="1"/>
    <col min="9742" max="9742" width="11.140625" style="145" bestFit="1" customWidth="1"/>
    <col min="9743" max="9744" width="9" style="145" customWidth="1"/>
    <col min="9745" max="9745" width="9.140625" style="145" customWidth="1"/>
    <col min="9746" max="9746" width="9.85546875" style="145" customWidth="1"/>
    <col min="9747" max="9747" width="10.5703125" style="145" customWidth="1"/>
    <col min="9748" max="9748" width="12.140625" style="145" customWidth="1"/>
    <col min="9749" max="9749" width="11.140625" style="145" customWidth="1"/>
    <col min="9750" max="9750" width="11.5703125" style="145" bestFit="1" customWidth="1"/>
    <col min="9751" max="9751" width="12" style="145" bestFit="1" customWidth="1"/>
    <col min="9752" max="9752" width="16.28515625" style="145" bestFit="1" customWidth="1"/>
    <col min="9753" max="9753" width="13.42578125" style="145" customWidth="1"/>
    <col min="9754" max="9754" width="14.42578125" style="145" customWidth="1"/>
    <col min="9755" max="9755" width="18.7109375" style="145" bestFit="1" customWidth="1"/>
    <col min="9756" max="9756" width="7.85546875" style="145" customWidth="1"/>
    <col min="9757" max="9757" width="9.85546875" style="145" customWidth="1"/>
    <col min="9758" max="9759" width="11" style="145" bestFit="1" customWidth="1"/>
    <col min="9760" max="9760" width="11.140625" style="145" bestFit="1" customWidth="1"/>
    <col min="9761" max="9983" width="12.42578125" style="145"/>
    <col min="9984" max="9984" width="6.7109375" style="145" customWidth="1"/>
    <col min="9985" max="9985" width="25.28515625" style="145" customWidth="1"/>
    <col min="9986" max="9986" width="10" style="145" customWidth="1"/>
    <col min="9987" max="9988" width="7.5703125" style="145" customWidth="1"/>
    <col min="9989" max="9989" width="9" style="145" customWidth="1"/>
    <col min="9990" max="9990" width="7.140625" style="145" customWidth="1"/>
    <col min="9991" max="9991" width="10.5703125" style="145" bestFit="1" customWidth="1"/>
    <col min="9992" max="9992" width="9.85546875" style="145" customWidth="1"/>
    <col min="9993" max="9993" width="7.7109375" style="145" customWidth="1"/>
    <col min="9994" max="9994" width="9.85546875" style="145" customWidth="1"/>
    <col min="9995" max="9995" width="7.42578125" style="145" bestFit="1" customWidth="1"/>
    <col min="9996" max="9996" width="9.85546875" style="145" customWidth="1"/>
    <col min="9997" max="9997" width="8.85546875" style="145" customWidth="1"/>
    <col min="9998" max="9998" width="11.140625" style="145" bestFit="1" customWidth="1"/>
    <col min="9999" max="10000" width="9" style="145" customWidth="1"/>
    <col min="10001" max="10001" width="9.140625" style="145" customWidth="1"/>
    <col min="10002" max="10002" width="9.85546875" style="145" customWidth="1"/>
    <col min="10003" max="10003" width="10.5703125" style="145" customWidth="1"/>
    <col min="10004" max="10004" width="12.140625" style="145" customWidth="1"/>
    <col min="10005" max="10005" width="11.140625" style="145" customWidth="1"/>
    <col min="10006" max="10006" width="11.5703125" style="145" bestFit="1" customWidth="1"/>
    <col min="10007" max="10007" width="12" style="145" bestFit="1" customWidth="1"/>
    <col min="10008" max="10008" width="16.28515625" style="145" bestFit="1" customWidth="1"/>
    <col min="10009" max="10009" width="13.42578125" style="145" customWidth="1"/>
    <col min="10010" max="10010" width="14.42578125" style="145" customWidth="1"/>
    <col min="10011" max="10011" width="18.7109375" style="145" bestFit="1" customWidth="1"/>
    <col min="10012" max="10012" width="7.85546875" style="145" customWidth="1"/>
    <col min="10013" max="10013" width="9.85546875" style="145" customWidth="1"/>
    <col min="10014" max="10015" width="11" style="145" bestFit="1" customWidth="1"/>
    <col min="10016" max="10016" width="11.140625" style="145" bestFit="1" customWidth="1"/>
    <col min="10017" max="10239" width="12.42578125" style="145"/>
    <col min="10240" max="10240" width="6.7109375" style="145" customWidth="1"/>
    <col min="10241" max="10241" width="25.28515625" style="145" customWidth="1"/>
    <col min="10242" max="10242" width="10" style="145" customWidth="1"/>
    <col min="10243" max="10244" width="7.5703125" style="145" customWidth="1"/>
    <col min="10245" max="10245" width="9" style="145" customWidth="1"/>
    <col min="10246" max="10246" width="7.140625" style="145" customWidth="1"/>
    <col min="10247" max="10247" width="10.5703125" style="145" bestFit="1" customWidth="1"/>
    <col min="10248" max="10248" width="9.85546875" style="145" customWidth="1"/>
    <col min="10249" max="10249" width="7.7109375" style="145" customWidth="1"/>
    <col min="10250" max="10250" width="9.85546875" style="145" customWidth="1"/>
    <col min="10251" max="10251" width="7.42578125" style="145" bestFit="1" customWidth="1"/>
    <col min="10252" max="10252" width="9.85546875" style="145" customWidth="1"/>
    <col min="10253" max="10253" width="8.85546875" style="145" customWidth="1"/>
    <col min="10254" max="10254" width="11.140625" style="145" bestFit="1" customWidth="1"/>
    <col min="10255" max="10256" width="9" style="145" customWidth="1"/>
    <col min="10257" max="10257" width="9.140625" style="145" customWidth="1"/>
    <col min="10258" max="10258" width="9.85546875" style="145" customWidth="1"/>
    <col min="10259" max="10259" width="10.5703125" style="145" customWidth="1"/>
    <col min="10260" max="10260" width="12.140625" style="145" customWidth="1"/>
    <col min="10261" max="10261" width="11.140625" style="145" customWidth="1"/>
    <col min="10262" max="10262" width="11.5703125" style="145" bestFit="1" customWidth="1"/>
    <col min="10263" max="10263" width="12" style="145" bestFit="1" customWidth="1"/>
    <col min="10264" max="10264" width="16.28515625" style="145" bestFit="1" customWidth="1"/>
    <col min="10265" max="10265" width="13.42578125" style="145" customWidth="1"/>
    <col min="10266" max="10266" width="14.42578125" style="145" customWidth="1"/>
    <col min="10267" max="10267" width="18.7109375" style="145" bestFit="1" customWidth="1"/>
    <col min="10268" max="10268" width="7.85546875" style="145" customWidth="1"/>
    <col min="10269" max="10269" width="9.85546875" style="145" customWidth="1"/>
    <col min="10270" max="10271" width="11" style="145" bestFit="1" customWidth="1"/>
    <col min="10272" max="10272" width="11.140625" style="145" bestFit="1" customWidth="1"/>
    <col min="10273" max="10495" width="12.42578125" style="145"/>
    <col min="10496" max="10496" width="6.7109375" style="145" customWidth="1"/>
    <col min="10497" max="10497" width="25.28515625" style="145" customWidth="1"/>
    <col min="10498" max="10498" width="10" style="145" customWidth="1"/>
    <col min="10499" max="10500" width="7.5703125" style="145" customWidth="1"/>
    <col min="10501" max="10501" width="9" style="145" customWidth="1"/>
    <col min="10502" max="10502" width="7.140625" style="145" customWidth="1"/>
    <col min="10503" max="10503" width="10.5703125" style="145" bestFit="1" customWidth="1"/>
    <col min="10504" max="10504" width="9.85546875" style="145" customWidth="1"/>
    <col min="10505" max="10505" width="7.7109375" style="145" customWidth="1"/>
    <col min="10506" max="10506" width="9.85546875" style="145" customWidth="1"/>
    <col min="10507" max="10507" width="7.42578125" style="145" bestFit="1" customWidth="1"/>
    <col min="10508" max="10508" width="9.85546875" style="145" customWidth="1"/>
    <col min="10509" max="10509" width="8.85546875" style="145" customWidth="1"/>
    <col min="10510" max="10510" width="11.140625" style="145" bestFit="1" customWidth="1"/>
    <col min="10511" max="10512" width="9" style="145" customWidth="1"/>
    <col min="10513" max="10513" width="9.140625" style="145" customWidth="1"/>
    <col min="10514" max="10514" width="9.85546875" style="145" customWidth="1"/>
    <col min="10515" max="10515" width="10.5703125" style="145" customWidth="1"/>
    <col min="10516" max="10516" width="12.140625" style="145" customWidth="1"/>
    <col min="10517" max="10517" width="11.140625" style="145" customWidth="1"/>
    <col min="10518" max="10518" width="11.5703125" style="145" bestFit="1" customWidth="1"/>
    <col min="10519" max="10519" width="12" style="145" bestFit="1" customWidth="1"/>
    <col min="10520" max="10520" width="16.28515625" style="145" bestFit="1" customWidth="1"/>
    <col min="10521" max="10521" width="13.42578125" style="145" customWidth="1"/>
    <col min="10522" max="10522" width="14.42578125" style="145" customWidth="1"/>
    <col min="10523" max="10523" width="18.7109375" style="145" bestFit="1" customWidth="1"/>
    <col min="10524" max="10524" width="7.85546875" style="145" customWidth="1"/>
    <col min="10525" max="10525" width="9.85546875" style="145" customWidth="1"/>
    <col min="10526" max="10527" width="11" style="145" bestFit="1" customWidth="1"/>
    <col min="10528" max="10528" width="11.140625" style="145" bestFit="1" customWidth="1"/>
    <col min="10529" max="10751" width="12.42578125" style="145"/>
    <col min="10752" max="10752" width="6.7109375" style="145" customWidth="1"/>
    <col min="10753" max="10753" width="25.28515625" style="145" customWidth="1"/>
    <col min="10754" max="10754" width="10" style="145" customWidth="1"/>
    <col min="10755" max="10756" width="7.5703125" style="145" customWidth="1"/>
    <col min="10757" max="10757" width="9" style="145" customWidth="1"/>
    <col min="10758" max="10758" width="7.140625" style="145" customWidth="1"/>
    <col min="10759" max="10759" width="10.5703125" style="145" bestFit="1" customWidth="1"/>
    <col min="10760" max="10760" width="9.85546875" style="145" customWidth="1"/>
    <col min="10761" max="10761" width="7.7109375" style="145" customWidth="1"/>
    <col min="10762" max="10762" width="9.85546875" style="145" customWidth="1"/>
    <col min="10763" max="10763" width="7.42578125" style="145" bestFit="1" customWidth="1"/>
    <col min="10764" max="10764" width="9.85546875" style="145" customWidth="1"/>
    <col min="10765" max="10765" width="8.85546875" style="145" customWidth="1"/>
    <col min="10766" max="10766" width="11.140625" style="145" bestFit="1" customWidth="1"/>
    <col min="10767" max="10768" width="9" style="145" customWidth="1"/>
    <col min="10769" max="10769" width="9.140625" style="145" customWidth="1"/>
    <col min="10770" max="10770" width="9.85546875" style="145" customWidth="1"/>
    <col min="10771" max="10771" width="10.5703125" style="145" customWidth="1"/>
    <col min="10772" max="10772" width="12.140625" style="145" customWidth="1"/>
    <col min="10773" max="10773" width="11.140625" style="145" customWidth="1"/>
    <col min="10774" max="10774" width="11.5703125" style="145" bestFit="1" customWidth="1"/>
    <col min="10775" max="10775" width="12" style="145" bestFit="1" customWidth="1"/>
    <col min="10776" max="10776" width="16.28515625" style="145" bestFit="1" customWidth="1"/>
    <col min="10777" max="10777" width="13.42578125" style="145" customWidth="1"/>
    <col min="10778" max="10778" width="14.42578125" style="145" customWidth="1"/>
    <col min="10779" max="10779" width="18.7109375" style="145" bestFit="1" customWidth="1"/>
    <col min="10780" max="10780" width="7.85546875" style="145" customWidth="1"/>
    <col min="10781" max="10781" width="9.85546875" style="145" customWidth="1"/>
    <col min="10782" max="10783" width="11" style="145" bestFit="1" customWidth="1"/>
    <col min="10784" max="10784" width="11.140625" style="145" bestFit="1" customWidth="1"/>
    <col min="10785" max="11007" width="12.42578125" style="145"/>
    <col min="11008" max="11008" width="6.7109375" style="145" customWidth="1"/>
    <col min="11009" max="11009" width="25.28515625" style="145" customWidth="1"/>
    <col min="11010" max="11010" width="10" style="145" customWidth="1"/>
    <col min="11011" max="11012" width="7.5703125" style="145" customWidth="1"/>
    <col min="11013" max="11013" width="9" style="145" customWidth="1"/>
    <col min="11014" max="11014" width="7.140625" style="145" customWidth="1"/>
    <col min="11015" max="11015" width="10.5703125" style="145" bestFit="1" customWidth="1"/>
    <col min="11016" max="11016" width="9.85546875" style="145" customWidth="1"/>
    <col min="11017" max="11017" width="7.7109375" style="145" customWidth="1"/>
    <col min="11018" max="11018" width="9.85546875" style="145" customWidth="1"/>
    <col min="11019" max="11019" width="7.42578125" style="145" bestFit="1" customWidth="1"/>
    <col min="11020" max="11020" width="9.85546875" style="145" customWidth="1"/>
    <col min="11021" max="11021" width="8.85546875" style="145" customWidth="1"/>
    <col min="11022" max="11022" width="11.140625" style="145" bestFit="1" customWidth="1"/>
    <col min="11023" max="11024" width="9" style="145" customWidth="1"/>
    <col min="11025" max="11025" width="9.140625" style="145" customWidth="1"/>
    <col min="11026" max="11026" width="9.85546875" style="145" customWidth="1"/>
    <col min="11027" max="11027" width="10.5703125" style="145" customWidth="1"/>
    <col min="11028" max="11028" width="12.140625" style="145" customWidth="1"/>
    <col min="11029" max="11029" width="11.140625" style="145" customWidth="1"/>
    <col min="11030" max="11030" width="11.5703125" style="145" bestFit="1" customWidth="1"/>
    <col min="11031" max="11031" width="12" style="145" bestFit="1" customWidth="1"/>
    <col min="11032" max="11032" width="16.28515625" style="145" bestFit="1" customWidth="1"/>
    <col min="11033" max="11033" width="13.42578125" style="145" customWidth="1"/>
    <col min="11034" max="11034" width="14.42578125" style="145" customWidth="1"/>
    <col min="11035" max="11035" width="18.7109375" style="145" bestFit="1" customWidth="1"/>
    <col min="11036" max="11036" width="7.85546875" style="145" customWidth="1"/>
    <col min="11037" max="11037" width="9.85546875" style="145" customWidth="1"/>
    <col min="11038" max="11039" width="11" style="145" bestFit="1" customWidth="1"/>
    <col min="11040" max="11040" width="11.140625" style="145" bestFit="1" customWidth="1"/>
    <col min="11041" max="11263" width="12.42578125" style="145"/>
    <col min="11264" max="11264" width="6.7109375" style="145" customWidth="1"/>
    <col min="11265" max="11265" width="25.28515625" style="145" customWidth="1"/>
    <col min="11266" max="11266" width="10" style="145" customWidth="1"/>
    <col min="11267" max="11268" width="7.5703125" style="145" customWidth="1"/>
    <col min="11269" max="11269" width="9" style="145" customWidth="1"/>
    <col min="11270" max="11270" width="7.140625" style="145" customWidth="1"/>
    <col min="11271" max="11271" width="10.5703125" style="145" bestFit="1" customWidth="1"/>
    <col min="11272" max="11272" width="9.85546875" style="145" customWidth="1"/>
    <col min="11273" max="11273" width="7.7109375" style="145" customWidth="1"/>
    <col min="11274" max="11274" width="9.85546875" style="145" customWidth="1"/>
    <col min="11275" max="11275" width="7.42578125" style="145" bestFit="1" customWidth="1"/>
    <col min="11276" max="11276" width="9.85546875" style="145" customWidth="1"/>
    <col min="11277" max="11277" width="8.85546875" style="145" customWidth="1"/>
    <col min="11278" max="11278" width="11.140625" style="145" bestFit="1" customWidth="1"/>
    <col min="11279" max="11280" width="9" style="145" customWidth="1"/>
    <col min="11281" max="11281" width="9.140625" style="145" customWidth="1"/>
    <col min="11282" max="11282" width="9.85546875" style="145" customWidth="1"/>
    <col min="11283" max="11283" width="10.5703125" style="145" customWidth="1"/>
    <col min="11284" max="11284" width="12.140625" style="145" customWidth="1"/>
    <col min="11285" max="11285" width="11.140625" style="145" customWidth="1"/>
    <col min="11286" max="11286" width="11.5703125" style="145" bestFit="1" customWidth="1"/>
    <col min="11287" max="11287" width="12" style="145" bestFit="1" customWidth="1"/>
    <col min="11288" max="11288" width="16.28515625" style="145" bestFit="1" customWidth="1"/>
    <col min="11289" max="11289" width="13.42578125" style="145" customWidth="1"/>
    <col min="11290" max="11290" width="14.42578125" style="145" customWidth="1"/>
    <col min="11291" max="11291" width="18.7109375" style="145" bestFit="1" customWidth="1"/>
    <col min="11292" max="11292" width="7.85546875" style="145" customWidth="1"/>
    <col min="11293" max="11293" width="9.85546875" style="145" customWidth="1"/>
    <col min="11294" max="11295" width="11" style="145" bestFit="1" customWidth="1"/>
    <col min="11296" max="11296" width="11.140625" style="145" bestFit="1" customWidth="1"/>
    <col min="11297" max="11519" width="12.42578125" style="145"/>
    <col min="11520" max="11520" width="6.7109375" style="145" customWidth="1"/>
    <col min="11521" max="11521" width="25.28515625" style="145" customWidth="1"/>
    <col min="11522" max="11522" width="10" style="145" customWidth="1"/>
    <col min="11523" max="11524" width="7.5703125" style="145" customWidth="1"/>
    <col min="11525" max="11525" width="9" style="145" customWidth="1"/>
    <col min="11526" max="11526" width="7.140625" style="145" customWidth="1"/>
    <col min="11527" max="11527" width="10.5703125" style="145" bestFit="1" customWidth="1"/>
    <col min="11528" max="11528" width="9.85546875" style="145" customWidth="1"/>
    <col min="11529" max="11529" width="7.7109375" style="145" customWidth="1"/>
    <col min="11530" max="11530" width="9.85546875" style="145" customWidth="1"/>
    <col min="11531" max="11531" width="7.42578125" style="145" bestFit="1" customWidth="1"/>
    <col min="11532" max="11532" width="9.85546875" style="145" customWidth="1"/>
    <col min="11533" max="11533" width="8.85546875" style="145" customWidth="1"/>
    <col min="11534" max="11534" width="11.140625" style="145" bestFit="1" customWidth="1"/>
    <col min="11535" max="11536" width="9" style="145" customWidth="1"/>
    <col min="11537" max="11537" width="9.140625" style="145" customWidth="1"/>
    <col min="11538" max="11538" width="9.85546875" style="145" customWidth="1"/>
    <col min="11539" max="11539" width="10.5703125" style="145" customWidth="1"/>
    <col min="11540" max="11540" width="12.140625" style="145" customWidth="1"/>
    <col min="11541" max="11541" width="11.140625" style="145" customWidth="1"/>
    <col min="11542" max="11542" width="11.5703125" style="145" bestFit="1" customWidth="1"/>
    <col min="11543" max="11543" width="12" style="145" bestFit="1" customWidth="1"/>
    <col min="11544" max="11544" width="16.28515625" style="145" bestFit="1" customWidth="1"/>
    <col min="11545" max="11545" width="13.42578125" style="145" customWidth="1"/>
    <col min="11546" max="11546" width="14.42578125" style="145" customWidth="1"/>
    <col min="11547" max="11547" width="18.7109375" style="145" bestFit="1" customWidth="1"/>
    <col min="11548" max="11548" width="7.85546875" style="145" customWidth="1"/>
    <col min="11549" max="11549" width="9.85546875" style="145" customWidth="1"/>
    <col min="11550" max="11551" width="11" style="145" bestFit="1" customWidth="1"/>
    <col min="11552" max="11552" width="11.140625" style="145" bestFit="1" customWidth="1"/>
    <col min="11553" max="11775" width="12.42578125" style="145"/>
    <col min="11776" max="11776" width="6.7109375" style="145" customWidth="1"/>
    <col min="11777" max="11777" width="25.28515625" style="145" customWidth="1"/>
    <col min="11778" max="11778" width="10" style="145" customWidth="1"/>
    <col min="11779" max="11780" width="7.5703125" style="145" customWidth="1"/>
    <col min="11781" max="11781" width="9" style="145" customWidth="1"/>
    <col min="11782" max="11782" width="7.140625" style="145" customWidth="1"/>
    <col min="11783" max="11783" width="10.5703125" style="145" bestFit="1" customWidth="1"/>
    <col min="11784" max="11784" width="9.85546875" style="145" customWidth="1"/>
    <col min="11785" max="11785" width="7.7109375" style="145" customWidth="1"/>
    <col min="11786" max="11786" width="9.85546875" style="145" customWidth="1"/>
    <col min="11787" max="11787" width="7.42578125" style="145" bestFit="1" customWidth="1"/>
    <col min="11788" max="11788" width="9.85546875" style="145" customWidth="1"/>
    <col min="11789" max="11789" width="8.85546875" style="145" customWidth="1"/>
    <col min="11790" max="11790" width="11.140625" style="145" bestFit="1" customWidth="1"/>
    <col min="11791" max="11792" width="9" style="145" customWidth="1"/>
    <col min="11793" max="11793" width="9.140625" style="145" customWidth="1"/>
    <col min="11794" max="11794" width="9.85546875" style="145" customWidth="1"/>
    <col min="11795" max="11795" width="10.5703125" style="145" customWidth="1"/>
    <col min="11796" max="11796" width="12.140625" style="145" customWidth="1"/>
    <col min="11797" max="11797" width="11.140625" style="145" customWidth="1"/>
    <col min="11798" max="11798" width="11.5703125" style="145" bestFit="1" customWidth="1"/>
    <col min="11799" max="11799" width="12" style="145" bestFit="1" customWidth="1"/>
    <col min="11800" max="11800" width="16.28515625" style="145" bestFit="1" customWidth="1"/>
    <col min="11801" max="11801" width="13.42578125" style="145" customWidth="1"/>
    <col min="11802" max="11802" width="14.42578125" style="145" customWidth="1"/>
    <col min="11803" max="11803" width="18.7109375" style="145" bestFit="1" customWidth="1"/>
    <col min="11804" max="11804" width="7.85546875" style="145" customWidth="1"/>
    <col min="11805" max="11805" width="9.85546875" style="145" customWidth="1"/>
    <col min="11806" max="11807" width="11" style="145" bestFit="1" customWidth="1"/>
    <col min="11808" max="11808" width="11.140625" style="145" bestFit="1" customWidth="1"/>
    <col min="11809" max="12031" width="12.42578125" style="145"/>
    <col min="12032" max="12032" width="6.7109375" style="145" customWidth="1"/>
    <col min="12033" max="12033" width="25.28515625" style="145" customWidth="1"/>
    <col min="12034" max="12034" width="10" style="145" customWidth="1"/>
    <col min="12035" max="12036" width="7.5703125" style="145" customWidth="1"/>
    <col min="12037" max="12037" width="9" style="145" customWidth="1"/>
    <col min="12038" max="12038" width="7.140625" style="145" customWidth="1"/>
    <col min="12039" max="12039" width="10.5703125" style="145" bestFit="1" customWidth="1"/>
    <col min="12040" max="12040" width="9.85546875" style="145" customWidth="1"/>
    <col min="12041" max="12041" width="7.7109375" style="145" customWidth="1"/>
    <col min="12042" max="12042" width="9.85546875" style="145" customWidth="1"/>
    <col min="12043" max="12043" width="7.42578125" style="145" bestFit="1" customWidth="1"/>
    <col min="12044" max="12044" width="9.85546875" style="145" customWidth="1"/>
    <col min="12045" max="12045" width="8.85546875" style="145" customWidth="1"/>
    <col min="12046" max="12046" width="11.140625" style="145" bestFit="1" customWidth="1"/>
    <col min="12047" max="12048" width="9" style="145" customWidth="1"/>
    <col min="12049" max="12049" width="9.140625" style="145" customWidth="1"/>
    <col min="12050" max="12050" width="9.85546875" style="145" customWidth="1"/>
    <col min="12051" max="12051" width="10.5703125" style="145" customWidth="1"/>
    <col min="12052" max="12052" width="12.140625" style="145" customWidth="1"/>
    <col min="12053" max="12053" width="11.140625" style="145" customWidth="1"/>
    <col min="12054" max="12054" width="11.5703125" style="145" bestFit="1" customWidth="1"/>
    <col min="12055" max="12055" width="12" style="145" bestFit="1" customWidth="1"/>
    <col min="12056" max="12056" width="16.28515625" style="145" bestFit="1" customWidth="1"/>
    <col min="12057" max="12057" width="13.42578125" style="145" customWidth="1"/>
    <col min="12058" max="12058" width="14.42578125" style="145" customWidth="1"/>
    <col min="12059" max="12059" width="18.7109375" style="145" bestFit="1" customWidth="1"/>
    <col min="12060" max="12060" width="7.85546875" style="145" customWidth="1"/>
    <col min="12061" max="12061" width="9.85546875" style="145" customWidth="1"/>
    <col min="12062" max="12063" width="11" style="145" bestFit="1" customWidth="1"/>
    <col min="12064" max="12064" width="11.140625" style="145" bestFit="1" customWidth="1"/>
    <col min="12065" max="12287" width="12.42578125" style="145"/>
    <col min="12288" max="12288" width="6.7109375" style="145" customWidth="1"/>
    <col min="12289" max="12289" width="25.28515625" style="145" customWidth="1"/>
    <col min="12290" max="12290" width="10" style="145" customWidth="1"/>
    <col min="12291" max="12292" width="7.5703125" style="145" customWidth="1"/>
    <col min="12293" max="12293" width="9" style="145" customWidth="1"/>
    <col min="12294" max="12294" width="7.140625" style="145" customWidth="1"/>
    <col min="12295" max="12295" width="10.5703125" style="145" bestFit="1" customWidth="1"/>
    <col min="12296" max="12296" width="9.85546875" style="145" customWidth="1"/>
    <col min="12297" max="12297" width="7.7109375" style="145" customWidth="1"/>
    <col min="12298" max="12298" width="9.85546875" style="145" customWidth="1"/>
    <col min="12299" max="12299" width="7.42578125" style="145" bestFit="1" customWidth="1"/>
    <col min="12300" max="12300" width="9.85546875" style="145" customWidth="1"/>
    <col min="12301" max="12301" width="8.85546875" style="145" customWidth="1"/>
    <col min="12302" max="12302" width="11.140625" style="145" bestFit="1" customWidth="1"/>
    <col min="12303" max="12304" width="9" style="145" customWidth="1"/>
    <col min="12305" max="12305" width="9.140625" style="145" customWidth="1"/>
    <col min="12306" max="12306" width="9.85546875" style="145" customWidth="1"/>
    <col min="12307" max="12307" width="10.5703125" style="145" customWidth="1"/>
    <col min="12308" max="12308" width="12.140625" style="145" customWidth="1"/>
    <col min="12309" max="12309" width="11.140625" style="145" customWidth="1"/>
    <col min="12310" max="12310" width="11.5703125" style="145" bestFit="1" customWidth="1"/>
    <col min="12311" max="12311" width="12" style="145" bestFit="1" customWidth="1"/>
    <col min="12312" max="12312" width="16.28515625" style="145" bestFit="1" customWidth="1"/>
    <col min="12313" max="12313" width="13.42578125" style="145" customWidth="1"/>
    <col min="12314" max="12314" width="14.42578125" style="145" customWidth="1"/>
    <col min="12315" max="12315" width="18.7109375" style="145" bestFit="1" customWidth="1"/>
    <col min="12316" max="12316" width="7.85546875" style="145" customWidth="1"/>
    <col min="12317" max="12317" width="9.85546875" style="145" customWidth="1"/>
    <col min="12318" max="12319" width="11" style="145" bestFit="1" customWidth="1"/>
    <col min="12320" max="12320" width="11.140625" style="145" bestFit="1" customWidth="1"/>
    <col min="12321" max="12543" width="12.42578125" style="145"/>
    <col min="12544" max="12544" width="6.7109375" style="145" customWidth="1"/>
    <col min="12545" max="12545" width="25.28515625" style="145" customWidth="1"/>
    <col min="12546" max="12546" width="10" style="145" customWidth="1"/>
    <col min="12547" max="12548" width="7.5703125" style="145" customWidth="1"/>
    <col min="12549" max="12549" width="9" style="145" customWidth="1"/>
    <col min="12550" max="12550" width="7.140625" style="145" customWidth="1"/>
    <col min="12551" max="12551" width="10.5703125" style="145" bestFit="1" customWidth="1"/>
    <col min="12552" max="12552" width="9.85546875" style="145" customWidth="1"/>
    <col min="12553" max="12553" width="7.7109375" style="145" customWidth="1"/>
    <col min="12554" max="12554" width="9.85546875" style="145" customWidth="1"/>
    <col min="12555" max="12555" width="7.42578125" style="145" bestFit="1" customWidth="1"/>
    <col min="12556" max="12556" width="9.85546875" style="145" customWidth="1"/>
    <col min="12557" max="12557" width="8.85546875" style="145" customWidth="1"/>
    <col min="12558" max="12558" width="11.140625" style="145" bestFit="1" customWidth="1"/>
    <col min="12559" max="12560" width="9" style="145" customWidth="1"/>
    <col min="12561" max="12561" width="9.140625" style="145" customWidth="1"/>
    <col min="12562" max="12562" width="9.85546875" style="145" customWidth="1"/>
    <col min="12563" max="12563" width="10.5703125" style="145" customWidth="1"/>
    <col min="12564" max="12564" width="12.140625" style="145" customWidth="1"/>
    <col min="12565" max="12565" width="11.140625" style="145" customWidth="1"/>
    <col min="12566" max="12566" width="11.5703125" style="145" bestFit="1" customWidth="1"/>
    <col min="12567" max="12567" width="12" style="145" bestFit="1" customWidth="1"/>
    <col min="12568" max="12568" width="16.28515625" style="145" bestFit="1" customWidth="1"/>
    <col min="12569" max="12569" width="13.42578125" style="145" customWidth="1"/>
    <col min="12570" max="12570" width="14.42578125" style="145" customWidth="1"/>
    <col min="12571" max="12571" width="18.7109375" style="145" bestFit="1" customWidth="1"/>
    <col min="12572" max="12572" width="7.85546875" style="145" customWidth="1"/>
    <col min="12573" max="12573" width="9.85546875" style="145" customWidth="1"/>
    <col min="12574" max="12575" width="11" style="145" bestFit="1" customWidth="1"/>
    <col min="12576" max="12576" width="11.140625" style="145" bestFit="1" customWidth="1"/>
    <col min="12577" max="12799" width="12.42578125" style="145"/>
    <col min="12800" max="12800" width="6.7109375" style="145" customWidth="1"/>
    <col min="12801" max="12801" width="25.28515625" style="145" customWidth="1"/>
    <col min="12802" max="12802" width="10" style="145" customWidth="1"/>
    <col min="12803" max="12804" width="7.5703125" style="145" customWidth="1"/>
    <col min="12805" max="12805" width="9" style="145" customWidth="1"/>
    <col min="12806" max="12806" width="7.140625" style="145" customWidth="1"/>
    <col min="12807" max="12807" width="10.5703125" style="145" bestFit="1" customWidth="1"/>
    <col min="12808" max="12808" width="9.85546875" style="145" customWidth="1"/>
    <col min="12809" max="12809" width="7.7109375" style="145" customWidth="1"/>
    <col min="12810" max="12810" width="9.85546875" style="145" customWidth="1"/>
    <col min="12811" max="12811" width="7.42578125" style="145" bestFit="1" customWidth="1"/>
    <col min="12812" max="12812" width="9.85546875" style="145" customWidth="1"/>
    <col min="12813" max="12813" width="8.85546875" style="145" customWidth="1"/>
    <col min="12814" max="12814" width="11.140625" style="145" bestFit="1" customWidth="1"/>
    <col min="12815" max="12816" width="9" style="145" customWidth="1"/>
    <col min="12817" max="12817" width="9.140625" style="145" customWidth="1"/>
    <col min="12818" max="12818" width="9.85546875" style="145" customWidth="1"/>
    <col min="12819" max="12819" width="10.5703125" style="145" customWidth="1"/>
    <col min="12820" max="12820" width="12.140625" style="145" customWidth="1"/>
    <col min="12821" max="12821" width="11.140625" style="145" customWidth="1"/>
    <col min="12822" max="12822" width="11.5703125" style="145" bestFit="1" customWidth="1"/>
    <col min="12823" max="12823" width="12" style="145" bestFit="1" customWidth="1"/>
    <col min="12824" max="12824" width="16.28515625" style="145" bestFit="1" customWidth="1"/>
    <col min="12825" max="12825" width="13.42578125" style="145" customWidth="1"/>
    <col min="12826" max="12826" width="14.42578125" style="145" customWidth="1"/>
    <col min="12827" max="12827" width="18.7109375" style="145" bestFit="1" customWidth="1"/>
    <col min="12828" max="12828" width="7.85546875" style="145" customWidth="1"/>
    <col min="12829" max="12829" width="9.85546875" style="145" customWidth="1"/>
    <col min="12830" max="12831" width="11" style="145" bestFit="1" customWidth="1"/>
    <col min="12832" max="12832" width="11.140625" style="145" bestFit="1" customWidth="1"/>
    <col min="12833" max="13055" width="12.42578125" style="145"/>
    <col min="13056" max="13056" width="6.7109375" style="145" customWidth="1"/>
    <col min="13057" max="13057" width="25.28515625" style="145" customWidth="1"/>
    <col min="13058" max="13058" width="10" style="145" customWidth="1"/>
    <col min="13059" max="13060" width="7.5703125" style="145" customWidth="1"/>
    <col min="13061" max="13061" width="9" style="145" customWidth="1"/>
    <col min="13062" max="13062" width="7.140625" style="145" customWidth="1"/>
    <col min="13063" max="13063" width="10.5703125" style="145" bestFit="1" customWidth="1"/>
    <col min="13064" max="13064" width="9.85546875" style="145" customWidth="1"/>
    <col min="13065" max="13065" width="7.7109375" style="145" customWidth="1"/>
    <col min="13066" max="13066" width="9.85546875" style="145" customWidth="1"/>
    <col min="13067" max="13067" width="7.42578125" style="145" bestFit="1" customWidth="1"/>
    <col min="13068" max="13068" width="9.85546875" style="145" customWidth="1"/>
    <col min="13069" max="13069" width="8.85546875" style="145" customWidth="1"/>
    <col min="13070" max="13070" width="11.140625" style="145" bestFit="1" customWidth="1"/>
    <col min="13071" max="13072" width="9" style="145" customWidth="1"/>
    <col min="13073" max="13073" width="9.140625" style="145" customWidth="1"/>
    <col min="13074" max="13074" width="9.85546875" style="145" customWidth="1"/>
    <col min="13075" max="13075" width="10.5703125" style="145" customWidth="1"/>
    <col min="13076" max="13076" width="12.140625" style="145" customWidth="1"/>
    <col min="13077" max="13077" width="11.140625" style="145" customWidth="1"/>
    <col min="13078" max="13078" width="11.5703125" style="145" bestFit="1" customWidth="1"/>
    <col min="13079" max="13079" width="12" style="145" bestFit="1" customWidth="1"/>
    <col min="13080" max="13080" width="16.28515625" style="145" bestFit="1" customWidth="1"/>
    <col min="13081" max="13081" width="13.42578125" style="145" customWidth="1"/>
    <col min="13082" max="13082" width="14.42578125" style="145" customWidth="1"/>
    <col min="13083" max="13083" width="18.7109375" style="145" bestFit="1" customWidth="1"/>
    <col min="13084" max="13084" width="7.85546875" style="145" customWidth="1"/>
    <col min="13085" max="13085" width="9.85546875" style="145" customWidth="1"/>
    <col min="13086" max="13087" width="11" style="145" bestFit="1" customWidth="1"/>
    <col min="13088" max="13088" width="11.140625" style="145" bestFit="1" customWidth="1"/>
    <col min="13089" max="13311" width="12.42578125" style="145"/>
    <col min="13312" max="13312" width="6.7109375" style="145" customWidth="1"/>
    <col min="13313" max="13313" width="25.28515625" style="145" customWidth="1"/>
    <col min="13314" max="13314" width="10" style="145" customWidth="1"/>
    <col min="13315" max="13316" width="7.5703125" style="145" customWidth="1"/>
    <col min="13317" max="13317" width="9" style="145" customWidth="1"/>
    <col min="13318" max="13318" width="7.140625" style="145" customWidth="1"/>
    <col min="13319" max="13319" width="10.5703125" style="145" bestFit="1" customWidth="1"/>
    <col min="13320" max="13320" width="9.85546875" style="145" customWidth="1"/>
    <col min="13321" max="13321" width="7.7109375" style="145" customWidth="1"/>
    <col min="13322" max="13322" width="9.85546875" style="145" customWidth="1"/>
    <col min="13323" max="13323" width="7.42578125" style="145" bestFit="1" customWidth="1"/>
    <col min="13324" max="13324" width="9.85546875" style="145" customWidth="1"/>
    <col min="13325" max="13325" width="8.85546875" style="145" customWidth="1"/>
    <col min="13326" max="13326" width="11.140625" style="145" bestFit="1" customWidth="1"/>
    <col min="13327" max="13328" width="9" style="145" customWidth="1"/>
    <col min="13329" max="13329" width="9.140625" style="145" customWidth="1"/>
    <col min="13330" max="13330" width="9.85546875" style="145" customWidth="1"/>
    <col min="13331" max="13331" width="10.5703125" style="145" customWidth="1"/>
    <col min="13332" max="13332" width="12.140625" style="145" customWidth="1"/>
    <col min="13333" max="13333" width="11.140625" style="145" customWidth="1"/>
    <col min="13334" max="13334" width="11.5703125" style="145" bestFit="1" customWidth="1"/>
    <col min="13335" max="13335" width="12" style="145" bestFit="1" customWidth="1"/>
    <col min="13336" max="13336" width="16.28515625" style="145" bestFit="1" customWidth="1"/>
    <col min="13337" max="13337" width="13.42578125" style="145" customWidth="1"/>
    <col min="13338" max="13338" width="14.42578125" style="145" customWidth="1"/>
    <col min="13339" max="13339" width="18.7109375" style="145" bestFit="1" customWidth="1"/>
    <col min="13340" max="13340" width="7.85546875" style="145" customWidth="1"/>
    <col min="13341" max="13341" width="9.85546875" style="145" customWidth="1"/>
    <col min="13342" max="13343" width="11" style="145" bestFit="1" customWidth="1"/>
    <col min="13344" max="13344" width="11.140625" style="145" bestFit="1" customWidth="1"/>
    <col min="13345" max="13567" width="12.42578125" style="145"/>
    <col min="13568" max="13568" width="6.7109375" style="145" customWidth="1"/>
    <col min="13569" max="13569" width="25.28515625" style="145" customWidth="1"/>
    <col min="13570" max="13570" width="10" style="145" customWidth="1"/>
    <col min="13571" max="13572" width="7.5703125" style="145" customWidth="1"/>
    <col min="13573" max="13573" width="9" style="145" customWidth="1"/>
    <col min="13574" max="13574" width="7.140625" style="145" customWidth="1"/>
    <col min="13575" max="13575" width="10.5703125" style="145" bestFit="1" customWidth="1"/>
    <col min="13576" max="13576" width="9.85546875" style="145" customWidth="1"/>
    <col min="13577" max="13577" width="7.7109375" style="145" customWidth="1"/>
    <col min="13578" max="13578" width="9.85546875" style="145" customWidth="1"/>
    <col min="13579" max="13579" width="7.42578125" style="145" bestFit="1" customWidth="1"/>
    <col min="13580" max="13580" width="9.85546875" style="145" customWidth="1"/>
    <col min="13581" max="13581" width="8.85546875" style="145" customWidth="1"/>
    <col min="13582" max="13582" width="11.140625" style="145" bestFit="1" customWidth="1"/>
    <col min="13583" max="13584" width="9" style="145" customWidth="1"/>
    <col min="13585" max="13585" width="9.140625" style="145" customWidth="1"/>
    <col min="13586" max="13586" width="9.85546875" style="145" customWidth="1"/>
    <col min="13587" max="13587" width="10.5703125" style="145" customWidth="1"/>
    <col min="13588" max="13588" width="12.140625" style="145" customWidth="1"/>
    <col min="13589" max="13589" width="11.140625" style="145" customWidth="1"/>
    <col min="13590" max="13590" width="11.5703125" style="145" bestFit="1" customWidth="1"/>
    <col min="13591" max="13591" width="12" style="145" bestFit="1" customWidth="1"/>
    <col min="13592" max="13592" width="16.28515625" style="145" bestFit="1" customWidth="1"/>
    <col min="13593" max="13593" width="13.42578125" style="145" customWidth="1"/>
    <col min="13594" max="13594" width="14.42578125" style="145" customWidth="1"/>
    <col min="13595" max="13595" width="18.7109375" style="145" bestFit="1" customWidth="1"/>
    <col min="13596" max="13596" width="7.85546875" style="145" customWidth="1"/>
    <col min="13597" max="13597" width="9.85546875" style="145" customWidth="1"/>
    <col min="13598" max="13599" width="11" style="145" bestFit="1" customWidth="1"/>
    <col min="13600" max="13600" width="11.140625" style="145" bestFit="1" customWidth="1"/>
    <col min="13601" max="13823" width="12.42578125" style="145"/>
    <col min="13824" max="13824" width="6.7109375" style="145" customWidth="1"/>
    <col min="13825" max="13825" width="25.28515625" style="145" customWidth="1"/>
    <col min="13826" max="13826" width="10" style="145" customWidth="1"/>
    <col min="13827" max="13828" width="7.5703125" style="145" customWidth="1"/>
    <col min="13829" max="13829" width="9" style="145" customWidth="1"/>
    <col min="13830" max="13830" width="7.140625" style="145" customWidth="1"/>
    <col min="13831" max="13831" width="10.5703125" style="145" bestFit="1" customWidth="1"/>
    <col min="13832" max="13832" width="9.85546875" style="145" customWidth="1"/>
    <col min="13833" max="13833" width="7.7109375" style="145" customWidth="1"/>
    <col min="13834" max="13834" width="9.85546875" style="145" customWidth="1"/>
    <col min="13835" max="13835" width="7.42578125" style="145" bestFit="1" customWidth="1"/>
    <col min="13836" max="13836" width="9.85546875" style="145" customWidth="1"/>
    <col min="13837" max="13837" width="8.85546875" style="145" customWidth="1"/>
    <col min="13838" max="13838" width="11.140625" style="145" bestFit="1" customWidth="1"/>
    <col min="13839" max="13840" width="9" style="145" customWidth="1"/>
    <col min="13841" max="13841" width="9.140625" style="145" customWidth="1"/>
    <col min="13842" max="13842" width="9.85546875" style="145" customWidth="1"/>
    <col min="13843" max="13843" width="10.5703125" style="145" customWidth="1"/>
    <col min="13844" max="13844" width="12.140625" style="145" customWidth="1"/>
    <col min="13845" max="13845" width="11.140625" style="145" customWidth="1"/>
    <col min="13846" max="13846" width="11.5703125" style="145" bestFit="1" customWidth="1"/>
    <col min="13847" max="13847" width="12" style="145" bestFit="1" customWidth="1"/>
    <col min="13848" max="13848" width="16.28515625" style="145" bestFit="1" customWidth="1"/>
    <col min="13849" max="13849" width="13.42578125" style="145" customWidth="1"/>
    <col min="13850" max="13850" width="14.42578125" style="145" customWidth="1"/>
    <col min="13851" max="13851" width="18.7109375" style="145" bestFit="1" customWidth="1"/>
    <col min="13852" max="13852" width="7.85546875" style="145" customWidth="1"/>
    <col min="13853" max="13853" width="9.85546875" style="145" customWidth="1"/>
    <col min="13854" max="13855" width="11" style="145" bestFit="1" customWidth="1"/>
    <col min="13856" max="13856" width="11.140625" style="145" bestFit="1" customWidth="1"/>
    <col min="13857" max="14079" width="12.42578125" style="145"/>
    <col min="14080" max="14080" width="6.7109375" style="145" customWidth="1"/>
    <col min="14081" max="14081" width="25.28515625" style="145" customWidth="1"/>
    <col min="14082" max="14082" width="10" style="145" customWidth="1"/>
    <col min="14083" max="14084" width="7.5703125" style="145" customWidth="1"/>
    <col min="14085" max="14085" width="9" style="145" customWidth="1"/>
    <col min="14086" max="14086" width="7.140625" style="145" customWidth="1"/>
    <col min="14087" max="14087" width="10.5703125" style="145" bestFit="1" customWidth="1"/>
    <col min="14088" max="14088" width="9.85546875" style="145" customWidth="1"/>
    <col min="14089" max="14089" width="7.7109375" style="145" customWidth="1"/>
    <col min="14090" max="14090" width="9.85546875" style="145" customWidth="1"/>
    <col min="14091" max="14091" width="7.42578125" style="145" bestFit="1" customWidth="1"/>
    <col min="14092" max="14092" width="9.85546875" style="145" customWidth="1"/>
    <col min="14093" max="14093" width="8.85546875" style="145" customWidth="1"/>
    <col min="14094" max="14094" width="11.140625" style="145" bestFit="1" customWidth="1"/>
    <col min="14095" max="14096" width="9" style="145" customWidth="1"/>
    <col min="14097" max="14097" width="9.140625" style="145" customWidth="1"/>
    <col min="14098" max="14098" width="9.85546875" style="145" customWidth="1"/>
    <col min="14099" max="14099" width="10.5703125" style="145" customWidth="1"/>
    <col min="14100" max="14100" width="12.140625" style="145" customWidth="1"/>
    <col min="14101" max="14101" width="11.140625" style="145" customWidth="1"/>
    <col min="14102" max="14102" width="11.5703125" style="145" bestFit="1" customWidth="1"/>
    <col min="14103" max="14103" width="12" style="145" bestFit="1" customWidth="1"/>
    <col min="14104" max="14104" width="16.28515625" style="145" bestFit="1" customWidth="1"/>
    <col min="14105" max="14105" width="13.42578125" style="145" customWidth="1"/>
    <col min="14106" max="14106" width="14.42578125" style="145" customWidth="1"/>
    <col min="14107" max="14107" width="18.7109375" style="145" bestFit="1" customWidth="1"/>
    <col min="14108" max="14108" width="7.85546875" style="145" customWidth="1"/>
    <col min="14109" max="14109" width="9.85546875" style="145" customWidth="1"/>
    <col min="14110" max="14111" width="11" style="145" bestFit="1" customWidth="1"/>
    <col min="14112" max="14112" width="11.140625" style="145" bestFit="1" customWidth="1"/>
    <col min="14113" max="14335" width="12.42578125" style="145"/>
    <col min="14336" max="14336" width="6.7109375" style="145" customWidth="1"/>
    <col min="14337" max="14337" width="25.28515625" style="145" customWidth="1"/>
    <col min="14338" max="14338" width="10" style="145" customWidth="1"/>
    <col min="14339" max="14340" width="7.5703125" style="145" customWidth="1"/>
    <col min="14341" max="14341" width="9" style="145" customWidth="1"/>
    <col min="14342" max="14342" width="7.140625" style="145" customWidth="1"/>
    <col min="14343" max="14343" width="10.5703125" style="145" bestFit="1" customWidth="1"/>
    <col min="14344" max="14344" width="9.85546875" style="145" customWidth="1"/>
    <col min="14345" max="14345" width="7.7109375" style="145" customWidth="1"/>
    <col min="14346" max="14346" width="9.85546875" style="145" customWidth="1"/>
    <col min="14347" max="14347" width="7.42578125" style="145" bestFit="1" customWidth="1"/>
    <col min="14348" max="14348" width="9.85546875" style="145" customWidth="1"/>
    <col min="14349" max="14349" width="8.85546875" style="145" customWidth="1"/>
    <col min="14350" max="14350" width="11.140625" style="145" bestFit="1" customWidth="1"/>
    <col min="14351" max="14352" width="9" style="145" customWidth="1"/>
    <col min="14353" max="14353" width="9.140625" style="145" customWidth="1"/>
    <col min="14354" max="14354" width="9.85546875" style="145" customWidth="1"/>
    <col min="14355" max="14355" width="10.5703125" style="145" customWidth="1"/>
    <col min="14356" max="14356" width="12.140625" style="145" customWidth="1"/>
    <col min="14357" max="14357" width="11.140625" style="145" customWidth="1"/>
    <col min="14358" max="14358" width="11.5703125" style="145" bestFit="1" customWidth="1"/>
    <col min="14359" max="14359" width="12" style="145" bestFit="1" customWidth="1"/>
    <col min="14360" max="14360" width="16.28515625" style="145" bestFit="1" customWidth="1"/>
    <col min="14361" max="14361" width="13.42578125" style="145" customWidth="1"/>
    <col min="14362" max="14362" width="14.42578125" style="145" customWidth="1"/>
    <col min="14363" max="14363" width="18.7109375" style="145" bestFit="1" customWidth="1"/>
    <col min="14364" max="14364" width="7.85546875" style="145" customWidth="1"/>
    <col min="14365" max="14365" width="9.85546875" style="145" customWidth="1"/>
    <col min="14366" max="14367" width="11" style="145" bestFit="1" customWidth="1"/>
    <col min="14368" max="14368" width="11.140625" style="145" bestFit="1" customWidth="1"/>
    <col min="14369" max="14591" width="12.42578125" style="145"/>
    <col min="14592" max="14592" width="6.7109375" style="145" customWidth="1"/>
    <col min="14593" max="14593" width="25.28515625" style="145" customWidth="1"/>
    <col min="14594" max="14594" width="10" style="145" customWidth="1"/>
    <col min="14595" max="14596" width="7.5703125" style="145" customWidth="1"/>
    <col min="14597" max="14597" width="9" style="145" customWidth="1"/>
    <col min="14598" max="14598" width="7.140625" style="145" customWidth="1"/>
    <col min="14599" max="14599" width="10.5703125" style="145" bestFit="1" customWidth="1"/>
    <col min="14600" max="14600" width="9.85546875" style="145" customWidth="1"/>
    <col min="14601" max="14601" width="7.7109375" style="145" customWidth="1"/>
    <col min="14602" max="14602" width="9.85546875" style="145" customWidth="1"/>
    <col min="14603" max="14603" width="7.42578125" style="145" bestFit="1" customWidth="1"/>
    <col min="14604" max="14604" width="9.85546875" style="145" customWidth="1"/>
    <col min="14605" max="14605" width="8.85546875" style="145" customWidth="1"/>
    <col min="14606" max="14606" width="11.140625" style="145" bestFit="1" customWidth="1"/>
    <col min="14607" max="14608" width="9" style="145" customWidth="1"/>
    <col min="14609" max="14609" width="9.140625" style="145" customWidth="1"/>
    <col min="14610" max="14610" width="9.85546875" style="145" customWidth="1"/>
    <col min="14611" max="14611" width="10.5703125" style="145" customWidth="1"/>
    <col min="14612" max="14612" width="12.140625" style="145" customWidth="1"/>
    <col min="14613" max="14613" width="11.140625" style="145" customWidth="1"/>
    <col min="14614" max="14614" width="11.5703125" style="145" bestFit="1" customWidth="1"/>
    <col min="14615" max="14615" width="12" style="145" bestFit="1" customWidth="1"/>
    <col min="14616" max="14616" width="16.28515625" style="145" bestFit="1" customWidth="1"/>
    <col min="14617" max="14617" width="13.42578125" style="145" customWidth="1"/>
    <col min="14618" max="14618" width="14.42578125" style="145" customWidth="1"/>
    <col min="14619" max="14619" width="18.7109375" style="145" bestFit="1" customWidth="1"/>
    <col min="14620" max="14620" width="7.85546875" style="145" customWidth="1"/>
    <col min="14621" max="14621" width="9.85546875" style="145" customWidth="1"/>
    <col min="14622" max="14623" width="11" style="145" bestFit="1" customWidth="1"/>
    <col min="14624" max="14624" width="11.140625" style="145" bestFit="1" customWidth="1"/>
    <col min="14625" max="14847" width="12.42578125" style="145"/>
    <col min="14848" max="14848" width="6.7109375" style="145" customWidth="1"/>
    <col min="14849" max="14849" width="25.28515625" style="145" customWidth="1"/>
    <col min="14850" max="14850" width="10" style="145" customWidth="1"/>
    <col min="14851" max="14852" width="7.5703125" style="145" customWidth="1"/>
    <col min="14853" max="14853" width="9" style="145" customWidth="1"/>
    <col min="14854" max="14854" width="7.140625" style="145" customWidth="1"/>
    <col min="14855" max="14855" width="10.5703125" style="145" bestFit="1" customWidth="1"/>
    <col min="14856" max="14856" width="9.85546875" style="145" customWidth="1"/>
    <col min="14857" max="14857" width="7.7109375" style="145" customWidth="1"/>
    <col min="14858" max="14858" width="9.85546875" style="145" customWidth="1"/>
    <col min="14859" max="14859" width="7.42578125" style="145" bestFit="1" customWidth="1"/>
    <col min="14860" max="14860" width="9.85546875" style="145" customWidth="1"/>
    <col min="14861" max="14861" width="8.85546875" style="145" customWidth="1"/>
    <col min="14862" max="14862" width="11.140625" style="145" bestFit="1" customWidth="1"/>
    <col min="14863" max="14864" width="9" style="145" customWidth="1"/>
    <col min="14865" max="14865" width="9.140625" style="145" customWidth="1"/>
    <col min="14866" max="14866" width="9.85546875" style="145" customWidth="1"/>
    <col min="14867" max="14867" width="10.5703125" style="145" customWidth="1"/>
    <col min="14868" max="14868" width="12.140625" style="145" customWidth="1"/>
    <col min="14869" max="14869" width="11.140625" style="145" customWidth="1"/>
    <col min="14870" max="14870" width="11.5703125" style="145" bestFit="1" customWidth="1"/>
    <col min="14871" max="14871" width="12" style="145" bestFit="1" customWidth="1"/>
    <col min="14872" max="14872" width="16.28515625" style="145" bestFit="1" customWidth="1"/>
    <col min="14873" max="14873" width="13.42578125" style="145" customWidth="1"/>
    <col min="14874" max="14874" width="14.42578125" style="145" customWidth="1"/>
    <col min="14875" max="14875" width="18.7109375" style="145" bestFit="1" customWidth="1"/>
    <col min="14876" max="14876" width="7.85546875" style="145" customWidth="1"/>
    <col min="14877" max="14877" width="9.85546875" style="145" customWidth="1"/>
    <col min="14878" max="14879" width="11" style="145" bestFit="1" customWidth="1"/>
    <col min="14880" max="14880" width="11.140625" style="145" bestFit="1" customWidth="1"/>
    <col min="14881" max="15103" width="12.42578125" style="145"/>
    <col min="15104" max="15104" width="6.7109375" style="145" customWidth="1"/>
    <col min="15105" max="15105" width="25.28515625" style="145" customWidth="1"/>
    <col min="15106" max="15106" width="10" style="145" customWidth="1"/>
    <col min="15107" max="15108" width="7.5703125" style="145" customWidth="1"/>
    <col min="15109" max="15109" width="9" style="145" customWidth="1"/>
    <col min="15110" max="15110" width="7.140625" style="145" customWidth="1"/>
    <col min="15111" max="15111" width="10.5703125" style="145" bestFit="1" customWidth="1"/>
    <col min="15112" max="15112" width="9.85546875" style="145" customWidth="1"/>
    <col min="15113" max="15113" width="7.7109375" style="145" customWidth="1"/>
    <col min="15114" max="15114" width="9.85546875" style="145" customWidth="1"/>
    <col min="15115" max="15115" width="7.42578125" style="145" bestFit="1" customWidth="1"/>
    <col min="15116" max="15116" width="9.85546875" style="145" customWidth="1"/>
    <col min="15117" max="15117" width="8.85546875" style="145" customWidth="1"/>
    <col min="15118" max="15118" width="11.140625" style="145" bestFit="1" customWidth="1"/>
    <col min="15119" max="15120" width="9" style="145" customWidth="1"/>
    <col min="15121" max="15121" width="9.140625" style="145" customWidth="1"/>
    <col min="15122" max="15122" width="9.85546875" style="145" customWidth="1"/>
    <col min="15123" max="15123" width="10.5703125" style="145" customWidth="1"/>
    <col min="15124" max="15124" width="12.140625" style="145" customWidth="1"/>
    <col min="15125" max="15125" width="11.140625" style="145" customWidth="1"/>
    <col min="15126" max="15126" width="11.5703125" style="145" bestFit="1" customWidth="1"/>
    <col min="15127" max="15127" width="12" style="145" bestFit="1" customWidth="1"/>
    <col min="15128" max="15128" width="16.28515625" style="145" bestFit="1" customWidth="1"/>
    <col min="15129" max="15129" width="13.42578125" style="145" customWidth="1"/>
    <col min="15130" max="15130" width="14.42578125" style="145" customWidth="1"/>
    <col min="15131" max="15131" width="18.7109375" style="145" bestFit="1" customWidth="1"/>
    <col min="15132" max="15132" width="7.85546875" style="145" customWidth="1"/>
    <col min="15133" max="15133" width="9.85546875" style="145" customWidth="1"/>
    <col min="15134" max="15135" width="11" style="145" bestFit="1" customWidth="1"/>
    <col min="15136" max="15136" width="11.140625" style="145" bestFit="1" customWidth="1"/>
    <col min="15137" max="15359" width="12.42578125" style="145"/>
    <col min="15360" max="15360" width="6.7109375" style="145" customWidth="1"/>
    <col min="15361" max="15361" width="25.28515625" style="145" customWidth="1"/>
    <col min="15362" max="15362" width="10" style="145" customWidth="1"/>
    <col min="15363" max="15364" width="7.5703125" style="145" customWidth="1"/>
    <col min="15365" max="15365" width="9" style="145" customWidth="1"/>
    <col min="15366" max="15366" width="7.140625" style="145" customWidth="1"/>
    <col min="15367" max="15367" width="10.5703125" style="145" bestFit="1" customWidth="1"/>
    <col min="15368" max="15368" width="9.85546875" style="145" customWidth="1"/>
    <col min="15369" max="15369" width="7.7109375" style="145" customWidth="1"/>
    <col min="15370" max="15370" width="9.85546875" style="145" customWidth="1"/>
    <col min="15371" max="15371" width="7.42578125" style="145" bestFit="1" customWidth="1"/>
    <col min="15372" max="15372" width="9.85546875" style="145" customWidth="1"/>
    <col min="15373" max="15373" width="8.85546875" style="145" customWidth="1"/>
    <col min="15374" max="15374" width="11.140625" style="145" bestFit="1" customWidth="1"/>
    <col min="15375" max="15376" width="9" style="145" customWidth="1"/>
    <col min="15377" max="15377" width="9.140625" style="145" customWidth="1"/>
    <col min="15378" max="15378" width="9.85546875" style="145" customWidth="1"/>
    <col min="15379" max="15379" width="10.5703125" style="145" customWidth="1"/>
    <col min="15380" max="15380" width="12.140625" style="145" customWidth="1"/>
    <col min="15381" max="15381" width="11.140625" style="145" customWidth="1"/>
    <col min="15382" max="15382" width="11.5703125" style="145" bestFit="1" customWidth="1"/>
    <col min="15383" max="15383" width="12" style="145" bestFit="1" customWidth="1"/>
    <col min="15384" max="15384" width="16.28515625" style="145" bestFit="1" customWidth="1"/>
    <col min="15385" max="15385" width="13.42578125" style="145" customWidth="1"/>
    <col min="15386" max="15386" width="14.42578125" style="145" customWidth="1"/>
    <col min="15387" max="15387" width="18.7109375" style="145" bestFit="1" customWidth="1"/>
    <col min="15388" max="15388" width="7.85546875" style="145" customWidth="1"/>
    <col min="15389" max="15389" width="9.85546875" style="145" customWidth="1"/>
    <col min="15390" max="15391" width="11" style="145" bestFit="1" customWidth="1"/>
    <col min="15392" max="15392" width="11.140625" style="145" bestFit="1" customWidth="1"/>
    <col min="15393" max="15615" width="12.42578125" style="145"/>
    <col min="15616" max="15616" width="6.7109375" style="145" customWidth="1"/>
    <col min="15617" max="15617" width="25.28515625" style="145" customWidth="1"/>
    <col min="15618" max="15618" width="10" style="145" customWidth="1"/>
    <col min="15619" max="15620" width="7.5703125" style="145" customWidth="1"/>
    <col min="15621" max="15621" width="9" style="145" customWidth="1"/>
    <col min="15622" max="15622" width="7.140625" style="145" customWidth="1"/>
    <col min="15623" max="15623" width="10.5703125" style="145" bestFit="1" customWidth="1"/>
    <col min="15624" max="15624" width="9.85546875" style="145" customWidth="1"/>
    <col min="15625" max="15625" width="7.7109375" style="145" customWidth="1"/>
    <col min="15626" max="15626" width="9.85546875" style="145" customWidth="1"/>
    <col min="15627" max="15627" width="7.42578125" style="145" bestFit="1" customWidth="1"/>
    <col min="15628" max="15628" width="9.85546875" style="145" customWidth="1"/>
    <col min="15629" max="15629" width="8.85546875" style="145" customWidth="1"/>
    <col min="15630" max="15630" width="11.140625" style="145" bestFit="1" customWidth="1"/>
    <col min="15631" max="15632" width="9" style="145" customWidth="1"/>
    <col min="15633" max="15633" width="9.140625" style="145" customWidth="1"/>
    <col min="15634" max="15634" width="9.85546875" style="145" customWidth="1"/>
    <col min="15635" max="15635" width="10.5703125" style="145" customWidth="1"/>
    <col min="15636" max="15636" width="12.140625" style="145" customWidth="1"/>
    <col min="15637" max="15637" width="11.140625" style="145" customWidth="1"/>
    <col min="15638" max="15638" width="11.5703125" style="145" bestFit="1" customWidth="1"/>
    <col min="15639" max="15639" width="12" style="145" bestFit="1" customWidth="1"/>
    <col min="15640" max="15640" width="16.28515625" style="145" bestFit="1" customWidth="1"/>
    <col min="15641" max="15641" width="13.42578125" style="145" customWidth="1"/>
    <col min="15642" max="15642" width="14.42578125" style="145" customWidth="1"/>
    <col min="15643" max="15643" width="18.7109375" style="145" bestFit="1" customWidth="1"/>
    <col min="15644" max="15644" width="7.85546875" style="145" customWidth="1"/>
    <col min="15645" max="15645" width="9.85546875" style="145" customWidth="1"/>
    <col min="15646" max="15647" width="11" style="145" bestFit="1" customWidth="1"/>
    <col min="15648" max="15648" width="11.140625" style="145" bestFit="1" customWidth="1"/>
    <col min="15649" max="15871" width="12.42578125" style="145"/>
    <col min="15872" max="15872" width="6.7109375" style="145" customWidth="1"/>
    <col min="15873" max="15873" width="25.28515625" style="145" customWidth="1"/>
    <col min="15874" max="15874" width="10" style="145" customWidth="1"/>
    <col min="15875" max="15876" width="7.5703125" style="145" customWidth="1"/>
    <col min="15877" max="15877" width="9" style="145" customWidth="1"/>
    <col min="15878" max="15878" width="7.140625" style="145" customWidth="1"/>
    <col min="15879" max="15879" width="10.5703125" style="145" bestFit="1" customWidth="1"/>
    <col min="15880" max="15880" width="9.85546875" style="145" customWidth="1"/>
    <col min="15881" max="15881" width="7.7109375" style="145" customWidth="1"/>
    <col min="15882" max="15882" width="9.85546875" style="145" customWidth="1"/>
    <col min="15883" max="15883" width="7.42578125" style="145" bestFit="1" customWidth="1"/>
    <col min="15884" max="15884" width="9.85546875" style="145" customWidth="1"/>
    <col min="15885" max="15885" width="8.85546875" style="145" customWidth="1"/>
    <col min="15886" max="15886" width="11.140625" style="145" bestFit="1" customWidth="1"/>
    <col min="15887" max="15888" width="9" style="145" customWidth="1"/>
    <col min="15889" max="15889" width="9.140625" style="145" customWidth="1"/>
    <col min="15890" max="15890" width="9.85546875" style="145" customWidth="1"/>
    <col min="15891" max="15891" width="10.5703125" style="145" customWidth="1"/>
    <col min="15892" max="15892" width="12.140625" style="145" customWidth="1"/>
    <col min="15893" max="15893" width="11.140625" style="145" customWidth="1"/>
    <col min="15894" max="15894" width="11.5703125" style="145" bestFit="1" customWidth="1"/>
    <col min="15895" max="15895" width="12" style="145" bestFit="1" customWidth="1"/>
    <col min="15896" max="15896" width="16.28515625" style="145" bestFit="1" customWidth="1"/>
    <col min="15897" max="15897" width="13.42578125" style="145" customWidth="1"/>
    <col min="15898" max="15898" width="14.42578125" style="145" customWidth="1"/>
    <col min="15899" max="15899" width="18.7109375" style="145" bestFit="1" customWidth="1"/>
    <col min="15900" max="15900" width="7.85546875" style="145" customWidth="1"/>
    <col min="15901" max="15901" width="9.85546875" style="145" customWidth="1"/>
    <col min="15902" max="15903" width="11" style="145" bestFit="1" customWidth="1"/>
    <col min="15904" max="15904" width="11.140625" style="145" bestFit="1" customWidth="1"/>
    <col min="15905" max="16127" width="12.42578125" style="145"/>
    <col min="16128" max="16128" width="6.7109375" style="145" customWidth="1"/>
    <col min="16129" max="16129" width="25.28515625" style="145" customWidth="1"/>
    <col min="16130" max="16130" width="10" style="145" customWidth="1"/>
    <col min="16131" max="16132" width="7.5703125" style="145" customWidth="1"/>
    <col min="16133" max="16133" width="9" style="145" customWidth="1"/>
    <col min="16134" max="16134" width="7.140625" style="145" customWidth="1"/>
    <col min="16135" max="16135" width="10.5703125" style="145" bestFit="1" customWidth="1"/>
    <col min="16136" max="16136" width="9.85546875" style="145" customWidth="1"/>
    <col min="16137" max="16137" width="7.7109375" style="145" customWidth="1"/>
    <col min="16138" max="16138" width="9.85546875" style="145" customWidth="1"/>
    <col min="16139" max="16139" width="7.42578125" style="145" bestFit="1" customWidth="1"/>
    <col min="16140" max="16140" width="9.85546875" style="145" customWidth="1"/>
    <col min="16141" max="16141" width="8.85546875" style="145" customWidth="1"/>
    <col min="16142" max="16142" width="11.140625" style="145" bestFit="1" customWidth="1"/>
    <col min="16143" max="16144" width="9" style="145" customWidth="1"/>
    <col min="16145" max="16145" width="9.140625" style="145" customWidth="1"/>
    <col min="16146" max="16146" width="9.85546875" style="145" customWidth="1"/>
    <col min="16147" max="16147" width="10.5703125" style="145" customWidth="1"/>
    <col min="16148" max="16148" width="12.140625" style="145" customWidth="1"/>
    <col min="16149" max="16149" width="11.140625" style="145" customWidth="1"/>
    <col min="16150" max="16150" width="11.5703125" style="145" bestFit="1" customWidth="1"/>
    <col min="16151" max="16151" width="12" style="145" bestFit="1" customWidth="1"/>
    <col min="16152" max="16152" width="16.28515625" style="145" bestFit="1" customWidth="1"/>
    <col min="16153" max="16153" width="13.42578125" style="145" customWidth="1"/>
    <col min="16154" max="16154" width="14.42578125" style="145" customWidth="1"/>
    <col min="16155" max="16155" width="18.7109375" style="145" bestFit="1" customWidth="1"/>
    <col min="16156" max="16156" width="7.85546875" style="145" customWidth="1"/>
    <col min="16157" max="16157" width="9.85546875" style="145" customWidth="1"/>
    <col min="16158" max="16159" width="11" style="145" bestFit="1" customWidth="1"/>
    <col min="16160" max="16160" width="11.140625" style="145" bestFit="1" customWidth="1"/>
    <col min="16161" max="16384" width="12.42578125" style="145"/>
  </cols>
  <sheetData>
    <row r="1" spans="1:72" s="315" customFormat="1" ht="24">
      <c r="A1" s="553" t="s">
        <v>384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  <c r="S1" s="553"/>
      <c r="T1" s="553"/>
      <c r="U1" s="553"/>
      <c r="V1" s="553"/>
      <c r="W1" s="553"/>
      <c r="X1" s="553"/>
      <c r="Y1" s="553"/>
      <c r="Z1" s="553"/>
      <c r="AA1" s="553"/>
      <c r="AB1" s="553"/>
      <c r="AC1" s="553"/>
      <c r="AD1" s="553"/>
      <c r="AE1" s="553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2"/>
      <c r="BT1" s="142"/>
    </row>
    <row r="2" spans="1:72" ht="17.25" thickBot="1">
      <c r="B2" s="463"/>
      <c r="C2" s="463"/>
    </row>
    <row r="3" spans="1:72">
      <c r="A3" s="144" t="s">
        <v>383</v>
      </c>
      <c r="C3" s="147" t="s">
        <v>85</v>
      </c>
      <c r="D3" s="316"/>
      <c r="E3" s="317"/>
      <c r="F3" s="318">
        <v>1.2</v>
      </c>
      <c r="G3" s="147" t="s">
        <v>86</v>
      </c>
      <c r="H3" s="319"/>
      <c r="I3" s="320">
        <v>22</v>
      </c>
      <c r="J3" s="277"/>
      <c r="K3" s="151" t="s">
        <v>87</v>
      </c>
      <c r="L3" s="321"/>
      <c r="M3" s="136">
        <v>12</v>
      </c>
      <c r="N3" s="322" t="s">
        <v>88</v>
      </c>
      <c r="O3" s="321"/>
      <c r="P3" s="318">
        <v>100</v>
      </c>
      <c r="Q3" s="323"/>
      <c r="U3" s="324" t="s">
        <v>89</v>
      </c>
      <c r="V3" s="325">
        <v>1</v>
      </c>
    </row>
    <row r="4" spans="1:72">
      <c r="A4" s="153"/>
      <c r="C4" s="156" t="s">
        <v>90</v>
      </c>
      <c r="D4" s="216"/>
      <c r="F4" s="326">
        <v>0.3</v>
      </c>
      <c r="G4" s="156" t="s">
        <v>91</v>
      </c>
      <c r="H4" s="327"/>
      <c r="I4" s="328">
        <v>35</v>
      </c>
      <c r="J4" s="277"/>
      <c r="K4" s="158" t="s">
        <v>92</v>
      </c>
      <c r="L4" s="329"/>
      <c r="M4" s="137">
        <v>24</v>
      </c>
      <c r="N4" s="330" t="s">
        <v>93</v>
      </c>
      <c r="O4" s="329"/>
      <c r="P4" s="326">
        <v>1</v>
      </c>
      <c r="S4" s="331"/>
      <c r="U4" s="332" t="s">
        <v>94</v>
      </c>
      <c r="V4" s="333">
        <v>1</v>
      </c>
    </row>
    <row r="5" spans="1:72">
      <c r="A5" s="153" t="s">
        <v>6</v>
      </c>
      <c r="B5" s="163">
        <v>44859</v>
      </c>
      <c r="C5" s="156" t="s">
        <v>95</v>
      </c>
      <c r="D5" s="216"/>
      <c r="F5" s="326">
        <v>0</v>
      </c>
      <c r="G5" s="156" t="s">
        <v>96</v>
      </c>
      <c r="H5" s="327"/>
      <c r="I5" s="334">
        <v>10</v>
      </c>
      <c r="J5" s="277"/>
      <c r="K5" s="158" t="s">
        <v>97</v>
      </c>
      <c r="L5" s="329"/>
      <c r="M5" s="137">
        <v>34</v>
      </c>
      <c r="N5" s="330" t="s">
        <v>98</v>
      </c>
      <c r="O5" s="329"/>
      <c r="P5" s="326">
        <v>1.1000000000000001</v>
      </c>
      <c r="S5" s="331"/>
      <c r="U5" s="332" t="s">
        <v>99</v>
      </c>
      <c r="V5" s="333">
        <f>(1-P8/100)*V4*V3</f>
        <v>0.6</v>
      </c>
      <c r="Y5" s="277"/>
    </row>
    <row r="6" spans="1:72" ht="17.25" thickBot="1">
      <c r="A6" s="168"/>
      <c r="B6" s="169"/>
      <c r="C6" s="156" t="s">
        <v>100</v>
      </c>
      <c r="D6" s="216"/>
      <c r="E6" s="216"/>
      <c r="F6" s="335">
        <v>9000</v>
      </c>
      <c r="G6" s="156" t="s">
        <v>101</v>
      </c>
      <c r="H6" s="327"/>
      <c r="I6" s="326">
        <v>30</v>
      </c>
      <c r="J6" s="277"/>
      <c r="K6" s="158" t="s">
        <v>102</v>
      </c>
      <c r="L6" s="329"/>
      <c r="M6" s="137">
        <v>51</v>
      </c>
      <c r="N6" s="330" t="s">
        <v>103</v>
      </c>
      <c r="O6" s="329"/>
      <c r="P6" s="328">
        <v>0.9</v>
      </c>
      <c r="Q6" s="336"/>
      <c r="S6" s="337"/>
      <c r="U6" s="338" t="s">
        <v>104</v>
      </c>
      <c r="V6" s="339">
        <f>(1-S4/100)*V3</f>
        <v>1</v>
      </c>
    </row>
    <row r="7" spans="1:72" ht="17.25" thickBot="1">
      <c r="A7" s="153"/>
      <c r="C7" s="156" t="s">
        <v>105</v>
      </c>
      <c r="D7" s="216"/>
      <c r="F7" s="335">
        <v>300</v>
      </c>
      <c r="G7" s="156" t="s">
        <v>106</v>
      </c>
      <c r="H7" s="327"/>
      <c r="I7" s="334">
        <v>10</v>
      </c>
      <c r="J7" s="277"/>
      <c r="K7" s="158" t="s">
        <v>107</v>
      </c>
      <c r="L7" s="329"/>
      <c r="M7" s="137">
        <v>73</v>
      </c>
      <c r="N7" s="340" t="s">
        <v>108</v>
      </c>
      <c r="O7" s="341"/>
      <c r="P7" s="342">
        <v>0.8</v>
      </c>
    </row>
    <row r="8" spans="1:72" ht="17.25" thickBot="1">
      <c r="A8" s="184"/>
      <c r="C8" s="178" t="s">
        <v>109</v>
      </c>
      <c r="D8" s="343"/>
      <c r="E8" s="343"/>
      <c r="F8" s="344">
        <v>65</v>
      </c>
      <c r="G8" s="175"/>
      <c r="H8" s="345"/>
      <c r="I8" s="346"/>
      <c r="J8" s="277"/>
      <c r="K8" s="158" t="s">
        <v>110</v>
      </c>
      <c r="L8" s="329"/>
      <c r="M8" s="137">
        <v>97</v>
      </c>
      <c r="N8" s="347" t="s">
        <v>111</v>
      </c>
      <c r="O8" s="321"/>
      <c r="P8" s="348">
        <v>40</v>
      </c>
      <c r="R8" s="216"/>
      <c r="AB8" s="172"/>
      <c r="AC8" s="173"/>
      <c r="AD8" s="172" t="s">
        <v>12</v>
      </c>
      <c r="AE8" s="173">
        <v>44859</v>
      </c>
    </row>
    <row r="9" spans="1:72" ht="17.25" thickBot="1">
      <c r="B9" s="349"/>
      <c r="J9" s="277"/>
      <c r="K9" s="350" t="s">
        <v>112</v>
      </c>
      <c r="L9" s="341"/>
      <c r="M9" s="138">
        <v>153</v>
      </c>
      <c r="N9" s="351" t="s">
        <v>113</v>
      </c>
      <c r="O9" s="341"/>
      <c r="P9" s="352">
        <v>0.3</v>
      </c>
      <c r="AB9" s="172"/>
      <c r="AC9" s="173"/>
      <c r="AD9" s="172" t="s">
        <v>16</v>
      </c>
      <c r="AE9" s="173">
        <f ca="1">TODAY()</f>
        <v>46143</v>
      </c>
    </row>
    <row r="10" spans="1:72" ht="17.25" thickBot="1">
      <c r="A10" s="184"/>
    </row>
    <row r="11" spans="1:72" s="361" customFormat="1">
      <c r="A11" s="228" t="s">
        <v>17</v>
      </c>
      <c r="B11" s="228" t="s">
        <v>115</v>
      </c>
      <c r="C11" s="228" t="s">
        <v>116</v>
      </c>
      <c r="D11" s="228" t="s">
        <v>117</v>
      </c>
      <c r="E11" s="228" t="s">
        <v>118</v>
      </c>
      <c r="F11" s="353" t="s">
        <v>119</v>
      </c>
      <c r="G11" s="228" t="s">
        <v>120</v>
      </c>
      <c r="H11" s="228" t="s">
        <v>121</v>
      </c>
      <c r="I11" s="228" t="s">
        <v>121</v>
      </c>
      <c r="J11" s="354" t="s">
        <v>122</v>
      </c>
      <c r="K11" s="354" t="s">
        <v>123</v>
      </c>
      <c r="L11" s="355"/>
      <c r="M11" s="354" t="s">
        <v>124</v>
      </c>
      <c r="N11" s="228" t="s">
        <v>125</v>
      </c>
      <c r="O11" s="228" t="s">
        <v>126</v>
      </c>
      <c r="P11" s="354" t="s">
        <v>127</v>
      </c>
      <c r="Q11" s="356" t="s">
        <v>128</v>
      </c>
      <c r="R11" s="354" t="s">
        <v>129</v>
      </c>
      <c r="S11" s="354" t="s">
        <v>130</v>
      </c>
      <c r="T11" s="354" t="s">
        <v>117</v>
      </c>
      <c r="U11" s="354" t="s">
        <v>131</v>
      </c>
      <c r="V11" s="357" t="s">
        <v>37</v>
      </c>
      <c r="W11" s="354" t="s">
        <v>37</v>
      </c>
      <c r="X11" s="354" t="s">
        <v>37</v>
      </c>
      <c r="Y11" s="354" t="s">
        <v>37</v>
      </c>
      <c r="Z11" s="354" t="s">
        <v>37</v>
      </c>
      <c r="AA11" s="354" t="s">
        <v>132</v>
      </c>
      <c r="AB11" s="358" t="s">
        <v>131</v>
      </c>
      <c r="AC11" s="356" t="s">
        <v>133</v>
      </c>
      <c r="AD11" s="359" t="s">
        <v>124</v>
      </c>
      <c r="AE11" s="354" t="s">
        <v>131</v>
      </c>
      <c r="AF11" s="360"/>
      <c r="AG11" s="360"/>
      <c r="AH11" s="360"/>
      <c r="AI11" s="360"/>
      <c r="AJ11" s="360"/>
      <c r="AK11" s="360"/>
      <c r="AL11" s="360"/>
      <c r="AM11" s="360"/>
      <c r="AN11" s="360"/>
      <c r="AO11" s="360"/>
      <c r="AP11" s="360"/>
      <c r="AQ11" s="360"/>
      <c r="AR11" s="360"/>
      <c r="AS11" s="360"/>
      <c r="AT11" s="360"/>
      <c r="AU11" s="360"/>
      <c r="AV11" s="360"/>
      <c r="AW11" s="360"/>
      <c r="AX11" s="360"/>
      <c r="AY11" s="360"/>
      <c r="AZ11" s="360"/>
      <c r="BA11" s="360"/>
      <c r="BB11" s="360"/>
      <c r="BC11" s="360"/>
      <c r="BD11" s="360"/>
      <c r="BE11" s="360"/>
      <c r="BF11" s="360"/>
      <c r="BG11" s="360"/>
      <c r="BH11" s="360"/>
      <c r="BI11" s="360"/>
      <c r="BJ11" s="360"/>
      <c r="BK11" s="360"/>
      <c r="BL11" s="360"/>
      <c r="BM11" s="360"/>
      <c r="BN11" s="360"/>
      <c r="BO11" s="360"/>
      <c r="BP11" s="360"/>
      <c r="BQ11" s="360"/>
      <c r="BR11" s="360"/>
      <c r="BS11" s="360"/>
      <c r="BT11" s="360"/>
    </row>
    <row r="12" spans="1:72" s="361" customFormat="1" ht="17.25" thickBot="1">
      <c r="A12" s="362" t="s">
        <v>134</v>
      </c>
      <c r="B12" s="363"/>
      <c r="C12" s="362" t="str">
        <f>IF(P4=1,"METER","FEET")</f>
        <v>METER</v>
      </c>
      <c r="D12" s="362" t="s">
        <v>135</v>
      </c>
      <c r="E12" s="362" t="s">
        <v>136</v>
      </c>
      <c r="F12" s="363" t="s">
        <v>137</v>
      </c>
      <c r="G12" s="362" t="s">
        <v>138</v>
      </c>
      <c r="H12" s="362" t="s">
        <v>139</v>
      </c>
      <c r="I12" s="362" t="s">
        <v>140</v>
      </c>
      <c r="J12" s="364" t="s">
        <v>138</v>
      </c>
      <c r="K12" s="364" t="s">
        <v>141</v>
      </c>
      <c r="L12" s="365" t="s">
        <v>372</v>
      </c>
      <c r="M12" s="364" t="s">
        <v>142</v>
      </c>
      <c r="N12" s="362" t="s">
        <v>143</v>
      </c>
      <c r="O12" s="362" t="s">
        <v>132</v>
      </c>
      <c r="P12" s="364" t="s">
        <v>144</v>
      </c>
      <c r="Q12" s="366" t="s">
        <v>129</v>
      </c>
      <c r="R12" s="364" t="s">
        <v>145</v>
      </c>
      <c r="S12" s="364" t="s">
        <v>146</v>
      </c>
      <c r="T12" s="364" t="s">
        <v>146</v>
      </c>
      <c r="U12" s="364" t="s">
        <v>147</v>
      </c>
      <c r="V12" s="367" t="s">
        <v>148</v>
      </c>
      <c r="W12" s="364" t="s">
        <v>149</v>
      </c>
      <c r="X12" s="364" t="s">
        <v>150</v>
      </c>
      <c r="Y12" s="364" t="s">
        <v>151</v>
      </c>
      <c r="Z12" s="364" t="s">
        <v>65</v>
      </c>
      <c r="AA12" s="364" t="str">
        <f>IF(P4=1,"$/METER","$/FOOT")</f>
        <v>$/METER</v>
      </c>
      <c r="AB12" s="368" t="s">
        <v>132</v>
      </c>
      <c r="AC12" s="366" t="s">
        <v>152</v>
      </c>
      <c r="AD12" s="369" t="s">
        <v>153</v>
      </c>
      <c r="AE12" s="364" t="s">
        <v>375</v>
      </c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0"/>
      <c r="AQ12" s="360"/>
      <c r="AR12" s="360"/>
      <c r="AS12" s="360"/>
      <c r="AT12" s="360"/>
      <c r="AU12" s="360"/>
      <c r="AV12" s="360"/>
      <c r="AW12" s="360"/>
      <c r="AX12" s="360"/>
      <c r="AY12" s="360"/>
      <c r="AZ12" s="360"/>
      <c r="BA12" s="360"/>
      <c r="BB12" s="360"/>
      <c r="BC12" s="360"/>
      <c r="BD12" s="360"/>
      <c r="BE12" s="360"/>
      <c r="BF12" s="360"/>
      <c r="BG12" s="360"/>
      <c r="BH12" s="360"/>
      <c r="BI12" s="360"/>
      <c r="BJ12" s="360"/>
      <c r="BK12" s="360"/>
      <c r="BL12" s="360"/>
      <c r="BM12" s="360"/>
      <c r="BN12" s="360"/>
      <c r="BO12" s="360"/>
      <c r="BP12" s="360"/>
      <c r="BQ12" s="360"/>
      <c r="BR12" s="360"/>
      <c r="BS12" s="360"/>
      <c r="BT12" s="360"/>
    </row>
    <row r="13" spans="1:72">
      <c r="A13" s="370"/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371"/>
      <c r="M13" s="193"/>
      <c r="N13" s="193"/>
      <c r="O13" s="193"/>
      <c r="P13" s="193"/>
      <c r="Q13" s="193"/>
      <c r="R13" s="193"/>
      <c r="S13" s="193"/>
      <c r="T13" s="193"/>
      <c r="U13" s="193"/>
      <c r="V13" s="371"/>
      <c r="W13" s="192"/>
      <c r="X13" s="193"/>
      <c r="Y13" s="193"/>
      <c r="Z13" s="193"/>
      <c r="AA13" s="193"/>
      <c r="AB13" s="193"/>
      <c r="AC13" s="193"/>
      <c r="AD13" s="371"/>
      <c r="AE13" s="192"/>
    </row>
    <row r="14" spans="1:72" s="377" customFormat="1">
      <c r="A14" s="192">
        <v>1</v>
      </c>
      <c r="B14" s="470"/>
      <c r="C14" s="192"/>
      <c r="D14" s="192"/>
      <c r="E14" s="373"/>
      <c r="F14" s="373"/>
      <c r="G14" s="192"/>
      <c r="H14" s="192"/>
      <c r="I14" s="192"/>
      <c r="J14" s="201">
        <f>0.00125*D14</f>
        <v>0</v>
      </c>
      <c r="K14" s="541">
        <f>IF(F14&lt;2,F$4,G14-(1.12*D14*0.001)-F$5)</f>
        <v>0.3</v>
      </c>
      <c r="L14" s="165">
        <f>(F14=2.1)*IF(G14&lt;3.1,J14+3*S$6,J14+0.6+2*S$6+G14*0.05)+(F14=2.2)*IF(G14&lt;3.1,J14+1.5*S$6+P$7/2,J14+0.3+S$6+G14*0.025)</f>
        <v>0</v>
      </c>
      <c r="M14" s="201">
        <f>(F14=1.1)*IF((J14+2*P$9)&lt;F$3,F$3,J14+2*P$9)+(F14=1.2)*(J14+P$9+P$7/2)+(F14=2.1)*IF(L14&lt;F$3,F$3,L14)+(F14=2.2)*L14</f>
        <v>0</v>
      </c>
      <c r="N14" s="542">
        <f>P$3</f>
        <v>100</v>
      </c>
      <c r="O14" s="543">
        <f t="shared" ref="O14:O54" si="0">F$6+HLOOKUP(G14,J$86:U$87,2)*F$7</f>
        <v>9000</v>
      </c>
      <c r="P14" s="201">
        <f>(M14*G14+(G14&gt;1.219)*(F14=1.1)*(G14-1.22)^2*P$6+(F14=1.2)*(G14-1.22)^2/2*P$6)*(C14&gt;0)</f>
        <v>0</v>
      </c>
      <c r="Q14" s="201">
        <f t="shared" ref="Q14:Q54" si="1">IF(C14=0,0,IF(TRUNC(F14)=1,HLOOKUP(G14,C$80:AC$81,2),HLOOKUP(G14,C$82:AC$83,2))*N14/100/IF((F14-TRUNC(F14))=0.2,P14*2,P14))</f>
        <v>0</v>
      </c>
      <c r="R14" s="201">
        <f>IF(Q14&gt;F$8,F$8,Q14)*((F14=1.1)*1+(F14=1.2)*0.95+(F14=2.1)*0.95+(F14=2.2)*1)</f>
        <v>0</v>
      </c>
      <c r="S14" s="541">
        <f>IF(C14=0,0,IF(OR(F14=1.2,F14=2.2),O14/R14/2,O14/R14))</f>
        <v>0</v>
      </c>
      <c r="T14" s="541" t="e" vm="1">
        <f>IF(TRUNC(E14)&gt;1,HLOOKUP(D14,C$86:I$87,2),IF(D14&lt;=980,HLOOKUP(D14+10*(E14-1),B$74:AG$75,2),HLOOKUP(D14+10*(E14-1),B$76:AG$77,2)))</f>
        <v>#VALUE!</v>
      </c>
      <c r="U14" s="201">
        <f>(IF(C14=0,0,IF(TRUNC(E14)=1,T14*C14*V$5,T14*C14*V$3)))*IF(P$4=1,1,1/3.28)</f>
        <v>0</v>
      </c>
      <c r="V14" s="374">
        <f>((M14*0.6*J14+0.005)-PI()*J14^2/8)*C14*2*I$4*IF(P$4=1,1,1/3.28)</f>
        <v>0</v>
      </c>
      <c r="W14" s="201">
        <f>(((0.5*J14+K14)*M14)-(PI()*J14^2/8))*C14*2*I$6*IF(P$4=1,1,1/3.28)</f>
        <v>0</v>
      </c>
      <c r="X14" s="201">
        <f>H14+U14+V14+W14</f>
        <v>0</v>
      </c>
      <c r="Y14" s="201">
        <f>I14+S14*C14*IF(P$4=1,1,1/3.28)</f>
        <v>0</v>
      </c>
      <c r="Z14" s="201">
        <f>((V14/I$4+W14/I$6)/2+PI()*J14^2/4*C14*IF(P$4=1,1,1/3.28))*I$7</f>
        <v>0</v>
      </c>
      <c r="AA14" s="201">
        <f>ROUND(IF(C14=0,0,(X14+Y14+Z14)/C14),2)</f>
        <v>0</v>
      </c>
      <c r="AB14" s="375">
        <f>X14+Y14+Z14</f>
        <v>0</v>
      </c>
      <c r="AC14" s="202">
        <f>P14*C14*IF(P$4=1,1,1/3.28)</f>
        <v>0</v>
      </c>
      <c r="AD14" s="376">
        <f>IF(C14=0,0,C14/((F14-TRUNC(F14))*10)*IF(P$4=1,1,1/3.28))</f>
        <v>0</v>
      </c>
      <c r="AE14" s="549">
        <f>AB14*$P$5</f>
        <v>0</v>
      </c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</row>
    <row r="15" spans="1:72" s="377" customFormat="1">
      <c r="A15" s="192">
        <v>2</v>
      </c>
      <c r="B15" s="192"/>
      <c r="C15" s="192"/>
      <c r="D15" s="192"/>
      <c r="E15" s="373"/>
      <c r="F15" s="373"/>
      <c r="G15" s="192"/>
      <c r="H15" s="192"/>
      <c r="I15" s="192"/>
      <c r="J15" s="201">
        <f t="shared" ref="J15:J54" si="2">0.00125*D15</f>
        <v>0</v>
      </c>
      <c r="K15" s="541">
        <f t="shared" ref="K15:K54" si="3">IF(F15&lt;2,F$4,G15-(1.12*D15*0.001)-F$5)</f>
        <v>0.3</v>
      </c>
      <c r="L15" s="165">
        <f t="shared" ref="L15:L54" si="4">(F15=2.1)*IF(G15&lt;3.1,J15+3*S$6,J15+0.6+2*S$6+G15*0.05)+(F15=2.2)*IF(G15&lt;3.1,J15+1.5*S$6+P$7/2,J15+0.3+S$6+G15*0.025)</f>
        <v>0</v>
      </c>
      <c r="M15" s="201">
        <f t="shared" ref="M15:M54" si="5">(F15=1.1)*IF((J15+2*P$9)&lt;F$3,F$3,J15+2*P$9)+(F15=1.2)*(J15+P$9+P$7/2)+(F15=2.1)*IF(L15&lt;F$3,F$3,L15)+(F15=2.2)*L15</f>
        <v>0</v>
      </c>
      <c r="N15" s="542">
        <f t="shared" ref="N15:N54" si="6">P$3</f>
        <v>100</v>
      </c>
      <c r="O15" s="543">
        <f t="shared" si="0"/>
        <v>9000</v>
      </c>
      <c r="P15" s="201">
        <f t="shared" ref="P15:P54" si="7">(M15*G15+(G15&gt;1.219)*(F15=1.1)*(G15-1.22)^2*P$6+(F15=1.2)*(G15-1.22)^2/2*P$6)*(C15&gt;0)</f>
        <v>0</v>
      </c>
      <c r="Q15" s="201">
        <f t="shared" si="1"/>
        <v>0</v>
      </c>
      <c r="R15" s="201">
        <f t="shared" ref="R15:R54" si="8">IF(Q15&gt;F$8,F$8,Q15)*((F15=1.1)*1+(F15=1.2)*0.95+(F15=2.1)*0.95+(F15=2.2)*1)</f>
        <v>0</v>
      </c>
      <c r="S15" s="541">
        <f t="shared" ref="S15:S54" si="9">IF(C15=0,0,IF(OR(F15=1.2,F15=2.2),O15/R15/2,O15/R15))</f>
        <v>0</v>
      </c>
      <c r="T15" s="541" t="e" vm="1">
        <f t="shared" ref="T15:T54" si="10">IF(TRUNC(E15)&gt;1,HLOOKUP(D15,C$86:I$87,2),IF(D15&lt;=980,HLOOKUP(D15+10*(E15-1),B$74:AG$75,2),HLOOKUP(D15+10*(E15-1),B$76:AG$77,2)))</f>
        <v>#VALUE!</v>
      </c>
      <c r="U15" s="201">
        <f t="shared" ref="U15:U54" si="11">(IF(C15=0,0,IF(TRUNC(E15)=1,T15*C15*V$5,T15*C15*V$3)))*IF(P$4=1,1,1/3.28)</f>
        <v>0</v>
      </c>
      <c r="V15" s="374">
        <f t="shared" ref="V15:V54" si="12">((M15*0.6*J15+0.005)-PI()*J15^2/8)*C15*2*I$4*IF(P$4=1,1,1/3.28)</f>
        <v>0</v>
      </c>
      <c r="W15" s="201">
        <f t="shared" ref="W15:W54" si="13">(((0.5*J15+K15)*M15)-(PI()*J15^2/8))*C15*2*I$6*IF(P$4=1,1,1/3.28)</f>
        <v>0</v>
      </c>
      <c r="X15" s="201">
        <f t="shared" ref="X15:X54" si="14">H15+U15+V15+W15</f>
        <v>0</v>
      </c>
      <c r="Y15" s="201">
        <f t="shared" ref="Y15:Y54" si="15">I15+S15*C15*IF(P$4=1,1,1/3.28)</f>
        <v>0</v>
      </c>
      <c r="Z15" s="201">
        <f t="shared" ref="Z15:Z54" si="16">((V15/I$4+W15/I$6)/2+PI()*J15^2/4*C15*IF(P$4=1,1,1/3.28))*I$7</f>
        <v>0</v>
      </c>
      <c r="AA15" s="201">
        <f t="shared" ref="AA15:AA54" si="17">ROUND(IF(C15=0,0,(X15+Y15+Z15)/C15),2)</f>
        <v>0</v>
      </c>
      <c r="AB15" s="375">
        <f t="shared" ref="AB15:AB54" si="18">X15+Y15+Z15</f>
        <v>0</v>
      </c>
      <c r="AC15" s="202">
        <f t="shared" ref="AC15:AC54" si="19">P15*C15*IF(P$4=1,1,1/3.28)</f>
        <v>0</v>
      </c>
      <c r="AD15" s="376">
        <f t="shared" ref="AD15:AD54" si="20">IF(C15=0,0,C15/((F15-TRUNC(F15))*10)*IF(P$4=1,1,1/3.28))</f>
        <v>0</v>
      </c>
      <c r="AE15" s="549">
        <f t="shared" ref="AE15:AE54" si="21">AB15*$P$5</f>
        <v>0</v>
      </c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</row>
    <row r="16" spans="1:72" s="377" customFormat="1">
      <c r="A16" s="192">
        <v>3</v>
      </c>
      <c r="B16" s="192"/>
      <c r="C16" s="192"/>
      <c r="D16" s="192"/>
      <c r="E16" s="373"/>
      <c r="F16" s="373"/>
      <c r="G16" s="192"/>
      <c r="H16" s="192"/>
      <c r="I16" s="192"/>
      <c r="J16" s="201">
        <f t="shared" si="2"/>
        <v>0</v>
      </c>
      <c r="K16" s="541">
        <f t="shared" si="3"/>
        <v>0.3</v>
      </c>
      <c r="L16" s="165">
        <f t="shared" si="4"/>
        <v>0</v>
      </c>
      <c r="M16" s="201">
        <f t="shared" si="5"/>
        <v>0</v>
      </c>
      <c r="N16" s="542">
        <f t="shared" si="6"/>
        <v>100</v>
      </c>
      <c r="O16" s="543">
        <f t="shared" si="0"/>
        <v>9000</v>
      </c>
      <c r="P16" s="201">
        <f t="shared" si="7"/>
        <v>0</v>
      </c>
      <c r="Q16" s="201">
        <f t="shared" si="1"/>
        <v>0</v>
      </c>
      <c r="R16" s="201">
        <f t="shared" si="8"/>
        <v>0</v>
      </c>
      <c r="S16" s="541">
        <f t="shared" si="9"/>
        <v>0</v>
      </c>
      <c r="T16" s="541" t="e" vm="1">
        <f t="shared" si="10"/>
        <v>#VALUE!</v>
      </c>
      <c r="U16" s="201">
        <f t="shared" si="11"/>
        <v>0</v>
      </c>
      <c r="V16" s="374">
        <f t="shared" si="12"/>
        <v>0</v>
      </c>
      <c r="W16" s="201">
        <f t="shared" si="13"/>
        <v>0</v>
      </c>
      <c r="X16" s="201">
        <f t="shared" si="14"/>
        <v>0</v>
      </c>
      <c r="Y16" s="201">
        <f t="shared" si="15"/>
        <v>0</v>
      </c>
      <c r="Z16" s="201">
        <f t="shared" si="16"/>
        <v>0</v>
      </c>
      <c r="AA16" s="201">
        <f t="shared" si="17"/>
        <v>0</v>
      </c>
      <c r="AB16" s="375">
        <f t="shared" si="18"/>
        <v>0</v>
      </c>
      <c r="AC16" s="202">
        <f t="shared" si="19"/>
        <v>0</v>
      </c>
      <c r="AD16" s="376">
        <f t="shared" si="20"/>
        <v>0</v>
      </c>
      <c r="AE16" s="549">
        <f t="shared" si="21"/>
        <v>0</v>
      </c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</row>
    <row r="17" spans="1:72" s="377" customFormat="1">
      <c r="A17" s="192">
        <v>4</v>
      </c>
      <c r="B17" s="192"/>
      <c r="C17" s="192"/>
      <c r="D17" s="192"/>
      <c r="E17" s="373"/>
      <c r="F17" s="373"/>
      <c r="G17" s="192"/>
      <c r="H17" s="192"/>
      <c r="I17" s="192"/>
      <c r="J17" s="201">
        <f t="shared" si="2"/>
        <v>0</v>
      </c>
      <c r="K17" s="541">
        <f t="shared" si="3"/>
        <v>0.3</v>
      </c>
      <c r="L17" s="165">
        <f t="shared" si="4"/>
        <v>0</v>
      </c>
      <c r="M17" s="201">
        <f t="shared" si="5"/>
        <v>0</v>
      </c>
      <c r="N17" s="542">
        <f t="shared" si="6"/>
        <v>100</v>
      </c>
      <c r="O17" s="543">
        <f t="shared" si="0"/>
        <v>9000</v>
      </c>
      <c r="P17" s="201">
        <f t="shared" si="7"/>
        <v>0</v>
      </c>
      <c r="Q17" s="201">
        <f t="shared" si="1"/>
        <v>0</v>
      </c>
      <c r="R17" s="201">
        <f t="shared" si="8"/>
        <v>0</v>
      </c>
      <c r="S17" s="541">
        <f t="shared" si="9"/>
        <v>0</v>
      </c>
      <c r="T17" s="541" t="e" vm="1">
        <f t="shared" si="10"/>
        <v>#VALUE!</v>
      </c>
      <c r="U17" s="201">
        <f t="shared" si="11"/>
        <v>0</v>
      </c>
      <c r="V17" s="374">
        <f t="shared" si="12"/>
        <v>0</v>
      </c>
      <c r="W17" s="201">
        <f t="shared" si="13"/>
        <v>0</v>
      </c>
      <c r="X17" s="201">
        <f t="shared" si="14"/>
        <v>0</v>
      </c>
      <c r="Y17" s="201">
        <f t="shared" si="15"/>
        <v>0</v>
      </c>
      <c r="Z17" s="201">
        <f t="shared" si="16"/>
        <v>0</v>
      </c>
      <c r="AA17" s="201">
        <f t="shared" si="17"/>
        <v>0</v>
      </c>
      <c r="AB17" s="375">
        <f t="shared" si="18"/>
        <v>0</v>
      </c>
      <c r="AC17" s="202">
        <f t="shared" si="19"/>
        <v>0</v>
      </c>
      <c r="AD17" s="376">
        <f t="shared" si="20"/>
        <v>0</v>
      </c>
      <c r="AE17" s="549">
        <f t="shared" si="21"/>
        <v>0</v>
      </c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</row>
    <row r="18" spans="1:72" s="377" customFormat="1">
      <c r="A18" s="192">
        <v>5</v>
      </c>
      <c r="B18" s="192"/>
      <c r="C18" s="192"/>
      <c r="D18" s="192"/>
      <c r="E18" s="373"/>
      <c r="F18" s="373"/>
      <c r="G18" s="192"/>
      <c r="H18" s="192"/>
      <c r="I18" s="192"/>
      <c r="J18" s="201">
        <f t="shared" si="2"/>
        <v>0</v>
      </c>
      <c r="K18" s="541">
        <f t="shared" si="3"/>
        <v>0.3</v>
      </c>
      <c r="L18" s="165">
        <f t="shared" si="4"/>
        <v>0</v>
      </c>
      <c r="M18" s="201">
        <f t="shared" si="5"/>
        <v>0</v>
      </c>
      <c r="N18" s="542">
        <f t="shared" si="6"/>
        <v>100</v>
      </c>
      <c r="O18" s="543">
        <f t="shared" si="0"/>
        <v>9000</v>
      </c>
      <c r="P18" s="201">
        <f t="shared" si="7"/>
        <v>0</v>
      </c>
      <c r="Q18" s="201">
        <f t="shared" si="1"/>
        <v>0</v>
      </c>
      <c r="R18" s="201">
        <f t="shared" si="8"/>
        <v>0</v>
      </c>
      <c r="S18" s="541">
        <f t="shared" si="9"/>
        <v>0</v>
      </c>
      <c r="T18" s="541" t="e" vm="1">
        <f t="shared" si="10"/>
        <v>#VALUE!</v>
      </c>
      <c r="U18" s="201">
        <f t="shared" si="11"/>
        <v>0</v>
      </c>
      <c r="V18" s="374">
        <f t="shared" si="12"/>
        <v>0</v>
      </c>
      <c r="W18" s="201">
        <f t="shared" si="13"/>
        <v>0</v>
      </c>
      <c r="X18" s="201">
        <f t="shared" si="14"/>
        <v>0</v>
      </c>
      <c r="Y18" s="201">
        <f t="shared" si="15"/>
        <v>0</v>
      </c>
      <c r="Z18" s="201">
        <f t="shared" si="16"/>
        <v>0</v>
      </c>
      <c r="AA18" s="201">
        <f t="shared" si="17"/>
        <v>0</v>
      </c>
      <c r="AB18" s="375">
        <f t="shared" si="18"/>
        <v>0</v>
      </c>
      <c r="AC18" s="202">
        <f t="shared" si="19"/>
        <v>0</v>
      </c>
      <c r="AD18" s="376">
        <f t="shared" si="20"/>
        <v>0</v>
      </c>
      <c r="AE18" s="549">
        <f t="shared" si="21"/>
        <v>0</v>
      </c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</row>
    <row r="19" spans="1:72" s="377" customFormat="1">
      <c r="A19" s="192">
        <v>6</v>
      </c>
      <c r="B19" s="192"/>
      <c r="C19" s="192"/>
      <c r="D19" s="192"/>
      <c r="E19" s="373"/>
      <c r="F19" s="373"/>
      <c r="G19" s="192"/>
      <c r="H19" s="192"/>
      <c r="I19" s="192"/>
      <c r="J19" s="201">
        <f t="shared" si="2"/>
        <v>0</v>
      </c>
      <c r="K19" s="541">
        <f t="shared" si="3"/>
        <v>0.3</v>
      </c>
      <c r="L19" s="165">
        <f t="shared" si="4"/>
        <v>0</v>
      </c>
      <c r="M19" s="201">
        <f t="shared" si="5"/>
        <v>0</v>
      </c>
      <c r="N19" s="542">
        <f t="shared" si="6"/>
        <v>100</v>
      </c>
      <c r="O19" s="543">
        <f t="shared" si="0"/>
        <v>9000</v>
      </c>
      <c r="P19" s="201">
        <f t="shared" si="7"/>
        <v>0</v>
      </c>
      <c r="Q19" s="201">
        <f t="shared" si="1"/>
        <v>0</v>
      </c>
      <c r="R19" s="201">
        <f t="shared" si="8"/>
        <v>0</v>
      </c>
      <c r="S19" s="541">
        <f t="shared" si="9"/>
        <v>0</v>
      </c>
      <c r="T19" s="541" t="e" vm="1">
        <f t="shared" si="10"/>
        <v>#VALUE!</v>
      </c>
      <c r="U19" s="201">
        <f t="shared" si="11"/>
        <v>0</v>
      </c>
      <c r="V19" s="374">
        <f t="shared" si="12"/>
        <v>0</v>
      </c>
      <c r="W19" s="201">
        <f t="shared" si="13"/>
        <v>0</v>
      </c>
      <c r="X19" s="201">
        <f t="shared" si="14"/>
        <v>0</v>
      </c>
      <c r="Y19" s="201">
        <f t="shared" si="15"/>
        <v>0</v>
      </c>
      <c r="Z19" s="201">
        <f t="shared" si="16"/>
        <v>0</v>
      </c>
      <c r="AA19" s="201">
        <f t="shared" si="17"/>
        <v>0</v>
      </c>
      <c r="AB19" s="375">
        <f t="shared" si="18"/>
        <v>0</v>
      </c>
      <c r="AC19" s="202">
        <f t="shared" si="19"/>
        <v>0</v>
      </c>
      <c r="AD19" s="376">
        <f t="shared" si="20"/>
        <v>0</v>
      </c>
      <c r="AE19" s="549">
        <f t="shared" si="21"/>
        <v>0</v>
      </c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</row>
    <row r="20" spans="1:72" s="377" customFormat="1">
      <c r="A20" s="192">
        <v>7</v>
      </c>
      <c r="B20" s="192"/>
      <c r="C20" s="192"/>
      <c r="D20" s="192"/>
      <c r="E20" s="373"/>
      <c r="F20" s="373"/>
      <c r="G20" s="192"/>
      <c r="H20" s="192"/>
      <c r="I20" s="192"/>
      <c r="J20" s="201">
        <f t="shared" si="2"/>
        <v>0</v>
      </c>
      <c r="K20" s="541">
        <f t="shared" si="3"/>
        <v>0.3</v>
      </c>
      <c r="L20" s="165">
        <f t="shared" si="4"/>
        <v>0</v>
      </c>
      <c r="M20" s="201">
        <f t="shared" si="5"/>
        <v>0</v>
      </c>
      <c r="N20" s="542">
        <f t="shared" si="6"/>
        <v>100</v>
      </c>
      <c r="O20" s="543">
        <f t="shared" si="0"/>
        <v>9000</v>
      </c>
      <c r="P20" s="201">
        <f t="shared" si="7"/>
        <v>0</v>
      </c>
      <c r="Q20" s="201">
        <f t="shared" si="1"/>
        <v>0</v>
      </c>
      <c r="R20" s="201">
        <f t="shared" si="8"/>
        <v>0</v>
      </c>
      <c r="S20" s="541">
        <f t="shared" si="9"/>
        <v>0</v>
      </c>
      <c r="T20" s="541" t="e" vm="1">
        <f t="shared" si="10"/>
        <v>#VALUE!</v>
      </c>
      <c r="U20" s="201">
        <f t="shared" si="11"/>
        <v>0</v>
      </c>
      <c r="V20" s="374">
        <f t="shared" si="12"/>
        <v>0</v>
      </c>
      <c r="W20" s="201">
        <f t="shared" si="13"/>
        <v>0</v>
      </c>
      <c r="X20" s="201">
        <f t="shared" si="14"/>
        <v>0</v>
      </c>
      <c r="Y20" s="201">
        <f t="shared" si="15"/>
        <v>0</v>
      </c>
      <c r="Z20" s="201">
        <f t="shared" si="16"/>
        <v>0</v>
      </c>
      <c r="AA20" s="201">
        <f t="shared" si="17"/>
        <v>0</v>
      </c>
      <c r="AB20" s="375">
        <f t="shared" si="18"/>
        <v>0</v>
      </c>
      <c r="AC20" s="202">
        <f t="shared" si="19"/>
        <v>0</v>
      </c>
      <c r="AD20" s="376">
        <f t="shared" si="20"/>
        <v>0</v>
      </c>
      <c r="AE20" s="549">
        <f t="shared" si="21"/>
        <v>0</v>
      </c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</row>
    <row r="21" spans="1:72" s="377" customFormat="1">
      <c r="A21" s="192">
        <v>8</v>
      </c>
      <c r="B21" s="192"/>
      <c r="C21" s="192"/>
      <c r="D21" s="192"/>
      <c r="E21" s="373"/>
      <c r="F21" s="373"/>
      <c r="G21" s="192"/>
      <c r="H21" s="192"/>
      <c r="I21" s="192"/>
      <c r="J21" s="201">
        <f t="shared" si="2"/>
        <v>0</v>
      </c>
      <c r="K21" s="541">
        <f t="shared" si="3"/>
        <v>0.3</v>
      </c>
      <c r="L21" s="165">
        <f t="shared" si="4"/>
        <v>0</v>
      </c>
      <c r="M21" s="201">
        <f t="shared" si="5"/>
        <v>0</v>
      </c>
      <c r="N21" s="542">
        <f t="shared" si="6"/>
        <v>100</v>
      </c>
      <c r="O21" s="543">
        <f t="shared" si="0"/>
        <v>9000</v>
      </c>
      <c r="P21" s="201">
        <f t="shared" si="7"/>
        <v>0</v>
      </c>
      <c r="Q21" s="201">
        <f t="shared" si="1"/>
        <v>0</v>
      </c>
      <c r="R21" s="201">
        <f t="shared" si="8"/>
        <v>0</v>
      </c>
      <c r="S21" s="541">
        <f t="shared" si="9"/>
        <v>0</v>
      </c>
      <c r="T21" s="541" t="e" vm="1">
        <f t="shared" si="10"/>
        <v>#VALUE!</v>
      </c>
      <c r="U21" s="201">
        <f t="shared" si="11"/>
        <v>0</v>
      </c>
      <c r="V21" s="374">
        <f t="shared" si="12"/>
        <v>0</v>
      </c>
      <c r="W21" s="201">
        <f t="shared" si="13"/>
        <v>0</v>
      </c>
      <c r="X21" s="201">
        <f t="shared" si="14"/>
        <v>0</v>
      </c>
      <c r="Y21" s="201">
        <f t="shared" si="15"/>
        <v>0</v>
      </c>
      <c r="Z21" s="201">
        <f t="shared" si="16"/>
        <v>0</v>
      </c>
      <c r="AA21" s="201">
        <f t="shared" si="17"/>
        <v>0</v>
      </c>
      <c r="AB21" s="375">
        <f t="shared" si="18"/>
        <v>0</v>
      </c>
      <c r="AC21" s="202">
        <f t="shared" si="19"/>
        <v>0</v>
      </c>
      <c r="AD21" s="376">
        <f t="shared" si="20"/>
        <v>0</v>
      </c>
      <c r="AE21" s="549">
        <f t="shared" si="21"/>
        <v>0</v>
      </c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</row>
    <row r="22" spans="1:72" s="377" customFormat="1">
      <c r="A22" s="192">
        <v>9</v>
      </c>
      <c r="B22" s="192"/>
      <c r="C22" s="192"/>
      <c r="D22" s="192"/>
      <c r="E22" s="373"/>
      <c r="F22" s="373"/>
      <c r="G22" s="192"/>
      <c r="H22" s="192"/>
      <c r="I22" s="192"/>
      <c r="J22" s="201">
        <f t="shared" si="2"/>
        <v>0</v>
      </c>
      <c r="K22" s="541">
        <f t="shared" si="3"/>
        <v>0.3</v>
      </c>
      <c r="L22" s="165">
        <f t="shared" si="4"/>
        <v>0</v>
      </c>
      <c r="M22" s="201">
        <f t="shared" si="5"/>
        <v>0</v>
      </c>
      <c r="N22" s="542">
        <f t="shared" si="6"/>
        <v>100</v>
      </c>
      <c r="O22" s="543">
        <f t="shared" si="0"/>
        <v>9000</v>
      </c>
      <c r="P22" s="201">
        <f t="shared" si="7"/>
        <v>0</v>
      </c>
      <c r="Q22" s="201">
        <f t="shared" si="1"/>
        <v>0</v>
      </c>
      <c r="R22" s="201">
        <f t="shared" si="8"/>
        <v>0</v>
      </c>
      <c r="S22" s="541">
        <f t="shared" si="9"/>
        <v>0</v>
      </c>
      <c r="T22" s="541" t="e" vm="1">
        <f t="shared" si="10"/>
        <v>#VALUE!</v>
      </c>
      <c r="U22" s="201">
        <f t="shared" si="11"/>
        <v>0</v>
      </c>
      <c r="V22" s="374">
        <f t="shared" si="12"/>
        <v>0</v>
      </c>
      <c r="W22" s="201">
        <f t="shared" si="13"/>
        <v>0</v>
      </c>
      <c r="X22" s="201">
        <f t="shared" si="14"/>
        <v>0</v>
      </c>
      <c r="Y22" s="201">
        <f t="shared" si="15"/>
        <v>0</v>
      </c>
      <c r="Z22" s="201">
        <f t="shared" si="16"/>
        <v>0</v>
      </c>
      <c r="AA22" s="201">
        <f t="shared" si="17"/>
        <v>0</v>
      </c>
      <c r="AB22" s="375">
        <f t="shared" si="18"/>
        <v>0</v>
      </c>
      <c r="AC22" s="202">
        <f t="shared" si="19"/>
        <v>0</v>
      </c>
      <c r="AD22" s="376">
        <f t="shared" si="20"/>
        <v>0</v>
      </c>
      <c r="AE22" s="549">
        <f t="shared" si="21"/>
        <v>0</v>
      </c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</row>
    <row r="23" spans="1:72" s="377" customFormat="1">
      <c r="A23" s="192">
        <v>10</v>
      </c>
      <c r="B23" s="192"/>
      <c r="C23" s="192"/>
      <c r="D23" s="192"/>
      <c r="E23" s="373"/>
      <c r="F23" s="373"/>
      <c r="G23" s="192"/>
      <c r="H23" s="192"/>
      <c r="I23" s="192"/>
      <c r="J23" s="201">
        <f t="shared" si="2"/>
        <v>0</v>
      </c>
      <c r="K23" s="541">
        <f t="shared" si="3"/>
        <v>0.3</v>
      </c>
      <c r="L23" s="165">
        <f t="shared" si="4"/>
        <v>0</v>
      </c>
      <c r="M23" s="201">
        <f t="shared" si="5"/>
        <v>0</v>
      </c>
      <c r="N23" s="542">
        <f t="shared" si="6"/>
        <v>100</v>
      </c>
      <c r="O23" s="543">
        <f t="shared" si="0"/>
        <v>9000</v>
      </c>
      <c r="P23" s="201">
        <f t="shared" si="7"/>
        <v>0</v>
      </c>
      <c r="Q23" s="201">
        <f t="shared" si="1"/>
        <v>0</v>
      </c>
      <c r="R23" s="201">
        <f t="shared" si="8"/>
        <v>0</v>
      </c>
      <c r="S23" s="541">
        <f t="shared" si="9"/>
        <v>0</v>
      </c>
      <c r="T23" s="541" t="e" vm="1">
        <f t="shared" si="10"/>
        <v>#VALUE!</v>
      </c>
      <c r="U23" s="201">
        <f t="shared" si="11"/>
        <v>0</v>
      </c>
      <c r="V23" s="374">
        <f t="shared" si="12"/>
        <v>0</v>
      </c>
      <c r="W23" s="201">
        <f t="shared" si="13"/>
        <v>0</v>
      </c>
      <c r="X23" s="201">
        <f t="shared" si="14"/>
        <v>0</v>
      </c>
      <c r="Y23" s="201">
        <f t="shared" si="15"/>
        <v>0</v>
      </c>
      <c r="Z23" s="201">
        <f t="shared" si="16"/>
        <v>0</v>
      </c>
      <c r="AA23" s="201">
        <f t="shared" si="17"/>
        <v>0</v>
      </c>
      <c r="AB23" s="375">
        <f t="shared" si="18"/>
        <v>0</v>
      </c>
      <c r="AC23" s="202">
        <f t="shared" si="19"/>
        <v>0</v>
      </c>
      <c r="AD23" s="376">
        <f t="shared" si="20"/>
        <v>0</v>
      </c>
      <c r="AE23" s="549">
        <f t="shared" si="21"/>
        <v>0</v>
      </c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</row>
    <row r="24" spans="1:72" s="377" customFormat="1">
      <c r="A24" s="192">
        <v>11</v>
      </c>
      <c r="B24" s="192"/>
      <c r="C24" s="192"/>
      <c r="D24" s="192"/>
      <c r="E24" s="373"/>
      <c r="F24" s="373"/>
      <c r="G24" s="192"/>
      <c r="H24" s="192"/>
      <c r="I24" s="192"/>
      <c r="J24" s="201">
        <f t="shared" si="2"/>
        <v>0</v>
      </c>
      <c r="K24" s="541">
        <f t="shared" si="3"/>
        <v>0.3</v>
      </c>
      <c r="L24" s="165">
        <f t="shared" si="4"/>
        <v>0</v>
      </c>
      <c r="M24" s="201">
        <f t="shared" si="5"/>
        <v>0</v>
      </c>
      <c r="N24" s="542">
        <f t="shared" si="6"/>
        <v>100</v>
      </c>
      <c r="O24" s="543">
        <f t="shared" si="0"/>
        <v>9000</v>
      </c>
      <c r="P24" s="201">
        <f t="shared" si="7"/>
        <v>0</v>
      </c>
      <c r="Q24" s="201">
        <f t="shared" si="1"/>
        <v>0</v>
      </c>
      <c r="R24" s="201">
        <f t="shared" si="8"/>
        <v>0</v>
      </c>
      <c r="S24" s="541">
        <f t="shared" si="9"/>
        <v>0</v>
      </c>
      <c r="T24" s="541" t="e" vm="1">
        <f t="shared" si="10"/>
        <v>#VALUE!</v>
      </c>
      <c r="U24" s="201">
        <f t="shared" si="11"/>
        <v>0</v>
      </c>
      <c r="V24" s="374">
        <f t="shared" si="12"/>
        <v>0</v>
      </c>
      <c r="W24" s="201">
        <f t="shared" si="13"/>
        <v>0</v>
      </c>
      <c r="X24" s="201">
        <f t="shared" si="14"/>
        <v>0</v>
      </c>
      <c r="Y24" s="201">
        <f t="shared" si="15"/>
        <v>0</v>
      </c>
      <c r="Z24" s="201">
        <f t="shared" si="16"/>
        <v>0</v>
      </c>
      <c r="AA24" s="201">
        <f t="shared" si="17"/>
        <v>0</v>
      </c>
      <c r="AB24" s="375">
        <f t="shared" si="18"/>
        <v>0</v>
      </c>
      <c r="AC24" s="202">
        <f t="shared" si="19"/>
        <v>0</v>
      </c>
      <c r="AD24" s="376">
        <f t="shared" si="20"/>
        <v>0</v>
      </c>
      <c r="AE24" s="549">
        <f t="shared" si="21"/>
        <v>0</v>
      </c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</row>
    <row r="25" spans="1:72" s="377" customFormat="1">
      <c r="A25" s="192">
        <v>12</v>
      </c>
      <c r="B25" s="192"/>
      <c r="C25" s="192"/>
      <c r="D25" s="192"/>
      <c r="E25" s="373"/>
      <c r="F25" s="373"/>
      <c r="G25" s="192"/>
      <c r="H25" s="192"/>
      <c r="I25" s="192"/>
      <c r="J25" s="201">
        <f t="shared" si="2"/>
        <v>0</v>
      </c>
      <c r="K25" s="541">
        <f t="shared" si="3"/>
        <v>0.3</v>
      </c>
      <c r="L25" s="165">
        <f t="shared" si="4"/>
        <v>0</v>
      </c>
      <c r="M25" s="201">
        <f t="shared" si="5"/>
        <v>0</v>
      </c>
      <c r="N25" s="542">
        <f t="shared" si="6"/>
        <v>100</v>
      </c>
      <c r="O25" s="543">
        <f t="shared" si="0"/>
        <v>9000</v>
      </c>
      <c r="P25" s="201">
        <f t="shared" si="7"/>
        <v>0</v>
      </c>
      <c r="Q25" s="201">
        <f t="shared" si="1"/>
        <v>0</v>
      </c>
      <c r="R25" s="201">
        <f t="shared" si="8"/>
        <v>0</v>
      </c>
      <c r="S25" s="541">
        <f t="shared" si="9"/>
        <v>0</v>
      </c>
      <c r="T25" s="541" t="e" vm="1">
        <f t="shared" si="10"/>
        <v>#VALUE!</v>
      </c>
      <c r="U25" s="201">
        <f t="shared" si="11"/>
        <v>0</v>
      </c>
      <c r="V25" s="374">
        <f t="shared" si="12"/>
        <v>0</v>
      </c>
      <c r="W25" s="201">
        <f t="shared" si="13"/>
        <v>0</v>
      </c>
      <c r="X25" s="201">
        <f t="shared" si="14"/>
        <v>0</v>
      </c>
      <c r="Y25" s="201">
        <f t="shared" si="15"/>
        <v>0</v>
      </c>
      <c r="Z25" s="201">
        <f t="shared" si="16"/>
        <v>0</v>
      </c>
      <c r="AA25" s="201">
        <f t="shared" si="17"/>
        <v>0</v>
      </c>
      <c r="AB25" s="375">
        <f t="shared" si="18"/>
        <v>0</v>
      </c>
      <c r="AC25" s="202">
        <f t="shared" si="19"/>
        <v>0</v>
      </c>
      <c r="AD25" s="376">
        <f t="shared" si="20"/>
        <v>0</v>
      </c>
      <c r="AE25" s="549">
        <f t="shared" si="21"/>
        <v>0</v>
      </c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</row>
    <row r="26" spans="1:72" s="377" customFormat="1">
      <c r="A26" s="192">
        <v>13</v>
      </c>
      <c r="B26" s="192"/>
      <c r="C26" s="192"/>
      <c r="D26" s="192"/>
      <c r="E26" s="373"/>
      <c r="F26" s="373"/>
      <c r="G26" s="192"/>
      <c r="H26" s="192"/>
      <c r="I26" s="192"/>
      <c r="J26" s="201">
        <f t="shared" si="2"/>
        <v>0</v>
      </c>
      <c r="K26" s="541">
        <f t="shared" si="3"/>
        <v>0.3</v>
      </c>
      <c r="L26" s="165">
        <f t="shared" si="4"/>
        <v>0</v>
      </c>
      <c r="M26" s="201">
        <f t="shared" si="5"/>
        <v>0</v>
      </c>
      <c r="N26" s="542">
        <f t="shared" si="6"/>
        <v>100</v>
      </c>
      <c r="O26" s="543">
        <f t="shared" si="0"/>
        <v>9000</v>
      </c>
      <c r="P26" s="201">
        <f t="shared" si="7"/>
        <v>0</v>
      </c>
      <c r="Q26" s="201">
        <f t="shared" si="1"/>
        <v>0</v>
      </c>
      <c r="R26" s="201">
        <f t="shared" si="8"/>
        <v>0</v>
      </c>
      <c r="S26" s="541">
        <f t="shared" si="9"/>
        <v>0</v>
      </c>
      <c r="T26" s="541" t="e" vm="1">
        <f t="shared" si="10"/>
        <v>#VALUE!</v>
      </c>
      <c r="U26" s="201">
        <f t="shared" si="11"/>
        <v>0</v>
      </c>
      <c r="V26" s="374">
        <f t="shared" si="12"/>
        <v>0</v>
      </c>
      <c r="W26" s="201">
        <f t="shared" si="13"/>
        <v>0</v>
      </c>
      <c r="X26" s="201">
        <f t="shared" si="14"/>
        <v>0</v>
      </c>
      <c r="Y26" s="201">
        <f t="shared" si="15"/>
        <v>0</v>
      </c>
      <c r="Z26" s="201">
        <f t="shared" si="16"/>
        <v>0</v>
      </c>
      <c r="AA26" s="201">
        <f t="shared" si="17"/>
        <v>0</v>
      </c>
      <c r="AB26" s="375">
        <f t="shared" si="18"/>
        <v>0</v>
      </c>
      <c r="AC26" s="202">
        <f t="shared" si="19"/>
        <v>0</v>
      </c>
      <c r="AD26" s="376">
        <f t="shared" si="20"/>
        <v>0</v>
      </c>
      <c r="AE26" s="549">
        <f t="shared" si="21"/>
        <v>0</v>
      </c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</row>
    <row r="27" spans="1:72" s="377" customFormat="1">
      <c r="A27" s="192">
        <v>14</v>
      </c>
      <c r="B27" s="192"/>
      <c r="C27" s="192"/>
      <c r="D27" s="192"/>
      <c r="E27" s="373"/>
      <c r="F27" s="373"/>
      <c r="G27" s="192"/>
      <c r="H27" s="192"/>
      <c r="I27" s="192"/>
      <c r="J27" s="201">
        <f t="shared" si="2"/>
        <v>0</v>
      </c>
      <c r="K27" s="541">
        <f t="shared" si="3"/>
        <v>0.3</v>
      </c>
      <c r="L27" s="165">
        <f t="shared" si="4"/>
        <v>0</v>
      </c>
      <c r="M27" s="201">
        <f t="shared" si="5"/>
        <v>0</v>
      </c>
      <c r="N27" s="542">
        <f t="shared" si="6"/>
        <v>100</v>
      </c>
      <c r="O27" s="543">
        <f t="shared" si="0"/>
        <v>9000</v>
      </c>
      <c r="P27" s="201">
        <f t="shared" si="7"/>
        <v>0</v>
      </c>
      <c r="Q27" s="201">
        <f t="shared" si="1"/>
        <v>0</v>
      </c>
      <c r="R27" s="201">
        <f t="shared" si="8"/>
        <v>0</v>
      </c>
      <c r="S27" s="541">
        <f t="shared" si="9"/>
        <v>0</v>
      </c>
      <c r="T27" s="541" t="e" vm="1">
        <f t="shared" si="10"/>
        <v>#VALUE!</v>
      </c>
      <c r="U27" s="201">
        <f t="shared" si="11"/>
        <v>0</v>
      </c>
      <c r="V27" s="374">
        <f t="shared" si="12"/>
        <v>0</v>
      </c>
      <c r="W27" s="201">
        <f t="shared" si="13"/>
        <v>0</v>
      </c>
      <c r="X27" s="201">
        <f t="shared" si="14"/>
        <v>0</v>
      </c>
      <c r="Y27" s="201">
        <f t="shared" si="15"/>
        <v>0</v>
      </c>
      <c r="Z27" s="201">
        <f t="shared" si="16"/>
        <v>0</v>
      </c>
      <c r="AA27" s="201">
        <f t="shared" si="17"/>
        <v>0</v>
      </c>
      <c r="AB27" s="375">
        <f t="shared" si="18"/>
        <v>0</v>
      </c>
      <c r="AC27" s="202">
        <f t="shared" si="19"/>
        <v>0</v>
      </c>
      <c r="AD27" s="376">
        <f t="shared" si="20"/>
        <v>0</v>
      </c>
      <c r="AE27" s="549">
        <f t="shared" si="21"/>
        <v>0</v>
      </c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</row>
    <row r="28" spans="1:72" s="377" customFormat="1">
      <c r="A28" s="192">
        <v>15</v>
      </c>
      <c r="B28" s="192"/>
      <c r="C28" s="192"/>
      <c r="D28" s="192"/>
      <c r="E28" s="373"/>
      <c r="F28" s="373"/>
      <c r="G28" s="192"/>
      <c r="H28" s="192"/>
      <c r="I28" s="192"/>
      <c r="J28" s="201">
        <f t="shared" si="2"/>
        <v>0</v>
      </c>
      <c r="K28" s="541">
        <f t="shared" si="3"/>
        <v>0.3</v>
      </c>
      <c r="L28" s="165">
        <f t="shared" si="4"/>
        <v>0</v>
      </c>
      <c r="M28" s="201">
        <f t="shared" si="5"/>
        <v>0</v>
      </c>
      <c r="N28" s="542">
        <f t="shared" si="6"/>
        <v>100</v>
      </c>
      <c r="O28" s="543">
        <f t="shared" si="0"/>
        <v>9000</v>
      </c>
      <c r="P28" s="201">
        <f t="shared" si="7"/>
        <v>0</v>
      </c>
      <c r="Q28" s="201">
        <f t="shared" si="1"/>
        <v>0</v>
      </c>
      <c r="R28" s="201">
        <f t="shared" si="8"/>
        <v>0</v>
      </c>
      <c r="S28" s="541">
        <f t="shared" si="9"/>
        <v>0</v>
      </c>
      <c r="T28" s="541" t="e" vm="1">
        <f t="shared" si="10"/>
        <v>#VALUE!</v>
      </c>
      <c r="U28" s="201">
        <f t="shared" si="11"/>
        <v>0</v>
      </c>
      <c r="V28" s="374">
        <f t="shared" si="12"/>
        <v>0</v>
      </c>
      <c r="W28" s="201">
        <f t="shared" si="13"/>
        <v>0</v>
      </c>
      <c r="X28" s="201">
        <f t="shared" si="14"/>
        <v>0</v>
      </c>
      <c r="Y28" s="201">
        <f t="shared" si="15"/>
        <v>0</v>
      </c>
      <c r="Z28" s="201">
        <f t="shared" si="16"/>
        <v>0</v>
      </c>
      <c r="AA28" s="201">
        <f t="shared" si="17"/>
        <v>0</v>
      </c>
      <c r="AB28" s="375">
        <f t="shared" si="18"/>
        <v>0</v>
      </c>
      <c r="AC28" s="202">
        <f t="shared" si="19"/>
        <v>0</v>
      </c>
      <c r="AD28" s="376">
        <f t="shared" si="20"/>
        <v>0</v>
      </c>
      <c r="AE28" s="549">
        <f t="shared" si="21"/>
        <v>0</v>
      </c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</row>
    <row r="29" spans="1:72" s="377" customFormat="1">
      <c r="A29" s="192">
        <v>16</v>
      </c>
      <c r="B29" s="192"/>
      <c r="C29" s="192"/>
      <c r="D29" s="192"/>
      <c r="E29" s="373"/>
      <c r="F29" s="373"/>
      <c r="G29" s="192"/>
      <c r="H29" s="192"/>
      <c r="I29" s="192"/>
      <c r="J29" s="201">
        <f t="shared" si="2"/>
        <v>0</v>
      </c>
      <c r="K29" s="541">
        <f t="shared" si="3"/>
        <v>0.3</v>
      </c>
      <c r="L29" s="165">
        <f t="shared" si="4"/>
        <v>0</v>
      </c>
      <c r="M29" s="201">
        <f t="shared" si="5"/>
        <v>0</v>
      </c>
      <c r="N29" s="542">
        <f t="shared" si="6"/>
        <v>100</v>
      </c>
      <c r="O29" s="543">
        <f t="shared" si="0"/>
        <v>9000</v>
      </c>
      <c r="P29" s="201">
        <f t="shared" si="7"/>
        <v>0</v>
      </c>
      <c r="Q29" s="201">
        <f t="shared" si="1"/>
        <v>0</v>
      </c>
      <c r="R29" s="201">
        <f t="shared" si="8"/>
        <v>0</v>
      </c>
      <c r="S29" s="541">
        <f t="shared" si="9"/>
        <v>0</v>
      </c>
      <c r="T29" s="541" t="e" vm="1">
        <f t="shared" si="10"/>
        <v>#VALUE!</v>
      </c>
      <c r="U29" s="201">
        <f t="shared" si="11"/>
        <v>0</v>
      </c>
      <c r="V29" s="374">
        <f t="shared" si="12"/>
        <v>0</v>
      </c>
      <c r="W29" s="201">
        <f t="shared" si="13"/>
        <v>0</v>
      </c>
      <c r="X29" s="201">
        <f t="shared" si="14"/>
        <v>0</v>
      </c>
      <c r="Y29" s="201">
        <f t="shared" si="15"/>
        <v>0</v>
      </c>
      <c r="Z29" s="201">
        <f t="shared" si="16"/>
        <v>0</v>
      </c>
      <c r="AA29" s="201">
        <f t="shared" si="17"/>
        <v>0</v>
      </c>
      <c r="AB29" s="375">
        <f t="shared" si="18"/>
        <v>0</v>
      </c>
      <c r="AC29" s="202">
        <f t="shared" si="19"/>
        <v>0</v>
      </c>
      <c r="AD29" s="376">
        <f t="shared" si="20"/>
        <v>0</v>
      </c>
      <c r="AE29" s="549">
        <f t="shared" si="21"/>
        <v>0</v>
      </c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</row>
    <row r="30" spans="1:72" s="377" customFormat="1">
      <c r="A30" s="192">
        <v>17</v>
      </c>
      <c r="B30" s="192"/>
      <c r="C30" s="192"/>
      <c r="D30" s="192"/>
      <c r="E30" s="373"/>
      <c r="F30" s="373"/>
      <c r="G30" s="192"/>
      <c r="H30" s="192"/>
      <c r="I30" s="192"/>
      <c r="J30" s="201">
        <f t="shared" si="2"/>
        <v>0</v>
      </c>
      <c r="K30" s="541">
        <f t="shared" si="3"/>
        <v>0.3</v>
      </c>
      <c r="L30" s="165">
        <f t="shared" si="4"/>
        <v>0</v>
      </c>
      <c r="M30" s="201">
        <f t="shared" si="5"/>
        <v>0</v>
      </c>
      <c r="N30" s="542">
        <f t="shared" si="6"/>
        <v>100</v>
      </c>
      <c r="O30" s="543">
        <f t="shared" si="0"/>
        <v>9000</v>
      </c>
      <c r="P30" s="201">
        <f t="shared" si="7"/>
        <v>0</v>
      </c>
      <c r="Q30" s="201">
        <f t="shared" si="1"/>
        <v>0</v>
      </c>
      <c r="R30" s="201">
        <f t="shared" si="8"/>
        <v>0</v>
      </c>
      <c r="S30" s="541">
        <f t="shared" si="9"/>
        <v>0</v>
      </c>
      <c r="T30" s="541" t="e" vm="1">
        <f t="shared" si="10"/>
        <v>#VALUE!</v>
      </c>
      <c r="U30" s="201">
        <f t="shared" si="11"/>
        <v>0</v>
      </c>
      <c r="V30" s="374">
        <f t="shared" si="12"/>
        <v>0</v>
      </c>
      <c r="W30" s="201">
        <f t="shared" si="13"/>
        <v>0</v>
      </c>
      <c r="X30" s="201">
        <f t="shared" si="14"/>
        <v>0</v>
      </c>
      <c r="Y30" s="201">
        <f t="shared" si="15"/>
        <v>0</v>
      </c>
      <c r="Z30" s="201">
        <f t="shared" si="16"/>
        <v>0</v>
      </c>
      <c r="AA30" s="201">
        <f t="shared" si="17"/>
        <v>0</v>
      </c>
      <c r="AB30" s="375">
        <f t="shared" si="18"/>
        <v>0</v>
      </c>
      <c r="AC30" s="202">
        <f t="shared" si="19"/>
        <v>0</v>
      </c>
      <c r="AD30" s="376">
        <f t="shared" si="20"/>
        <v>0</v>
      </c>
      <c r="AE30" s="549">
        <f t="shared" si="21"/>
        <v>0</v>
      </c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</row>
    <row r="31" spans="1:72" s="377" customFormat="1">
      <c r="A31" s="192">
        <v>18</v>
      </c>
      <c r="B31" s="192"/>
      <c r="C31" s="192"/>
      <c r="D31" s="192"/>
      <c r="E31" s="373"/>
      <c r="F31" s="373"/>
      <c r="G31" s="192"/>
      <c r="H31" s="192"/>
      <c r="I31" s="192"/>
      <c r="J31" s="201">
        <f t="shared" si="2"/>
        <v>0</v>
      </c>
      <c r="K31" s="541">
        <f t="shared" si="3"/>
        <v>0.3</v>
      </c>
      <c r="L31" s="165">
        <f t="shared" si="4"/>
        <v>0</v>
      </c>
      <c r="M31" s="201">
        <f t="shared" si="5"/>
        <v>0</v>
      </c>
      <c r="N31" s="542">
        <f t="shared" si="6"/>
        <v>100</v>
      </c>
      <c r="O31" s="543">
        <f t="shared" si="0"/>
        <v>9000</v>
      </c>
      <c r="P31" s="201">
        <f t="shared" si="7"/>
        <v>0</v>
      </c>
      <c r="Q31" s="201">
        <f t="shared" si="1"/>
        <v>0</v>
      </c>
      <c r="R31" s="201">
        <f t="shared" si="8"/>
        <v>0</v>
      </c>
      <c r="S31" s="541">
        <f t="shared" si="9"/>
        <v>0</v>
      </c>
      <c r="T31" s="541" t="e" vm="1">
        <f t="shared" si="10"/>
        <v>#VALUE!</v>
      </c>
      <c r="U31" s="201">
        <f t="shared" si="11"/>
        <v>0</v>
      </c>
      <c r="V31" s="374">
        <f t="shared" si="12"/>
        <v>0</v>
      </c>
      <c r="W31" s="201">
        <f t="shared" si="13"/>
        <v>0</v>
      </c>
      <c r="X31" s="201">
        <f t="shared" si="14"/>
        <v>0</v>
      </c>
      <c r="Y31" s="201">
        <f t="shared" si="15"/>
        <v>0</v>
      </c>
      <c r="Z31" s="201">
        <f t="shared" si="16"/>
        <v>0</v>
      </c>
      <c r="AA31" s="201">
        <f t="shared" si="17"/>
        <v>0</v>
      </c>
      <c r="AB31" s="375">
        <f t="shared" si="18"/>
        <v>0</v>
      </c>
      <c r="AC31" s="202">
        <f t="shared" si="19"/>
        <v>0</v>
      </c>
      <c r="AD31" s="376">
        <f t="shared" si="20"/>
        <v>0</v>
      </c>
      <c r="AE31" s="549">
        <f t="shared" si="21"/>
        <v>0</v>
      </c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</row>
    <row r="32" spans="1:72" s="377" customFormat="1">
      <c r="A32" s="192">
        <v>19</v>
      </c>
      <c r="B32" s="192"/>
      <c r="C32" s="192"/>
      <c r="D32" s="192"/>
      <c r="E32" s="373"/>
      <c r="F32" s="373"/>
      <c r="G32" s="192"/>
      <c r="H32" s="192"/>
      <c r="I32" s="192"/>
      <c r="J32" s="201">
        <f t="shared" si="2"/>
        <v>0</v>
      </c>
      <c r="K32" s="541">
        <f t="shared" si="3"/>
        <v>0.3</v>
      </c>
      <c r="L32" s="165">
        <f t="shared" si="4"/>
        <v>0</v>
      </c>
      <c r="M32" s="201">
        <f t="shared" si="5"/>
        <v>0</v>
      </c>
      <c r="N32" s="542">
        <f t="shared" si="6"/>
        <v>100</v>
      </c>
      <c r="O32" s="543">
        <f t="shared" si="0"/>
        <v>9000</v>
      </c>
      <c r="P32" s="201">
        <f t="shared" si="7"/>
        <v>0</v>
      </c>
      <c r="Q32" s="201">
        <f t="shared" si="1"/>
        <v>0</v>
      </c>
      <c r="R32" s="201">
        <f t="shared" si="8"/>
        <v>0</v>
      </c>
      <c r="S32" s="541">
        <f t="shared" si="9"/>
        <v>0</v>
      </c>
      <c r="T32" s="541" t="e" vm="1">
        <f t="shared" si="10"/>
        <v>#VALUE!</v>
      </c>
      <c r="U32" s="201">
        <f t="shared" si="11"/>
        <v>0</v>
      </c>
      <c r="V32" s="374">
        <f t="shared" si="12"/>
        <v>0</v>
      </c>
      <c r="W32" s="201">
        <f t="shared" si="13"/>
        <v>0</v>
      </c>
      <c r="X32" s="201">
        <f t="shared" si="14"/>
        <v>0</v>
      </c>
      <c r="Y32" s="201">
        <f t="shared" si="15"/>
        <v>0</v>
      </c>
      <c r="Z32" s="201">
        <f t="shared" si="16"/>
        <v>0</v>
      </c>
      <c r="AA32" s="201">
        <f t="shared" si="17"/>
        <v>0</v>
      </c>
      <c r="AB32" s="375">
        <f t="shared" si="18"/>
        <v>0</v>
      </c>
      <c r="AC32" s="202">
        <f t="shared" si="19"/>
        <v>0</v>
      </c>
      <c r="AD32" s="376">
        <f t="shared" si="20"/>
        <v>0</v>
      </c>
      <c r="AE32" s="549">
        <f>AB32*$P$5</f>
        <v>0</v>
      </c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</row>
    <row r="33" spans="1:72" s="377" customFormat="1">
      <c r="A33" s="192">
        <v>20</v>
      </c>
      <c r="B33" s="192"/>
      <c r="C33" s="192"/>
      <c r="D33" s="192"/>
      <c r="E33" s="373"/>
      <c r="F33" s="373"/>
      <c r="G33" s="192"/>
      <c r="H33" s="192"/>
      <c r="I33" s="192"/>
      <c r="J33" s="201">
        <f t="shared" si="2"/>
        <v>0</v>
      </c>
      <c r="K33" s="541">
        <f t="shared" si="3"/>
        <v>0.3</v>
      </c>
      <c r="L33" s="165">
        <f t="shared" si="4"/>
        <v>0</v>
      </c>
      <c r="M33" s="201">
        <f t="shared" si="5"/>
        <v>0</v>
      </c>
      <c r="N33" s="542">
        <f t="shared" si="6"/>
        <v>100</v>
      </c>
      <c r="O33" s="543">
        <f t="shared" si="0"/>
        <v>9000</v>
      </c>
      <c r="P33" s="201">
        <f t="shared" si="7"/>
        <v>0</v>
      </c>
      <c r="Q33" s="201">
        <f t="shared" si="1"/>
        <v>0</v>
      </c>
      <c r="R33" s="201">
        <f t="shared" si="8"/>
        <v>0</v>
      </c>
      <c r="S33" s="541">
        <f t="shared" si="9"/>
        <v>0</v>
      </c>
      <c r="T33" s="541" t="e" vm="1">
        <f t="shared" si="10"/>
        <v>#VALUE!</v>
      </c>
      <c r="U33" s="201">
        <f t="shared" si="11"/>
        <v>0</v>
      </c>
      <c r="V33" s="374">
        <f t="shared" si="12"/>
        <v>0</v>
      </c>
      <c r="W33" s="201">
        <f t="shared" si="13"/>
        <v>0</v>
      </c>
      <c r="X33" s="201">
        <f t="shared" si="14"/>
        <v>0</v>
      </c>
      <c r="Y33" s="201">
        <f t="shared" si="15"/>
        <v>0</v>
      </c>
      <c r="Z33" s="201">
        <f t="shared" si="16"/>
        <v>0</v>
      </c>
      <c r="AA33" s="201">
        <f t="shared" si="17"/>
        <v>0</v>
      </c>
      <c r="AB33" s="375">
        <f t="shared" si="18"/>
        <v>0</v>
      </c>
      <c r="AC33" s="202">
        <f t="shared" si="19"/>
        <v>0</v>
      </c>
      <c r="AD33" s="376">
        <f t="shared" si="20"/>
        <v>0</v>
      </c>
      <c r="AE33" s="549">
        <f t="shared" si="21"/>
        <v>0</v>
      </c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</row>
    <row r="34" spans="1:72" s="377" customFormat="1">
      <c r="A34" s="192">
        <v>21</v>
      </c>
      <c r="B34" s="192"/>
      <c r="C34" s="192"/>
      <c r="D34" s="192"/>
      <c r="E34" s="373"/>
      <c r="F34" s="373"/>
      <c r="G34" s="192"/>
      <c r="H34" s="192"/>
      <c r="I34" s="192"/>
      <c r="J34" s="201">
        <f t="shared" si="2"/>
        <v>0</v>
      </c>
      <c r="K34" s="541">
        <f t="shared" si="3"/>
        <v>0.3</v>
      </c>
      <c r="L34" s="165">
        <f t="shared" si="4"/>
        <v>0</v>
      </c>
      <c r="M34" s="201">
        <f t="shared" si="5"/>
        <v>0</v>
      </c>
      <c r="N34" s="542">
        <f t="shared" si="6"/>
        <v>100</v>
      </c>
      <c r="O34" s="543">
        <f t="shared" si="0"/>
        <v>9000</v>
      </c>
      <c r="P34" s="201">
        <f t="shared" si="7"/>
        <v>0</v>
      </c>
      <c r="Q34" s="201">
        <f t="shared" si="1"/>
        <v>0</v>
      </c>
      <c r="R34" s="201">
        <f t="shared" si="8"/>
        <v>0</v>
      </c>
      <c r="S34" s="541">
        <f t="shared" si="9"/>
        <v>0</v>
      </c>
      <c r="T34" s="541" t="e" vm="1">
        <f t="shared" si="10"/>
        <v>#VALUE!</v>
      </c>
      <c r="U34" s="201">
        <f t="shared" si="11"/>
        <v>0</v>
      </c>
      <c r="V34" s="374">
        <f t="shared" si="12"/>
        <v>0</v>
      </c>
      <c r="W34" s="201">
        <f t="shared" si="13"/>
        <v>0</v>
      </c>
      <c r="X34" s="201">
        <f t="shared" si="14"/>
        <v>0</v>
      </c>
      <c r="Y34" s="201">
        <f t="shared" si="15"/>
        <v>0</v>
      </c>
      <c r="Z34" s="201">
        <f t="shared" si="16"/>
        <v>0</v>
      </c>
      <c r="AA34" s="201">
        <f t="shared" si="17"/>
        <v>0</v>
      </c>
      <c r="AB34" s="375">
        <f t="shared" si="18"/>
        <v>0</v>
      </c>
      <c r="AC34" s="202">
        <f t="shared" si="19"/>
        <v>0</v>
      </c>
      <c r="AD34" s="376">
        <f t="shared" si="20"/>
        <v>0</v>
      </c>
      <c r="AE34" s="549">
        <f t="shared" si="21"/>
        <v>0</v>
      </c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</row>
    <row r="35" spans="1:72" s="377" customFormat="1">
      <c r="A35" s="192">
        <v>22</v>
      </c>
      <c r="B35" s="192"/>
      <c r="C35" s="192"/>
      <c r="D35" s="192"/>
      <c r="E35" s="373"/>
      <c r="F35" s="373"/>
      <c r="G35" s="192"/>
      <c r="H35" s="192"/>
      <c r="I35" s="192"/>
      <c r="J35" s="201">
        <f t="shared" si="2"/>
        <v>0</v>
      </c>
      <c r="K35" s="541">
        <f t="shared" si="3"/>
        <v>0.3</v>
      </c>
      <c r="L35" s="165">
        <f t="shared" si="4"/>
        <v>0</v>
      </c>
      <c r="M35" s="201">
        <f t="shared" si="5"/>
        <v>0</v>
      </c>
      <c r="N35" s="542">
        <f t="shared" si="6"/>
        <v>100</v>
      </c>
      <c r="O35" s="543">
        <f t="shared" si="0"/>
        <v>9000</v>
      </c>
      <c r="P35" s="201">
        <f t="shared" si="7"/>
        <v>0</v>
      </c>
      <c r="Q35" s="201">
        <f t="shared" si="1"/>
        <v>0</v>
      </c>
      <c r="R35" s="201">
        <f t="shared" si="8"/>
        <v>0</v>
      </c>
      <c r="S35" s="541">
        <f t="shared" si="9"/>
        <v>0</v>
      </c>
      <c r="T35" s="541" t="e" vm="1">
        <f t="shared" si="10"/>
        <v>#VALUE!</v>
      </c>
      <c r="U35" s="201">
        <f t="shared" si="11"/>
        <v>0</v>
      </c>
      <c r="V35" s="374">
        <f t="shared" si="12"/>
        <v>0</v>
      </c>
      <c r="W35" s="201">
        <f t="shared" si="13"/>
        <v>0</v>
      </c>
      <c r="X35" s="201">
        <f t="shared" si="14"/>
        <v>0</v>
      </c>
      <c r="Y35" s="201">
        <f t="shared" si="15"/>
        <v>0</v>
      </c>
      <c r="Z35" s="201">
        <f t="shared" si="16"/>
        <v>0</v>
      </c>
      <c r="AA35" s="201">
        <f t="shared" si="17"/>
        <v>0</v>
      </c>
      <c r="AB35" s="375">
        <f t="shared" si="18"/>
        <v>0</v>
      </c>
      <c r="AC35" s="202">
        <f t="shared" si="19"/>
        <v>0</v>
      </c>
      <c r="AD35" s="376">
        <f t="shared" si="20"/>
        <v>0</v>
      </c>
      <c r="AE35" s="549">
        <f t="shared" si="21"/>
        <v>0</v>
      </c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</row>
    <row r="36" spans="1:72" s="377" customFormat="1">
      <c r="A36" s="192">
        <v>23</v>
      </c>
      <c r="B36" s="192"/>
      <c r="C36" s="192"/>
      <c r="D36" s="192"/>
      <c r="E36" s="373"/>
      <c r="F36" s="373"/>
      <c r="G36" s="192"/>
      <c r="H36" s="192"/>
      <c r="I36" s="192"/>
      <c r="J36" s="201">
        <f t="shared" si="2"/>
        <v>0</v>
      </c>
      <c r="K36" s="541">
        <f t="shared" si="3"/>
        <v>0.3</v>
      </c>
      <c r="L36" s="165">
        <f t="shared" si="4"/>
        <v>0</v>
      </c>
      <c r="M36" s="201">
        <f t="shared" si="5"/>
        <v>0</v>
      </c>
      <c r="N36" s="542">
        <f t="shared" si="6"/>
        <v>100</v>
      </c>
      <c r="O36" s="543">
        <f t="shared" si="0"/>
        <v>9000</v>
      </c>
      <c r="P36" s="201">
        <f t="shared" si="7"/>
        <v>0</v>
      </c>
      <c r="Q36" s="201">
        <f t="shared" si="1"/>
        <v>0</v>
      </c>
      <c r="R36" s="201">
        <f t="shared" si="8"/>
        <v>0</v>
      </c>
      <c r="S36" s="541">
        <f t="shared" si="9"/>
        <v>0</v>
      </c>
      <c r="T36" s="541" t="e" vm="1">
        <f t="shared" si="10"/>
        <v>#VALUE!</v>
      </c>
      <c r="U36" s="201">
        <f t="shared" si="11"/>
        <v>0</v>
      </c>
      <c r="V36" s="374">
        <f t="shared" si="12"/>
        <v>0</v>
      </c>
      <c r="W36" s="201">
        <f t="shared" si="13"/>
        <v>0</v>
      </c>
      <c r="X36" s="201">
        <f t="shared" si="14"/>
        <v>0</v>
      </c>
      <c r="Y36" s="201">
        <f t="shared" si="15"/>
        <v>0</v>
      </c>
      <c r="Z36" s="201">
        <f t="shared" si="16"/>
        <v>0</v>
      </c>
      <c r="AA36" s="201">
        <f t="shared" si="17"/>
        <v>0</v>
      </c>
      <c r="AB36" s="375">
        <f t="shared" si="18"/>
        <v>0</v>
      </c>
      <c r="AC36" s="202">
        <f t="shared" si="19"/>
        <v>0</v>
      </c>
      <c r="AD36" s="376">
        <f t="shared" si="20"/>
        <v>0</v>
      </c>
      <c r="AE36" s="549">
        <f t="shared" si="21"/>
        <v>0</v>
      </c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</row>
    <row r="37" spans="1:72" s="377" customFormat="1">
      <c r="A37" s="192">
        <v>24</v>
      </c>
      <c r="B37" s="192"/>
      <c r="C37" s="192"/>
      <c r="D37" s="192"/>
      <c r="E37" s="373"/>
      <c r="F37" s="373"/>
      <c r="G37" s="192"/>
      <c r="H37" s="192"/>
      <c r="I37" s="192"/>
      <c r="J37" s="201">
        <f t="shared" si="2"/>
        <v>0</v>
      </c>
      <c r="K37" s="541">
        <f t="shared" si="3"/>
        <v>0.3</v>
      </c>
      <c r="L37" s="165">
        <f t="shared" si="4"/>
        <v>0</v>
      </c>
      <c r="M37" s="201">
        <f t="shared" si="5"/>
        <v>0</v>
      </c>
      <c r="N37" s="542">
        <f t="shared" si="6"/>
        <v>100</v>
      </c>
      <c r="O37" s="543">
        <f t="shared" si="0"/>
        <v>9000</v>
      </c>
      <c r="P37" s="201">
        <f t="shared" si="7"/>
        <v>0</v>
      </c>
      <c r="Q37" s="201">
        <f t="shared" si="1"/>
        <v>0</v>
      </c>
      <c r="R37" s="201">
        <f t="shared" si="8"/>
        <v>0</v>
      </c>
      <c r="S37" s="541">
        <f t="shared" si="9"/>
        <v>0</v>
      </c>
      <c r="T37" s="541" t="e" vm="1">
        <f t="shared" si="10"/>
        <v>#VALUE!</v>
      </c>
      <c r="U37" s="201">
        <f t="shared" si="11"/>
        <v>0</v>
      </c>
      <c r="V37" s="374">
        <f t="shared" si="12"/>
        <v>0</v>
      </c>
      <c r="W37" s="201">
        <f t="shared" si="13"/>
        <v>0</v>
      </c>
      <c r="X37" s="201">
        <f t="shared" si="14"/>
        <v>0</v>
      </c>
      <c r="Y37" s="201">
        <f t="shared" si="15"/>
        <v>0</v>
      </c>
      <c r="Z37" s="201">
        <f t="shared" si="16"/>
        <v>0</v>
      </c>
      <c r="AA37" s="201">
        <f t="shared" si="17"/>
        <v>0</v>
      </c>
      <c r="AB37" s="375">
        <f t="shared" si="18"/>
        <v>0</v>
      </c>
      <c r="AC37" s="202">
        <f t="shared" si="19"/>
        <v>0</v>
      </c>
      <c r="AD37" s="376">
        <f t="shared" si="20"/>
        <v>0</v>
      </c>
      <c r="AE37" s="549">
        <f t="shared" si="21"/>
        <v>0</v>
      </c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</row>
    <row r="38" spans="1:72" s="377" customFormat="1">
      <c r="A38" s="192">
        <v>25</v>
      </c>
      <c r="B38" s="192"/>
      <c r="C38" s="192"/>
      <c r="D38" s="192"/>
      <c r="E38" s="373"/>
      <c r="F38" s="373"/>
      <c r="G38" s="192"/>
      <c r="H38" s="192"/>
      <c r="I38" s="192"/>
      <c r="J38" s="201">
        <f t="shared" si="2"/>
        <v>0</v>
      </c>
      <c r="K38" s="541">
        <f t="shared" si="3"/>
        <v>0.3</v>
      </c>
      <c r="L38" s="165">
        <f t="shared" si="4"/>
        <v>0</v>
      </c>
      <c r="M38" s="201">
        <f t="shared" si="5"/>
        <v>0</v>
      </c>
      <c r="N38" s="542">
        <f t="shared" si="6"/>
        <v>100</v>
      </c>
      <c r="O38" s="543">
        <f t="shared" si="0"/>
        <v>9000</v>
      </c>
      <c r="P38" s="201">
        <f t="shared" si="7"/>
        <v>0</v>
      </c>
      <c r="Q38" s="201">
        <f t="shared" si="1"/>
        <v>0</v>
      </c>
      <c r="R38" s="201">
        <f t="shared" si="8"/>
        <v>0</v>
      </c>
      <c r="S38" s="541">
        <f t="shared" si="9"/>
        <v>0</v>
      </c>
      <c r="T38" s="541" t="e" vm="1">
        <f t="shared" si="10"/>
        <v>#VALUE!</v>
      </c>
      <c r="U38" s="201">
        <f t="shared" si="11"/>
        <v>0</v>
      </c>
      <c r="V38" s="374">
        <f t="shared" si="12"/>
        <v>0</v>
      </c>
      <c r="W38" s="201">
        <f t="shared" si="13"/>
        <v>0</v>
      </c>
      <c r="X38" s="201">
        <f t="shared" si="14"/>
        <v>0</v>
      </c>
      <c r="Y38" s="201">
        <f t="shared" si="15"/>
        <v>0</v>
      </c>
      <c r="Z38" s="201">
        <f t="shared" si="16"/>
        <v>0</v>
      </c>
      <c r="AA38" s="201">
        <f t="shared" si="17"/>
        <v>0</v>
      </c>
      <c r="AB38" s="375">
        <f t="shared" si="18"/>
        <v>0</v>
      </c>
      <c r="AC38" s="202">
        <f t="shared" si="19"/>
        <v>0</v>
      </c>
      <c r="AD38" s="376">
        <f t="shared" si="20"/>
        <v>0</v>
      </c>
      <c r="AE38" s="549">
        <f t="shared" si="21"/>
        <v>0</v>
      </c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</row>
    <row r="39" spans="1:72" s="377" customFormat="1">
      <c r="A39" s="192">
        <v>26</v>
      </c>
      <c r="B39" s="192"/>
      <c r="C39" s="192"/>
      <c r="D39" s="192"/>
      <c r="E39" s="373"/>
      <c r="F39" s="373"/>
      <c r="G39" s="192"/>
      <c r="H39" s="192"/>
      <c r="I39" s="192"/>
      <c r="J39" s="201">
        <f t="shared" si="2"/>
        <v>0</v>
      </c>
      <c r="K39" s="541">
        <f t="shared" si="3"/>
        <v>0.3</v>
      </c>
      <c r="L39" s="165">
        <f t="shared" si="4"/>
        <v>0</v>
      </c>
      <c r="M39" s="201">
        <f t="shared" si="5"/>
        <v>0</v>
      </c>
      <c r="N39" s="542">
        <f t="shared" si="6"/>
        <v>100</v>
      </c>
      <c r="O39" s="543">
        <f t="shared" si="0"/>
        <v>9000</v>
      </c>
      <c r="P39" s="201">
        <f t="shared" si="7"/>
        <v>0</v>
      </c>
      <c r="Q39" s="201">
        <f t="shared" si="1"/>
        <v>0</v>
      </c>
      <c r="R39" s="201">
        <f t="shared" si="8"/>
        <v>0</v>
      </c>
      <c r="S39" s="541">
        <f t="shared" si="9"/>
        <v>0</v>
      </c>
      <c r="T39" s="541" t="e" vm="1">
        <f t="shared" si="10"/>
        <v>#VALUE!</v>
      </c>
      <c r="U39" s="201">
        <f t="shared" si="11"/>
        <v>0</v>
      </c>
      <c r="V39" s="374">
        <f t="shared" si="12"/>
        <v>0</v>
      </c>
      <c r="W39" s="201">
        <f t="shared" si="13"/>
        <v>0</v>
      </c>
      <c r="X39" s="201">
        <f t="shared" si="14"/>
        <v>0</v>
      </c>
      <c r="Y39" s="201">
        <f t="shared" si="15"/>
        <v>0</v>
      </c>
      <c r="Z39" s="201">
        <f t="shared" si="16"/>
        <v>0</v>
      </c>
      <c r="AA39" s="201">
        <f t="shared" si="17"/>
        <v>0</v>
      </c>
      <c r="AB39" s="375">
        <f t="shared" si="18"/>
        <v>0</v>
      </c>
      <c r="AC39" s="202">
        <f t="shared" si="19"/>
        <v>0</v>
      </c>
      <c r="AD39" s="376">
        <f t="shared" si="20"/>
        <v>0</v>
      </c>
      <c r="AE39" s="549">
        <f t="shared" si="21"/>
        <v>0</v>
      </c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</row>
    <row r="40" spans="1:72" s="377" customFormat="1">
      <c r="A40" s="192">
        <v>27</v>
      </c>
      <c r="B40" s="192"/>
      <c r="C40" s="192"/>
      <c r="D40" s="192"/>
      <c r="E40" s="373"/>
      <c r="F40" s="373"/>
      <c r="G40" s="192"/>
      <c r="H40" s="192"/>
      <c r="I40" s="192"/>
      <c r="J40" s="201">
        <f t="shared" si="2"/>
        <v>0</v>
      </c>
      <c r="K40" s="541">
        <f t="shared" si="3"/>
        <v>0.3</v>
      </c>
      <c r="L40" s="165">
        <f t="shared" si="4"/>
        <v>0</v>
      </c>
      <c r="M40" s="201">
        <f t="shared" si="5"/>
        <v>0</v>
      </c>
      <c r="N40" s="542">
        <f t="shared" si="6"/>
        <v>100</v>
      </c>
      <c r="O40" s="543">
        <f t="shared" si="0"/>
        <v>9000</v>
      </c>
      <c r="P40" s="201">
        <f t="shared" si="7"/>
        <v>0</v>
      </c>
      <c r="Q40" s="201">
        <f t="shared" si="1"/>
        <v>0</v>
      </c>
      <c r="R40" s="201">
        <f t="shared" si="8"/>
        <v>0</v>
      </c>
      <c r="S40" s="541">
        <f t="shared" si="9"/>
        <v>0</v>
      </c>
      <c r="T40" s="541" t="e" vm="1">
        <f t="shared" si="10"/>
        <v>#VALUE!</v>
      </c>
      <c r="U40" s="201">
        <f t="shared" si="11"/>
        <v>0</v>
      </c>
      <c r="V40" s="374">
        <f t="shared" si="12"/>
        <v>0</v>
      </c>
      <c r="W40" s="201">
        <f t="shared" si="13"/>
        <v>0</v>
      </c>
      <c r="X40" s="201">
        <f t="shared" si="14"/>
        <v>0</v>
      </c>
      <c r="Y40" s="201">
        <f t="shared" si="15"/>
        <v>0</v>
      </c>
      <c r="Z40" s="201">
        <f t="shared" si="16"/>
        <v>0</v>
      </c>
      <c r="AA40" s="201">
        <f t="shared" si="17"/>
        <v>0</v>
      </c>
      <c r="AB40" s="375">
        <f t="shared" si="18"/>
        <v>0</v>
      </c>
      <c r="AC40" s="202">
        <f t="shared" si="19"/>
        <v>0</v>
      </c>
      <c r="AD40" s="376">
        <f t="shared" si="20"/>
        <v>0</v>
      </c>
      <c r="AE40" s="549">
        <f>AB40*$P$5</f>
        <v>0</v>
      </c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</row>
    <row r="41" spans="1:72" s="377" customFormat="1">
      <c r="A41" s="192">
        <v>28</v>
      </c>
      <c r="B41" s="192"/>
      <c r="C41" s="192"/>
      <c r="D41" s="192"/>
      <c r="E41" s="373"/>
      <c r="F41" s="373"/>
      <c r="G41" s="192"/>
      <c r="H41" s="192"/>
      <c r="I41" s="192"/>
      <c r="J41" s="201">
        <f t="shared" si="2"/>
        <v>0</v>
      </c>
      <c r="K41" s="541">
        <f t="shared" si="3"/>
        <v>0.3</v>
      </c>
      <c r="L41" s="165">
        <f t="shared" si="4"/>
        <v>0</v>
      </c>
      <c r="M41" s="201">
        <f t="shared" si="5"/>
        <v>0</v>
      </c>
      <c r="N41" s="542">
        <f t="shared" si="6"/>
        <v>100</v>
      </c>
      <c r="O41" s="543">
        <f t="shared" si="0"/>
        <v>9000</v>
      </c>
      <c r="P41" s="201">
        <f t="shared" si="7"/>
        <v>0</v>
      </c>
      <c r="Q41" s="201">
        <f t="shared" si="1"/>
        <v>0</v>
      </c>
      <c r="R41" s="201">
        <f t="shared" si="8"/>
        <v>0</v>
      </c>
      <c r="S41" s="541">
        <f t="shared" si="9"/>
        <v>0</v>
      </c>
      <c r="T41" s="541" t="e" vm="1">
        <f t="shared" si="10"/>
        <v>#VALUE!</v>
      </c>
      <c r="U41" s="201">
        <f t="shared" si="11"/>
        <v>0</v>
      </c>
      <c r="V41" s="374">
        <f t="shared" si="12"/>
        <v>0</v>
      </c>
      <c r="W41" s="201">
        <f t="shared" si="13"/>
        <v>0</v>
      </c>
      <c r="X41" s="201">
        <f t="shared" si="14"/>
        <v>0</v>
      </c>
      <c r="Y41" s="201">
        <f t="shared" si="15"/>
        <v>0</v>
      </c>
      <c r="Z41" s="201">
        <f t="shared" si="16"/>
        <v>0</v>
      </c>
      <c r="AA41" s="201">
        <f t="shared" si="17"/>
        <v>0</v>
      </c>
      <c r="AB41" s="375">
        <f t="shared" si="18"/>
        <v>0</v>
      </c>
      <c r="AC41" s="202">
        <f t="shared" si="19"/>
        <v>0</v>
      </c>
      <c r="AD41" s="376">
        <f t="shared" si="20"/>
        <v>0</v>
      </c>
      <c r="AE41" s="549">
        <f t="shared" si="21"/>
        <v>0</v>
      </c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</row>
    <row r="42" spans="1:72" s="377" customFormat="1">
      <c r="A42" s="192">
        <v>29</v>
      </c>
      <c r="B42" s="192"/>
      <c r="C42" s="192"/>
      <c r="D42" s="192"/>
      <c r="E42" s="373"/>
      <c r="F42" s="373"/>
      <c r="G42" s="192"/>
      <c r="H42" s="192"/>
      <c r="I42" s="192"/>
      <c r="J42" s="201">
        <f t="shared" si="2"/>
        <v>0</v>
      </c>
      <c r="K42" s="541">
        <f t="shared" si="3"/>
        <v>0.3</v>
      </c>
      <c r="L42" s="165">
        <f t="shared" si="4"/>
        <v>0</v>
      </c>
      <c r="M42" s="201">
        <f t="shared" si="5"/>
        <v>0</v>
      </c>
      <c r="N42" s="542">
        <f t="shared" si="6"/>
        <v>100</v>
      </c>
      <c r="O42" s="543">
        <f t="shared" si="0"/>
        <v>9000</v>
      </c>
      <c r="P42" s="201">
        <f t="shared" si="7"/>
        <v>0</v>
      </c>
      <c r="Q42" s="201">
        <f t="shared" si="1"/>
        <v>0</v>
      </c>
      <c r="R42" s="201">
        <f t="shared" si="8"/>
        <v>0</v>
      </c>
      <c r="S42" s="541">
        <f t="shared" si="9"/>
        <v>0</v>
      </c>
      <c r="T42" s="541" t="e" vm="1">
        <f t="shared" si="10"/>
        <v>#VALUE!</v>
      </c>
      <c r="U42" s="201">
        <f t="shared" si="11"/>
        <v>0</v>
      </c>
      <c r="V42" s="374">
        <f t="shared" si="12"/>
        <v>0</v>
      </c>
      <c r="W42" s="201">
        <f t="shared" si="13"/>
        <v>0</v>
      </c>
      <c r="X42" s="201">
        <f t="shared" si="14"/>
        <v>0</v>
      </c>
      <c r="Y42" s="201">
        <f t="shared" si="15"/>
        <v>0</v>
      </c>
      <c r="Z42" s="201">
        <f t="shared" si="16"/>
        <v>0</v>
      </c>
      <c r="AA42" s="201">
        <f t="shared" si="17"/>
        <v>0</v>
      </c>
      <c r="AB42" s="375">
        <f t="shared" si="18"/>
        <v>0</v>
      </c>
      <c r="AC42" s="202">
        <f t="shared" si="19"/>
        <v>0</v>
      </c>
      <c r="AD42" s="376">
        <f t="shared" si="20"/>
        <v>0</v>
      </c>
      <c r="AE42" s="549">
        <f t="shared" si="21"/>
        <v>0</v>
      </c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</row>
    <row r="43" spans="1:72" s="377" customFormat="1">
      <c r="A43" s="192">
        <v>30</v>
      </c>
      <c r="B43" s="192"/>
      <c r="C43" s="192"/>
      <c r="D43" s="192"/>
      <c r="E43" s="373"/>
      <c r="F43" s="373"/>
      <c r="G43" s="192"/>
      <c r="H43" s="192"/>
      <c r="I43" s="192"/>
      <c r="J43" s="201">
        <f t="shared" si="2"/>
        <v>0</v>
      </c>
      <c r="K43" s="541">
        <f t="shared" si="3"/>
        <v>0.3</v>
      </c>
      <c r="L43" s="165">
        <f t="shared" si="4"/>
        <v>0</v>
      </c>
      <c r="M43" s="201">
        <f t="shared" si="5"/>
        <v>0</v>
      </c>
      <c r="N43" s="542">
        <f t="shared" si="6"/>
        <v>100</v>
      </c>
      <c r="O43" s="543">
        <f t="shared" si="0"/>
        <v>9000</v>
      </c>
      <c r="P43" s="201">
        <f t="shared" si="7"/>
        <v>0</v>
      </c>
      <c r="Q43" s="201">
        <f t="shared" si="1"/>
        <v>0</v>
      </c>
      <c r="R43" s="201">
        <f t="shared" si="8"/>
        <v>0</v>
      </c>
      <c r="S43" s="541">
        <f t="shared" si="9"/>
        <v>0</v>
      </c>
      <c r="T43" s="541" t="e" vm="1">
        <f t="shared" si="10"/>
        <v>#VALUE!</v>
      </c>
      <c r="U43" s="201">
        <f t="shared" si="11"/>
        <v>0</v>
      </c>
      <c r="V43" s="374">
        <f t="shared" si="12"/>
        <v>0</v>
      </c>
      <c r="W43" s="201">
        <f t="shared" si="13"/>
        <v>0</v>
      </c>
      <c r="X43" s="201">
        <f t="shared" si="14"/>
        <v>0</v>
      </c>
      <c r="Y43" s="201">
        <f t="shared" si="15"/>
        <v>0</v>
      </c>
      <c r="Z43" s="201">
        <f t="shared" si="16"/>
        <v>0</v>
      </c>
      <c r="AA43" s="201">
        <f t="shared" si="17"/>
        <v>0</v>
      </c>
      <c r="AB43" s="375">
        <f t="shared" si="18"/>
        <v>0</v>
      </c>
      <c r="AC43" s="202">
        <f t="shared" si="19"/>
        <v>0</v>
      </c>
      <c r="AD43" s="376">
        <f t="shared" si="20"/>
        <v>0</v>
      </c>
      <c r="AE43" s="549">
        <f t="shared" si="21"/>
        <v>0</v>
      </c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</row>
    <row r="44" spans="1:72" s="377" customFormat="1">
      <c r="A44" s="192">
        <v>31</v>
      </c>
      <c r="B44" s="192"/>
      <c r="C44" s="192"/>
      <c r="D44" s="192"/>
      <c r="E44" s="373"/>
      <c r="F44" s="373"/>
      <c r="G44" s="192"/>
      <c r="H44" s="192"/>
      <c r="I44" s="192"/>
      <c r="J44" s="201">
        <f t="shared" si="2"/>
        <v>0</v>
      </c>
      <c r="K44" s="541">
        <f t="shared" si="3"/>
        <v>0.3</v>
      </c>
      <c r="L44" s="165">
        <f t="shared" si="4"/>
        <v>0</v>
      </c>
      <c r="M44" s="201">
        <f>(F44=1.1)*IF((J44+2*P$9)&lt;F$3,F$3,J44+2*P$9)+(F44=1.2)*(J44+P$9+P$7/2)+(F44=2.1)*IF(L44&lt;F$3,F$3,L44)+(F44=2.2)*L44</f>
        <v>0</v>
      </c>
      <c r="N44" s="542">
        <f t="shared" si="6"/>
        <v>100</v>
      </c>
      <c r="O44" s="543">
        <f t="shared" si="0"/>
        <v>9000</v>
      </c>
      <c r="P44" s="201">
        <f t="shared" si="7"/>
        <v>0</v>
      </c>
      <c r="Q44" s="201">
        <f t="shared" si="1"/>
        <v>0</v>
      </c>
      <c r="R44" s="201">
        <f t="shared" si="8"/>
        <v>0</v>
      </c>
      <c r="S44" s="541">
        <f t="shared" si="9"/>
        <v>0</v>
      </c>
      <c r="T44" s="541" t="e" vm="1">
        <f t="shared" si="10"/>
        <v>#VALUE!</v>
      </c>
      <c r="U44" s="201">
        <f t="shared" si="11"/>
        <v>0</v>
      </c>
      <c r="V44" s="374">
        <f t="shared" si="12"/>
        <v>0</v>
      </c>
      <c r="W44" s="201">
        <f t="shared" si="13"/>
        <v>0</v>
      </c>
      <c r="X44" s="201">
        <f t="shared" si="14"/>
        <v>0</v>
      </c>
      <c r="Y44" s="201">
        <f t="shared" si="15"/>
        <v>0</v>
      </c>
      <c r="Z44" s="201">
        <f t="shared" si="16"/>
        <v>0</v>
      </c>
      <c r="AA44" s="201">
        <f t="shared" si="17"/>
        <v>0</v>
      </c>
      <c r="AB44" s="375">
        <f t="shared" si="18"/>
        <v>0</v>
      </c>
      <c r="AC44" s="202">
        <f t="shared" si="19"/>
        <v>0</v>
      </c>
      <c r="AD44" s="376">
        <f t="shared" si="20"/>
        <v>0</v>
      </c>
      <c r="AE44" s="549">
        <f t="shared" si="21"/>
        <v>0</v>
      </c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</row>
    <row r="45" spans="1:72" s="377" customFormat="1">
      <c r="A45" s="192">
        <v>32</v>
      </c>
      <c r="B45" s="192"/>
      <c r="C45" s="192"/>
      <c r="D45" s="192"/>
      <c r="E45" s="373"/>
      <c r="F45" s="373"/>
      <c r="G45" s="192"/>
      <c r="H45" s="192"/>
      <c r="I45" s="192"/>
      <c r="J45" s="201">
        <f t="shared" si="2"/>
        <v>0</v>
      </c>
      <c r="K45" s="541">
        <f t="shared" si="3"/>
        <v>0.3</v>
      </c>
      <c r="L45" s="165">
        <f t="shared" si="4"/>
        <v>0</v>
      </c>
      <c r="M45" s="201">
        <f t="shared" si="5"/>
        <v>0</v>
      </c>
      <c r="N45" s="542">
        <f t="shared" si="6"/>
        <v>100</v>
      </c>
      <c r="O45" s="543">
        <f t="shared" si="0"/>
        <v>9000</v>
      </c>
      <c r="P45" s="201">
        <f t="shared" si="7"/>
        <v>0</v>
      </c>
      <c r="Q45" s="201">
        <f t="shared" si="1"/>
        <v>0</v>
      </c>
      <c r="R45" s="201">
        <f t="shared" si="8"/>
        <v>0</v>
      </c>
      <c r="S45" s="541">
        <f t="shared" si="9"/>
        <v>0</v>
      </c>
      <c r="T45" s="541" t="e" vm="1">
        <f t="shared" si="10"/>
        <v>#VALUE!</v>
      </c>
      <c r="U45" s="201">
        <f t="shared" si="11"/>
        <v>0</v>
      </c>
      <c r="V45" s="374">
        <f t="shared" si="12"/>
        <v>0</v>
      </c>
      <c r="W45" s="201">
        <f t="shared" si="13"/>
        <v>0</v>
      </c>
      <c r="X45" s="201">
        <f t="shared" si="14"/>
        <v>0</v>
      </c>
      <c r="Y45" s="201">
        <f t="shared" si="15"/>
        <v>0</v>
      </c>
      <c r="Z45" s="201">
        <f t="shared" si="16"/>
        <v>0</v>
      </c>
      <c r="AA45" s="201">
        <f t="shared" si="17"/>
        <v>0</v>
      </c>
      <c r="AB45" s="375">
        <f t="shared" si="18"/>
        <v>0</v>
      </c>
      <c r="AC45" s="202">
        <f t="shared" si="19"/>
        <v>0</v>
      </c>
      <c r="AD45" s="376">
        <f t="shared" si="20"/>
        <v>0</v>
      </c>
      <c r="AE45" s="549">
        <f t="shared" si="21"/>
        <v>0</v>
      </c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</row>
    <row r="46" spans="1:72" s="377" customFormat="1">
      <c r="A46" s="192">
        <v>33</v>
      </c>
      <c r="B46" s="192"/>
      <c r="C46" s="192"/>
      <c r="D46" s="192"/>
      <c r="E46" s="373"/>
      <c r="F46" s="373"/>
      <c r="G46" s="192"/>
      <c r="H46" s="192"/>
      <c r="I46" s="192"/>
      <c r="J46" s="201">
        <f t="shared" si="2"/>
        <v>0</v>
      </c>
      <c r="K46" s="541">
        <f t="shared" si="3"/>
        <v>0.3</v>
      </c>
      <c r="L46" s="165">
        <f t="shared" si="4"/>
        <v>0</v>
      </c>
      <c r="M46" s="201">
        <f t="shared" si="5"/>
        <v>0</v>
      </c>
      <c r="N46" s="542">
        <f t="shared" si="6"/>
        <v>100</v>
      </c>
      <c r="O46" s="543">
        <f t="shared" si="0"/>
        <v>9000</v>
      </c>
      <c r="P46" s="201">
        <f t="shared" si="7"/>
        <v>0</v>
      </c>
      <c r="Q46" s="201">
        <f t="shared" si="1"/>
        <v>0</v>
      </c>
      <c r="R46" s="201">
        <f t="shared" si="8"/>
        <v>0</v>
      </c>
      <c r="S46" s="541">
        <f t="shared" si="9"/>
        <v>0</v>
      </c>
      <c r="T46" s="541" t="e" vm="1">
        <f t="shared" si="10"/>
        <v>#VALUE!</v>
      </c>
      <c r="U46" s="201">
        <f t="shared" si="11"/>
        <v>0</v>
      </c>
      <c r="V46" s="374">
        <f t="shared" si="12"/>
        <v>0</v>
      </c>
      <c r="W46" s="201">
        <f t="shared" si="13"/>
        <v>0</v>
      </c>
      <c r="X46" s="201">
        <f t="shared" si="14"/>
        <v>0</v>
      </c>
      <c r="Y46" s="201">
        <f t="shared" si="15"/>
        <v>0</v>
      </c>
      <c r="Z46" s="201">
        <f t="shared" si="16"/>
        <v>0</v>
      </c>
      <c r="AA46" s="201">
        <f t="shared" si="17"/>
        <v>0</v>
      </c>
      <c r="AB46" s="375">
        <f t="shared" si="18"/>
        <v>0</v>
      </c>
      <c r="AC46" s="202">
        <f t="shared" si="19"/>
        <v>0</v>
      </c>
      <c r="AD46" s="376">
        <f t="shared" si="20"/>
        <v>0</v>
      </c>
      <c r="AE46" s="549">
        <f t="shared" si="21"/>
        <v>0</v>
      </c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</row>
    <row r="47" spans="1:72" s="377" customFormat="1">
      <c r="A47" s="192">
        <v>34</v>
      </c>
      <c r="B47" s="192"/>
      <c r="C47" s="192"/>
      <c r="D47" s="192"/>
      <c r="E47" s="373"/>
      <c r="F47" s="373"/>
      <c r="G47" s="192"/>
      <c r="H47" s="192"/>
      <c r="I47" s="192"/>
      <c r="J47" s="201">
        <f t="shared" si="2"/>
        <v>0</v>
      </c>
      <c r="K47" s="541">
        <f t="shared" si="3"/>
        <v>0.3</v>
      </c>
      <c r="L47" s="165">
        <f t="shared" si="4"/>
        <v>0</v>
      </c>
      <c r="M47" s="201">
        <f t="shared" si="5"/>
        <v>0</v>
      </c>
      <c r="N47" s="542">
        <f t="shared" si="6"/>
        <v>100</v>
      </c>
      <c r="O47" s="543">
        <f t="shared" si="0"/>
        <v>9000</v>
      </c>
      <c r="P47" s="201">
        <f t="shared" si="7"/>
        <v>0</v>
      </c>
      <c r="Q47" s="201">
        <f t="shared" si="1"/>
        <v>0</v>
      </c>
      <c r="R47" s="201">
        <f t="shared" si="8"/>
        <v>0</v>
      </c>
      <c r="S47" s="541">
        <f t="shared" si="9"/>
        <v>0</v>
      </c>
      <c r="T47" s="541" t="e" vm="1">
        <f t="shared" si="10"/>
        <v>#VALUE!</v>
      </c>
      <c r="U47" s="201">
        <f t="shared" si="11"/>
        <v>0</v>
      </c>
      <c r="V47" s="374">
        <f t="shared" si="12"/>
        <v>0</v>
      </c>
      <c r="W47" s="201">
        <f t="shared" si="13"/>
        <v>0</v>
      </c>
      <c r="X47" s="201">
        <f t="shared" si="14"/>
        <v>0</v>
      </c>
      <c r="Y47" s="201">
        <f t="shared" si="15"/>
        <v>0</v>
      </c>
      <c r="Z47" s="201">
        <f t="shared" si="16"/>
        <v>0</v>
      </c>
      <c r="AA47" s="201">
        <f t="shared" si="17"/>
        <v>0</v>
      </c>
      <c r="AB47" s="375">
        <f t="shared" si="18"/>
        <v>0</v>
      </c>
      <c r="AC47" s="202">
        <f t="shared" si="19"/>
        <v>0</v>
      </c>
      <c r="AD47" s="376">
        <f t="shared" si="20"/>
        <v>0</v>
      </c>
      <c r="AE47" s="549">
        <f t="shared" si="21"/>
        <v>0</v>
      </c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</row>
    <row r="48" spans="1:72" s="377" customFormat="1">
      <c r="A48" s="192">
        <v>35</v>
      </c>
      <c r="B48" s="192"/>
      <c r="C48" s="192"/>
      <c r="D48" s="192"/>
      <c r="E48" s="373"/>
      <c r="F48" s="373"/>
      <c r="G48" s="192"/>
      <c r="H48" s="192"/>
      <c r="I48" s="192"/>
      <c r="J48" s="201">
        <f t="shared" si="2"/>
        <v>0</v>
      </c>
      <c r="K48" s="541">
        <f t="shared" si="3"/>
        <v>0.3</v>
      </c>
      <c r="L48" s="165">
        <f t="shared" si="4"/>
        <v>0</v>
      </c>
      <c r="M48" s="201">
        <f t="shared" si="5"/>
        <v>0</v>
      </c>
      <c r="N48" s="542">
        <f t="shared" si="6"/>
        <v>100</v>
      </c>
      <c r="O48" s="543">
        <f t="shared" si="0"/>
        <v>9000</v>
      </c>
      <c r="P48" s="201">
        <f t="shared" si="7"/>
        <v>0</v>
      </c>
      <c r="Q48" s="201">
        <f t="shared" si="1"/>
        <v>0</v>
      </c>
      <c r="R48" s="201">
        <f t="shared" si="8"/>
        <v>0</v>
      </c>
      <c r="S48" s="541">
        <f t="shared" si="9"/>
        <v>0</v>
      </c>
      <c r="T48" s="541" t="e" vm="1">
        <f t="shared" si="10"/>
        <v>#VALUE!</v>
      </c>
      <c r="U48" s="201">
        <f t="shared" si="11"/>
        <v>0</v>
      </c>
      <c r="V48" s="374">
        <f t="shared" si="12"/>
        <v>0</v>
      </c>
      <c r="W48" s="201">
        <f t="shared" si="13"/>
        <v>0</v>
      </c>
      <c r="X48" s="201">
        <f t="shared" si="14"/>
        <v>0</v>
      </c>
      <c r="Y48" s="201">
        <f t="shared" si="15"/>
        <v>0</v>
      </c>
      <c r="Z48" s="201">
        <f t="shared" si="16"/>
        <v>0</v>
      </c>
      <c r="AA48" s="201">
        <f t="shared" si="17"/>
        <v>0</v>
      </c>
      <c r="AB48" s="375">
        <f t="shared" si="18"/>
        <v>0</v>
      </c>
      <c r="AC48" s="202">
        <f t="shared" si="19"/>
        <v>0</v>
      </c>
      <c r="AD48" s="376">
        <f t="shared" si="20"/>
        <v>0</v>
      </c>
      <c r="AE48" s="549">
        <f t="shared" si="21"/>
        <v>0</v>
      </c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</row>
    <row r="49" spans="1:72" s="377" customFormat="1">
      <c r="A49" s="192">
        <v>36</v>
      </c>
      <c r="B49" s="192"/>
      <c r="C49" s="192"/>
      <c r="D49" s="192"/>
      <c r="E49" s="373"/>
      <c r="F49" s="373"/>
      <c r="G49" s="192"/>
      <c r="H49" s="192"/>
      <c r="I49" s="192"/>
      <c r="J49" s="201">
        <f t="shared" si="2"/>
        <v>0</v>
      </c>
      <c r="K49" s="541">
        <f t="shared" si="3"/>
        <v>0.3</v>
      </c>
      <c r="L49" s="165">
        <f t="shared" si="4"/>
        <v>0</v>
      </c>
      <c r="M49" s="201">
        <f t="shared" si="5"/>
        <v>0</v>
      </c>
      <c r="N49" s="542">
        <f t="shared" si="6"/>
        <v>100</v>
      </c>
      <c r="O49" s="543">
        <f t="shared" si="0"/>
        <v>9000</v>
      </c>
      <c r="P49" s="201">
        <f t="shared" si="7"/>
        <v>0</v>
      </c>
      <c r="Q49" s="201">
        <f t="shared" si="1"/>
        <v>0</v>
      </c>
      <c r="R49" s="201">
        <f t="shared" si="8"/>
        <v>0</v>
      </c>
      <c r="S49" s="541">
        <f t="shared" si="9"/>
        <v>0</v>
      </c>
      <c r="T49" s="541" t="e" vm="1">
        <f t="shared" si="10"/>
        <v>#VALUE!</v>
      </c>
      <c r="U49" s="201">
        <f t="shared" si="11"/>
        <v>0</v>
      </c>
      <c r="V49" s="374">
        <f t="shared" si="12"/>
        <v>0</v>
      </c>
      <c r="W49" s="201">
        <f t="shared" si="13"/>
        <v>0</v>
      </c>
      <c r="X49" s="201">
        <f t="shared" si="14"/>
        <v>0</v>
      </c>
      <c r="Y49" s="201">
        <f t="shared" si="15"/>
        <v>0</v>
      </c>
      <c r="Z49" s="201">
        <f t="shared" si="16"/>
        <v>0</v>
      </c>
      <c r="AA49" s="201">
        <f t="shared" si="17"/>
        <v>0</v>
      </c>
      <c r="AB49" s="375">
        <f t="shared" si="18"/>
        <v>0</v>
      </c>
      <c r="AC49" s="202">
        <f t="shared" si="19"/>
        <v>0</v>
      </c>
      <c r="AD49" s="376">
        <f t="shared" si="20"/>
        <v>0</v>
      </c>
      <c r="AE49" s="549">
        <f t="shared" si="21"/>
        <v>0</v>
      </c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</row>
    <row r="50" spans="1:72" s="377" customFormat="1">
      <c r="A50" s="192">
        <v>37</v>
      </c>
      <c r="B50" s="192"/>
      <c r="C50" s="192"/>
      <c r="D50" s="192"/>
      <c r="E50" s="373"/>
      <c r="F50" s="373"/>
      <c r="G50" s="192"/>
      <c r="H50" s="192"/>
      <c r="I50" s="192"/>
      <c r="J50" s="201">
        <f t="shared" si="2"/>
        <v>0</v>
      </c>
      <c r="K50" s="541">
        <f t="shared" si="3"/>
        <v>0.3</v>
      </c>
      <c r="L50" s="165">
        <f t="shared" si="4"/>
        <v>0</v>
      </c>
      <c r="M50" s="201">
        <f t="shared" si="5"/>
        <v>0</v>
      </c>
      <c r="N50" s="542">
        <f t="shared" si="6"/>
        <v>100</v>
      </c>
      <c r="O50" s="543">
        <f t="shared" si="0"/>
        <v>9000</v>
      </c>
      <c r="P50" s="201">
        <f t="shared" si="7"/>
        <v>0</v>
      </c>
      <c r="Q50" s="201">
        <f t="shared" si="1"/>
        <v>0</v>
      </c>
      <c r="R50" s="201">
        <f t="shared" si="8"/>
        <v>0</v>
      </c>
      <c r="S50" s="541">
        <f t="shared" si="9"/>
        <v>0</v>
      </c>
      <c r="T50" s="541" t="e" vm="1">
        <f t="shared" si="10"/>
        <v>#VALUE!</v>
      </c>
      <c r="U50" s="201">
        <f t="shared" si="11"/>
        <v>0</v>
      </c>
      <c r="V50" s="374">
        <f t="shared" si="12"/>
        <v>0</v>
      </c>
      <c r="W50" s="201">
        <f t="shared" si="13"/>
        <v>0</v>
      </c>
      <c r="X50" s="201">
        <f t="shared" si="14"/>
        <v>0</v>
      </c>
      <c r="Y50" s="201">
        <f t="shared" si="15"/>
        <v>0</v>
      </c>
      <c r="Z50" s="201">
        <f t="shared" si="16"/>
        <v>0</v>
      </c>
      <c r="AA50" s="201">
        <f t="shared" si="17"/>
        <v>0</v>
      </c>
      <c r="AB50" s="375">
        <f t="shared" si="18"/>
        <v>0</v>
      </c>
      <c r="AC50" s="202">
        <f t="shared" si="19"/>
        <v>0</v>
      </c>
      <c r="AD50" s="376">
        <f t="shared" si="20"/>
        <v>0</v>
      </c>
      <c r="AE50" s="549">
        <f t="shared" si="21"/>
        <v>0</v>
      </c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</row>
    <row r="51" spans="1:72" s="377" customFormat="1">
      <c r="A51" s="192">
        <v>38</v>
      </c>
      <c r="B51" s="192"/>
      <c r="C51" s="192"/>
      <c r="D51" s="192"/>
      <c r="E51" s="373"/>
      <c r="F51" s="373"/>
      <c r="G51" s="192"/>
      <c r="H51" s="192"/>
      <c r="I51" s="192"/>
      <c r="J51" s="201">
        <f t="shared" si="2"/>
        <v>0</v>
      </c>
      <c r="K51" s="541">
        <f t="shared" si="3"/>
        <v>0.3</v>
      </c>
      <c r="L51" s="165">
        <f t="shared" si="4"/>
        <v>0</v>
      </c>
      <c r="M51" s="201">
        <f t="shared" si="5"/>
        <v>0</v>
      </c>
      <c r="N51" s="542">
        <f t="shared" si="6"/>
        <v>100</v>
      </c>
      <c r="O51" s="543">
        <f t="shared" si="0"/>
        <v>9000</v>
      </c>
      <c r="P51" s="201">
        <f t="shared" si="7"/>
        <v>0</v>
      </c>
      <c r="Q51" s="201">
        <f t="shared" si="1"/>
        <v>0</v>
      </c>
      <c r="R51" s="201">
        <f t="shared" si="8"/>
        <v>0</v>
      </c>
      <c r="S51" s="541">
        <f t="shared" si="9"/>
        <v>0</v>
      </c>
      <c r="T51" s="541" t="e" vm="1">
        <f t="shared" si="10"/>
        <v>#VALUE!</v>
      </c>
      <c r="U51" s="201">
        <f t="shared" si="11"/>
        <v>0</v>
      </c>
      <c r="V51" s="374">
        <f t="shared" si="12"/>
        <v>0</v>
      </c>
      <c r="W51" s="201">
        <f t="shared" si="13"/>
        <v>0</v>
      </c>
      <c r="X51" s="201">
        <f t="shared" si="14"/>
        <v>0</v>
      </c>
      <c r="Y51" s="201">
        <f t="shared" si="15"/>
        <v>0</v>
      </c>
      <c r="Z51" s="201">
        <f t="shared" si="16"/>
        <v>0</v>
      </c>
      <c r="AA51" s="201">
        <f t="shared" si="17"/>
        <v>0</v>
      </c>
      <c r="AB51" s="375">
        <f t="shared" si="18"/>
        <v>0</v>
      </c>
      <c r="AC51" s="202">
        <f t="shared" si="19"/>
        <v>0</v>
      </c>
      <c r="AD51" s="376">
        <f t="shared" si="20"/>
        <v>0</v>
      </c>
      <c r="AE51" s="549">
        <f t="shared" si="21"/>
        <v>0</v>
      </c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</row>
    <row r="52" spans="1:72" s="377" customFormat="1">
      <c r="A52" s="192">
        <v>39</v>
      </c>
      <c r="B52" s="192"/>
      <c r="C52" s="192"/>
      <c r="D52" s="192"/>
      <c r="E52" s="373"/>
      <c r="F52" s="373"/>
      <c r="G52" s="192"/>
      <c r="H52" s="192"/>
      <c r="I52" s="192"/>
      <c r="J52" s="201">
        <f t="shared" si="2"/>
        <v>0</v>
      </c>
      <c r="K52" s="541">
        <f t="shared" si="3"/>
        <v>0.3</v>
      </c>
      <c r="L52" s="165">
        <f t="shared" si="4"/>
        <v>0</v>
      </c>
      <c r="M52" s="201">
        <f t="shared" si="5"/>
        <v>0</v>
      </c>
      <c r="N52" s="542">
        <f t="shared" si="6"/>
        <v>100</v>
      </c>
      <c r="O52" s="543">
        <f t="shared" si="0"/>
        <v>9000</v>
      </c>
      <c r="P52" s="201">
        <f t="shared" si="7"/>
        <v>0</v>
      </c>
      <c r="Q52" s="201">
        <f t="shared" si="1"/>
        <v>0</v>
      </c>
      <c r="R52" s="201">
        <f t="shared" si="8"/>
        <v>0</v>
      </c>
      <c r="S52" s="541">
        <f t="shared" si="9"/>
        <v>0</v>
      </c>
      <c r="T52" s="541" t="e" vm="1">
        <f t="shared" si="10"/>
        <v>#VALUE!</v>
      </c>
      <c r="U52" s="201">
        <f t="shared" si="11"/>
        <v>0</v>
      </c>
      <c r="V52" s="374">
        <f t="shared" si="12"/>
        <v>0</v>
      </c>
      <c r="W52" s="201">
        <f t="shared" si="13"/>
        <v>0</v>
      </c>
      <c r="X52" s="201">
        <f t="shared" si="14"/>
        <v>0</v>
      </c>
      <c r="Y52" s="201">
        <f t="shared" si="15"/>
        <v>0</v>
      </c>
      <c r="Z52" s="201">
        <f t="shared" si="16"/>
        <v>0</v>
      </c>
      <c r="AA52" s="201">
        <f t="shared" si="17"/>
        <v>0</v>
      </c>
      <c r="AB52" s="375">
        <f t="shared" si="18"/>
        <v>0</v>
      </c>
      <c r="AC52" s="202">
        <f t="shared" si="19"/>
        <v>0</v>
      </c>
      <c r="AD52" s="376">
        <f t="shared" si="20"/>
        <v>0</v>
      </c>
      <c r="AE52" s="549">
        <f t="shared" si="21"/>
        <v>0</v>
      </c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</row>
    <row r="53" spans="1:72" s="377" customFormat="1">
      <c r="A53" s="192">
        <v>40</v>
      </c>
      <c r="B53" s="192"/>
      <c r="C53" s="192"/>
      <c r="D53" s="192"/>
      <c r="E53" s="373"/>
      <c r="F53" s="373"/>
      <c r="G53" s="192"/>
      <c r="H53" s="192"/>
      <c r="I53" s="192"/>
      <c r="J53" s="201">
        <f t="shared" si="2"/>
        <v>0</v>
      </c>
      <c r="K53" s="541">
        <f t="shared" si="3"/>
        <v>0.3</v>
      </c>
      <c r="L53" s="165">
        <f t="shared" si="4"/>
        <v>0</v>
      </c>
      <c r="M53" s="201">
        <f t="shared" si="5"/>
        <v>0</v>
      </c>
      <c r="N53" s="542">
        <f t="shared" si="6"/>
        <v>100</v>
      </c>
      <c r="O53" s="543">
        <f t="shared" si="0"/>
        <v>9000</v>
      </c>
      <c r="P53" s="201">
        <f t="shared" si="7"/>
        <v>0</v>
      </c>
      <c r="Q53" s="201">
        <f t="shared" si="1"/>
        <v>0</v>
      </c>
      <c r="R53" s="201">
        <f t="shared" si="8"/>
        <v>0</v>
      </c>
      <c r="S53" s="541">
        <f t="shared" si="9"/>
        <v>0</v>
      </c>
      <c r="T53" s="541" t="e" vm="1">
        <f>IF(TRUNC(E53)&gt;1,HLOOKUP(D53,C$86:I$87,2),IF(D53&lt;=980,HLOOKUP(D53+10*(E53-1),B$74:AG$75,2),HLOOKUP(D53+10*(E53-1),B$76:AG$77,2)))</f>
        <v>#VALUE!</v>
      </c>
      <c r="U53" s="201">
        <f t="shared" si="11"/>
        <v>0</v>
      </c>
      <c r="V53" s="374">
        <f t="shared" si="12"/>
        <v>0</v>
      </c>
      <c r="W53" s="201">
        <f t="shared" si="13"/>
        <v>0</v>
      </c>
      <c r="X53" s="201">
        <f t="shared" si="14"/>
        <v>0</v>
      </c>
      <c r="Y53" s="201">
        <f t="shared" si="15"/>
        <v>0</v>
      </c>
      <c r="Z53" s="201">
        <f t="shared" si="16"/>
        <v>0</v>
      </c>
      <c r="AA53" s="201">
        <f t="shared" si="17"/>
        <v>0</v>
      </c>
      <c r="AB53" s="375">
        <f t="shared" si="18"/>
        <v>0</v>
      </c>
      <c r="AC53" s="202">
        <f t="shared" si="19"/>
        <v>0</v>
      </c>
      <c r="AD53" s="376">
        <f t="shared" si="20"/>
        <v>0</v>
      </c>
      <c r="AE53" s="549">
        <f t="shared" si="21"/>
        <v>0</v>
      </c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</row>
    <row r="54" spans="1:72" s="464" customFormat="1" ht="17.25" thickBot="1">
      <c r="A54" s="209">
        <v>41</v>
      </c>
      <c r="B54" s="209"/>
      <c r="C54" s="209"/>
      <c r="D54" s="209"/>
      <c r="E54" s="378"/>
      <c r="F54" s="378"/>
      <c r="G54" s="209"/>
      <c r="H54" s="209"/>
      <c r="I54" s="209"/>
      <c r="J54" s="214">
        <f t="shared" si="2"/>
        <v>0</v>
      </c>
      <c r="K54" s="544">
        <f t="shared" si="3"/>
        <v>0.3</v>
      </c>
      <c r="L54" s="379">
        <f t="shared" si="4"/>
        <v>0</v>
      </c>
      <c r="M54" s="201">
        <f t="shared" si="5"/>
        <v>0</v>
      </c>
      <c r="N54" s="545">
        <f t="shared" si="6"/>
        <v>100</v>
      </c>
      <c r="O54" s="546">
        <f t="shared" si="0"/>
        <v>9000</v>
      </c>
      <c r="P54" s="214">
        <f t="shared" si="7"/>
        <v>0</v>
      </c>
      <c r="Q54" s="214">
        <f t="shared" si="1"/>
        <v>0</v>
      </c>
      <c r="R54" s="214">
        <f t="shared" si="8"/>
        <v>0</v>
      </c>
      <c r="S54" s="544">
        <f t="shared" si="9"/>
        <v>0</v>
      </c>
      <c r="T54" s="541" t="e" vm="1">
        <f t="shared" si="10"/>
        <v>#VALUE!</v>
      </c>
      <c r="U54" s="214">
        <f t="shared" si="11"/>
        <v>0</v>
      </c>
      <c r="V54" s="380">
        <f t="shared" si="12"/>
        <v>0</v>
      </c>
      <c r="W54" s="214">
        <f t="shared" si="13"/>
        <v>0</v>
      </c>
      <c r="X54" s="214">
        <f t="shared" si="14"/>
        <v>0</v>
      </c>
      <c r="Y54" s="214">
        <f t="shared" si="15"/>
        <v>0</v>
      </c>
      <c r="Z54" s="214">
        <f t="shared" si="16"/>
        <v>0</v>
      </c>
      <c r="AA54" s="214">
        <f t="shared" si="17"/>
        <v>0</v>
      </c>
      <c r="AB54" s="381">
        <f t="shared" si="18"/>
        <v>0</v>
      </c>
      <c r="AC54" s="215">
        <f t="shared" si="19"/>
        <v>0</v>
      </c>
      <c r="AD54" s="382">
        <f t="shared" si="20"/>
        <v>0</v>
      </c>
      <c r="AE54" s="550">
        <f t="shared" si="21"/>
        <v>0</v>
      </c>
      <c r="AF54" s="281"/>
      <c r="AG54" s="281"/>
      <c r="AH54" s="281"/>
      <c r="AI54" s="281"/>
      <c r="AJ54" s="281"/>
      <c r="AK54" s="281"/>
      <c r="AL54" s="281"/>
      <c r="AM54" s="281"/>
      <c r="AN54" s="281"/>
      <c r="AO54" s="281"/>
      <c r="AP54" s="281"/>
      <c r="AQ54" s="281"/>
      <c r="AR54" s="281"/>
      <c r="AS54" s="281"/>
      <c r="AT54" s="281"/>
      <c r="AU54" s="281"/>
      <c r="AV54" s="281"/>
      <c r="AW54" s="281"/>
      <c r="AX54" s="281"/>
      <c r="AY54" s="281"/>
      <c r="AZ54" s="281"/>
      <c r="BA54" s="281"/>
      <c r="BB54" s="281"/>
      <c r="BC54" s="281"/>
      <c r="BD54" s="281"/>
      <c r="BE54" s="281"/>
      <c r="BF54" s="281"/>
      <c r="BG54" s="281"/>
      <c r="BH54" s="281"/>
      <c r="BI54" s="281"/>
      <c r="BJ54" s="281"/>
      <c r="BK54" s="281"/>
      <c r="BL54" s="281"/>
      <c r="BM54" s="281"/>
      <c r="BN54" s="281"/>
      <c r="BO54" s="281"/>
      <c r="BP54" s="281"/>
      <c r="BQ54" s="281"/>
      <c r="BR54" s="281"/>
      <c r="BS54" s="281"/>
      <c r="BT54" s="281"/>
    </row>
    <row r="55" spans="1:72">
      <c r="A55" s="184"/>
      <c r="AE55" s="551"/>
    </row>
    <row r="56" spans="1:72" s="389" customFormat="1">
      <c r="A56" s="383"/>
      <c r="B56" s="384" t="s">
        <v>154</v>
      </c>
      <c r="C56" s="385"/>
      <c r="D56" s="385"/>
      <c r="E56" s="385"/>
      <c r="F56" s="385"/>
      <c r="G56" s="385"/>
      <c r="H56" s="386">
        <f>SUM(H13:H55)</f>
        <v>0</v>
      </c>
      <c r="I56" s="386">
        <f>SUM(I13:I55)</f>
        <v>0</v>
      </c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7">
        <f>SUM(U14:U54)</f>
        <v>0</v>
      </c>
      <c r="V56" s="387">
        <f>SUM(V13:V54)</f>
        <v>0</v>
      </c>
      <c r="W56" s="387">
        <f>SUM(W13:W55)</f>
        <v>0</v>
      </c>
      <c r="X56" s="387">
        <f>SUM(X14:X54)</f>
        <v>0</v>
      </c>
      <c r="Y56" s="387">
        <f>SUM(Y13:Y55)</f>
        <v>0</v>
      </c>
      <c r="Z56" s="387">
        <f>SUM(Z14:Z54)</f>
        <v>0</v>
      </c>
      <c r="AA56" s="385"/>
      <c r="AB56" s="388">
        <f>SUM(AB14:AB54)</f>
        <v>0</v>
      </c>
      <c r="AC56" s="384"/>
      <c r="AD56" s="384"/>
      <c r="AE56" s="552">
        <f>SUM(AE14:AE54)</f>
        <v>0</v>
      </c>
      <c r="AF56" s="385"/>
      <c r="AG56" s="385"/>
      <c r="AH56" s="385"/>
      <c r="AI56" s="385"/>
      <c r="AJ56" s="385"/>
      <c r="AK56" s="385"/>
      <c r="AL56" s="385"/>
      <c r="AM56" s="385"/>
      <c r="AN56" s="385"/>
      <c r="AO56" s="385"/>
      <c r="AP56" s="385"/>
      <c r="AQ56" s="385"/>
      <c r="AR56" s="385"/>
      <c r="AS56" s="385"/>
      <c r="AT56" s="385"/>
      <c r="AU56" s="385"/>
      <c r="AV56" s="385"/>
      <c r="AW56" s="385"/>
      <c r="AX56" s="385"/>
      <c r="AY56" s="385"/>
      <c r="AZ56" s="385"/>
      <c r="BA56" s="385"/>
      <c r="BB56" s="385"/>
      <c r="BC56" s="385"/>
      <c r="BD56" s="385"/>
      <c r="BE56" s="385"/>
      <c r="BF56" s="385"/>
      <c r="BG56" s="385"/>
      <c r="BH56" s="385"/>
      <c r="BI56" s="385"/>
      <c r="BJ56" s="385"/>
      <c r="BK56" s="385"/>
      <c r="BL56" s="385"/>
      <c r="BM56" s="385"/>
      <c r="BN56" s="385"/>
      <c r="BO56" s="385"/>
      <c r="BP56" s="385"/>
      <c r="BQ56" s="385"/>
      <c r="BR56" s="385"/>
      <c r="BS56" s="385"/>
      <c r="BT56" s="385"/>
    </row>
    <row r="57" spans="1:72" s="389" customFormat="1">
      <c r="A57" s="390"/>
      <c r="B57" s="220" t="s">
        <v>155</v>
      </c>
      <c r="C57" s="384">
        <f>SUM(C14:C54)</f>
        <v>0</v>
      </c>
      <c r="D57" s="391" t="str">
        <f>IF(P4=1,"METERS","FEET")</f>
        <v>METERS</v>
      </c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92">
        <f>V56/I$4</f>
        <v>0</v>
      </c>
      <c r="W57" s="393">
        <f>W56/I$6</f>
        <v>0</v>
      </c>
      <c r="X57" s="385"/>
      <c r="Y57" s="385"/>
      <c r="Z57" s="394">
        <f>Z56/I$7</f>
        <v>0</v>
      </c>
      <c r="AA57" s="385"/>
      <c r="AB57" s="385"/>
      <c r="AC57" s="384">
        <f>SUM(AC13:AC54)</f>
        <v>0</v>
      </c>
      <c r="AD57" s="386">
        <f>SUM(AD13:AD54)</f>
        <v>0</v>
      </c>
      <c r="AE57" s="392"/>
      <c r="AF57" s="385"/>
      <c r="AG57" s="385"/>
      <c r="AH57" s="385"/>
      <c r="AI57" s="385"/>
      <c r="AJ57" s="385"/>
      <c r="AK57" s="385"/>
      <c r="AL57" s="385"/>
      <c r="AM57" s="385"/>
      <c r="AN57" s="385"/>
      <c r="AO57" s="385"/>
      <c r="AP57" s="385"/>
      <c r="AQ57" s="385"/>
      <c r="AR57" s="385"/>
      <c r="AS57" s="385"/>
      <c r="AT57" s="385"/>
      <c r="AU57" s="385"/>
      <c r="AV57" s="385"/>
      <c r="AW57" s="385"/>
      <c r="AX57" s="385"/>
      <c r="AY57" s="385"/>
      <c r="AZ57" s="385"/>
      <c r="BA57" s="385"/>
      <c r="BB57" s="385"/>
      <c r="BC57" s="385"/>
      <c r="BD57" s="385"/>
      <c r="BE57" s="385"/>
      <c r="BF57" s="385"/>
      <c r="BG57" s="385"/>
      <c r="BH57" s="385"/>
      <c r="BI57" s="385"/>
      <c r="BJ57" s="385"/>
      <c r="BK57" s="385"/>
      <c r="BL57" s="385"/>
      <c r="BM57" s="385"/>
      <c r="BN57" s="385"/>
      <c r="BO57" s="385"/>
      <c r="BP57" s="385"/>
      <c r="BQ57" s="385"/>
      <c r="BR57" s="385"/>
      <c r="BS57" s="385"/>
      <c r="BT57" s="385"/>
    </row>
    <row r="58" spans="1:72" ht="17.25" thickBot="1">
      <c r="A58" s="184"/>
    </row>
    <row r="59" spans="1:72" ht="17.25" thickBot="1">
      <c r="A59" s="184"/>
      <c r="Y59" s="395"/>
      <c r="Z59" s="396"/>
      <c r="AA59" s="396"/>
      <c r="AB59" s="372"/>
    </row>
    <row r="60" spans="1:72" ht="17.25" thickBot="1">
      <c r="B60" s="397" t="s">
        <v>156</v>
      </c>
      <c r="C60" s="398">
        <f>SUMIFS(U14:U54,E14:E54,"&gt;1",E14:E54,"&lt;2")</f>
        <v>0</v>
      </c>
      <c r="D60" s="216"/>
      <c r="G60" s="147" t="s">
        <v>157</v>
      </c>
      <c r="H60" s="319"/>
      <c r="I60" s="399">
        <f>AC57</f>
        <v>0</v>
      </c>
      <c r="K60" s="277"/>
      <c r="M60" s="151" t="s">
        <v>158</v>
      </c>
      <c r="N60" s="319"/>
      <c r="O60" s="400">
        <f>IF(AC57=0,0,Y56/AC57)</f>
        <v>0</v>
      </c>
      <c r="X60" s="277"/>
      <c r="Y60" s="401" t="s">
        <v>56</v>
      </c>
      <c r="Z60" s="402" t="s">
        <v>57</v>
      </c>
      <c r="AA60" s="402" t="s">
        <v>159</v>
      </c>
      <c r="AB60" s="403" t="s">
        <v>160</v>
      </c>
    </row>
    <row r="61" spans="1:72">
      <c r="B61" s="404" t="s">
        <v>161</v>
      </c>
      <c r="C61" s="398">
        <f>SUMIFS(U14:U54,E14:E54,"&gt;=2",E14:E54,"&lt;3")</f>
        <v>0</v>
      </c>
      <c r="D61" s="216"/>
      <c r="G61" s="156" t="s">
        <v>162</v>
      </c>
      <c r="H61" s="327"/>
      <c r="I61" s="406">
        <f>AD57</f>
        <v>0</v>
      </c>
      <c r="K61" s="277"/>
      <c r="M61" s="158" t="s">
        <v>163</v>
      </c>
      <c r="N61" s="327"/>
      <c r="O61" s="407">
        <f>Y56/F6</f>
        <v>0</v>
      </c>
      <c r="X61" s="277"/>
      <c r="Y61" s="408"/>
      <c r="Z61" s="409"/>
      <c r="AA61" s="409"/>
      <c r="AB61" s="410"/>
    </row>
    <row r="62" spans="1:72">
      <c r="B62" s="404" t="s">
        <v>164</v>
      </c>
      <c r="C62" s="405">
        <f>V56</f>
        <v>0</v>
      </c>
      <c r="D62" s="216"/>
      <c r="G62" s="156" t="s">
        <v>165</v>
      </c>
      <c r="H62" s="327"/>
      <c r="I62" s="406">
        <f>AD57*3.28</f>
        <v>0</v>
      </c>
      <c r="K62" s="277"/>
      <c r="M62" s="158" t="s">
        <v>166</v>
      </c>
      <c r="N62" s="327"/>
      <c r="O62" s="407">
        <f>IF(O61=0,0,AC57/O61)</f>
        <v>0</v>
      </c>
      <c r="X62" s="277"/>
      <c r="Y62" s="332" t="s">
        <v>167</v>
      </c>
      <c r="Z62" s="411">
        <f>X56</f>
        <v>0</v>
      </c>
      <c r="AA62" s="411">
        <f>(P5-TRUNC(P5))*Z62</f>
        <v>0</v>
      </c>
      <c r="AB62" s="412">
        <f>Z62+AA62</f>
        <v>0</v>
      </c>
    </row>
    <row r="63" spans="1:72">
      <c r="B63" s="404" t="s">
        <v>168</v>
      </c>
      <c r="C63" s="405">
        <f>H56</f>
        <v>0</v>
      </c>
      <c r="D63" s="216"/>
      <c r="G63" s="156" t="s">
        <v>169</v>
      </c>
      <c r="H63" s="327"/>
      <c r="I63" s="406">
        <f>IF(P4=1,C57,C57*1/3.28)</f>
        <v>0</v>
      </c>
      <c r="K63" s="277"/>
      <c r="M63" s="158" t="s">
        <v>170</v>
      </c>
      <c r="N63" s="327"/>
      <c r="O63" s="407">
        <f>IF(O61=0,0,I61/O61)</f>
        <v>0</v>
      </c>
      <c r="X63" s="277"/>
      <c r="Y63" s="332" t="s">
        <v>171</v>
      </c>
      <c r="Z63" s="411">
        <f>Y56</f>
        <v>0</v>
      </c>
      <c r="AA63" s="411">
        <f>(P5-TRUNC(P5))*Z63</f>
        <v>0</v>
      </c>
      <c r="AB63" s="412">
        <f>Z63+AA63</f>
        <v>0</v>
      </c>
    </row>
    <row r="64" spans="1:72">
      <c r="B64" s="404" t="s">
        <v>172</v>
      </c>
      <c r="C64" s="405">
        <f>X56</f>
        <v>0</v>
      </c>
      <c r="D64" s="216"/>
      <c r="G64" s="156" t="s">
        <v>173</v>
      </c>
      <c r="H64" s="327"/>
      <c r="I64" s="406">
        <f>IF(P4=0,C57,C57*3.28)</f>
        <v>0</v>
      </c>
      <c r="K64" s="277"/>
      <c r="M64" s="158" t="s">
        <v>174</v>
      </c>
      <c r="N64" s="327"/>
      <c r="O64" s="407">
        <f>O63*3.28</f>
        <v>0</v>
      </c>
      <c r="X64" s="277"/>
      <c r="Y64" s="332" t="s">
        <v>175</v>
      </c>
      <c r="Z64" s="411">
        <f>Z56</f>
        <v>0</v>
      </c>
      <c r="AA64" s="411">
        <f>(P5-TRUNC(P5))*Z64</f>
        <v>0</v>
      </c>
      <c r="AB64" s="412">
        <f>Z64+AA64</f>
        <v>0</v>
      </c>
    </row>
    <row r="65" spans="1:72" ht="17.25" thickBot="1">
      <c r="B65" s="404" t="s">
        <v>176</v>
      </c>
      <c r="C65" s="405">
        <f>0.7*Y56</f>
        <v>0</v>
      </c>
      <c r="D65" s="216"/>
      <c r="G65" s="156" t="s">
        <v>177</v>
      </c>
      <c r="H65" s="327"/>
      <c r="I65" s="406">
        <f>IF(AB56=0,0,X56/AB56*100)</f>
        <v>0</v>
      </c>
      <c r="K65" s="277"/>
      <c r="M65" s="158" t="s">
        <v>178</v>
      </c>
      <c r="N65" s="327"/>
      <c r="O65" s="407">
        <f>IF(O61=0,0,I63/O61)</f>
        <v>0</v>
      </c>
      <c r="X65" s="277"/>
      <c r="Y65" s="413"/>
      <c r="Z65" s="414"/>
      <c r="AA65" s="415"/>
      <c r="AB65" s="416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  <c r="BS65" s="145"/>
      <c r="BT65" s="145"/>
    </row>
    <row r="66" spans="1:72">
      <c r="B66" s="404" t="s">
        <v>179</v>
      </c>
      <c r="C66" s="405">
        <f>0.3*Y56</f>
        <v>0</v>
      </c>
      <c r="D66" s="216"/>
      <c r="G66" s="156" t="s">
        <v>180</v>
      </c>
      <c r="H66" s="327"/>
      <c r="I66" s="406">
        <f>IF(AB56=0,0,Y56/AB56*100)</f>
        <v>0</v>
      </c>
      <c r="K66" s="277"/>
      <c r="M66" s="158" t="s">
        <v>181</v>
      </c>
      <c r="N66" s="327"/>
      <c r="O66" s="407">
        <f>IF(O61=0,0,I64/O61)</f>
        <v>0</v>
      </c>
      <c r="X66" s="277"/>
      <c r="Y66" s="417"/>
      <c r="Z66" s="418"/>
      <c r="AA66" s="419"/>
      <c r="AB66" s="420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  <c r="BS66" s="145"/>
      <c r="BT66" s="145"/>
    </row>
    <row r="67" spans="1:72" ht="17.25" thickBot="1">
      <c r="B67" s="404" t="s">
        <v>182</v>
      </c>
      <c r="C67" s="405">
        <f>Y56</f>
        <v>0</v>
      </c>
      <c r="D67" s="216"/>
      <c r="G67" s="178" t="s">
        <v>183</v>
      </c>
      <c r="H67" s="345"/>
      <c r="I67" s="421">
        <f>IF(I65=0,0,100-I65-I66)</f>
        <v>0</v>
      </c>
      <c r="K67" s="277"/>
      <c r="M67" s="158" t="s">
        <v>184</v>
      </c>
      <c r="N67" s="327"/>
      <c r="O67" s="422">
        <f>IF(I63=0,0,Y56/I63)</f>
        <v>0</v>
      </c>
      <c r="X67" s="277"/>
      <c r="Y67" s="423" t="s">
        <v>185</v>
      </c>
      <c r="Z67" s="424">
        <f>SUM(Z61:Z65)</f>
        <v>0</v>
      </c>
      <c r="AA67" s="424">
        <f>SUM(AA61:AA65)</f>
        <v>0</v>
      </c>
      <c r="AB67" s="425">
        <f>SUM(AB61:AB65)</f>
        <v>0</v>
      </c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  <c r="BK67" s="145"/>
      <c r="BL67" s="145"/>
      <c r="BM67" s="145"/>
      <c r="BN67" s="145"/>
      <c r="BO67" s="145"/>
      <c r="BP67" s="145"/>
      <c r="BQ67" s="145"/>
      <c r="BR67" s="145"/>
      <c r="BS67" s="145"/>
      <c r="BT67" s="145"/>
    </row>
    <row r="68" spans="1:72" ht="17.25" thickBot="1">
      <c r="B68" s="426" t="s">
        <v>186</v>
      </c>
      <c r="C68" s="427">
        <f>Z56</f>
        <v>0</v>
      </c>
      <c r="D68" s="216"/>
      <c r="I68" s="360"/>
      <c r="K68" s="277"/>
      <c r="M68" s="350" t="s">
        <v>187</v>
      </c>
      <c r="N68" s="345"/>
      <c r="O68" s="428">
        <f>IF(I61=0,0,Y56/I61)</f>
        <v>0</v>
      </c>
      <c r="X68" s="277"/>
      <c r="Y68" s="429"/>
      <c r="Z68" s="430"/>
      <c r="AA68" s="430"/>
      <c r="AB68" s="431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  <c r="BS68" s="145"/>
      <c r="BT68" s="145"/>
    </row>
    <row r="69" spans="1:72">
      <c r="A69" s="184"/>
      <c r="B69" s="216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  <c r="BS69" s="145"/>
      <c r="BT69" s="145"/>
    </row>
    <row r="70" spans="1:72">
      <c r="A70" s="184"/>
      <c r="B70" s="216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  <c r="BK70" s="145"/>
      <c r="BL70" s="145"/>
      <c r="BM70" s="145"/>
      <c r="BN70" s="145"/>
      <c r="BO70" s="145"/>
      <c r="BP70" s="145"/>
      <c r="BQ70" s="145"/>
      <c r="BR70" s="145"/>
      <c r="BS70" s="145"/>
      <c r="BT70" s="145"/>
    </row>
    <row r="71" spans="1:72">
      <c r="A71" s="184"/>
      <c r="B71" s="216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  <c r="BS71" s="145"/>
      <c r="BT71" s="145"/>
    </row>
    <row r="72" spans="1:72">
      <c r="A72" s="184"/>
      <c r="B72" s="216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5"/>
      <c r="AY72" s="145"/>
      <c r="AZ72" s="145"/>
      <c r="BA72" s="145"/>
      <c r="BB72" s="145"/>
      <c r="BC72" s="145"/>
      <c r="BD72" s="145"/>
      <c r="BE72" s="145"/>
      <c r="BF72" s="145"/>
      <c r="BG72" s="145"/>
      <c r="BH72" s="145"/>
      <c r="BI72" s="145"/>
      <c r="BJ72" s="145"/>
      <c r="BK72" s="145"/>
      <c r="BL72" s="145"/>
      <c r="BM72" s="145"/>
      <c r="BN72" s="145"/>
      <c r="BO72" s="145"/>
      <c r="BP72" s="145"/>
      <c r="BQ72" s="145"/>
      <c r="BR72" s="145"/>
      <c r="BS72" s="145"/>
      <c r="BT72" s="145"/>
    </row>
    <row r="73" spans="1:72" ht="17.25" thickBot="1">
      <c r="A73" s="216" t="s">
        <v>371</v>
      </c>
      <c r="B73" s="432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45"/>
      <c r="BH73" s="145"/>
      <c r="BI73" s="145"/>
      <c r="BJ73" s="145"/>
      <c r="BK73" s="145"/>
      <c r="BL73" s="145"/>
      <c r="BM73" s="145"/>
      <c r="BN73" s="145"/>
      <c r="BO73" s="145"/>
      <c r="BP73" s="145"/>
      <c r="BQ73" s="145"/>
      <c r="BR73" s="145"/>
      <c r="BS73" s="145"/>
      <c r="BT73" s="145"/>
    </row>
    <row r="74" spans="1:72">
      <c r="A74" s="433" t="s">
        <v>188</v>
      </c>
      <c r="B74" s="297">
        <v>151</v>
      </c>
      <c r="C74" s="297">
        <v>201</v>
      </c>
      <c r="D74" s="297">
        <v>251</v>
      </c>
      <c r="E74" s="297">
        <v>301</v>
      </c>
      <c r="F74" s="309">
        <v>302</v>
      </c>
      <c r="G74" s="297">
        <v>376</v>
      </c>
      <c r="H74" s="297">
        <v>377</v>
      </c>
      <c r="I74" s="297">
        <v>451</v>
      </c>
      <c r="J74" s="297">
        <v>452</v>
      </c>
      <c r="K74" s="297">
        <v>455</v>
      </c>
      <c r="L74" s="297">
        <v>527</v>
      </c>
      <c r="M74" s="297">
        <v>529</v>
      </c>
      <c r="N74" s="297">
        <v>530</v>
      </c>
      <c r="O74" s="297">
        <v>602</v>
      </c>
      <c r="P74" s="297">
        <v>604</v>
      </c>
      <c r="Q74" s="297">
        <v>605</v>
      </c>
      <c r="R74" s="297">
        <v>677</v>
      </c>
      <c r="S74" s="297">
        <v>679</v>
      </c>
      <c r="T74" s="297">
        <v>680</v>
      </c>
      <c r="U74" s="297">
        <v>752</v>
      </c>
      <c r="V74" s="297">
        <v>754</v>
      </c>
      <c r="W74" s="297">
        <v>755</v>
      </c>
      <c r="X74" s="297">
        <v>827</v>
      </c>
      <c r="Y74" s="297">
        <v>829</v>
      </c>
      <c r="Z74" s="297">
        <v>830</v>
      </c>
      <c r="AA74" s="297">
        <v>902</v>
      </c>
      <c r="AB74" s="297">
        <v>904</v>
      </c>
      <c r="AC74" s="297">
        <v>905</v>
      </c>
      <c r="AD74" s="297">
        <v>977</v>
      </c>
      <c r="AE74" s="297">
        <v>978</v>
      </c>
      <c r="AF74" s="142">
        <v>979</v>
      </c>
      <c r="AG74" s="142">
        <v>980</v>
      </c>
    </row>
    <row r="75" spans="1:72">
      <c r="A75" s="434" t="s">
        <v>189</v>
      </c>
      <c r="B75" s="309">
        <v>0</v>
      </c>
      <c r="C75" s="309">
        <v>0</v>
      </c>
      <c r="D75" s="309">
        <v>0</v>
      </c>
      <c r="E75" s="309">
        <v>0</v>
      </c>
      <c r="F75" s="309">
        <v>125.6</v>
      </c>
      <c r="G75" s="309">
        <v>0</v>
      </c>
      <c r="H75" s="309">
        <v>154.9</v>
      </c>
      <c r="I75" s="309">
        <v>0</v>
      </c>
      <c r="J75" s="302">
        <v>159.5</v>
      </c>
      <c r="K75" s="302">
        <v>199.6</v>
      </c>
      <c r="L75" s="309">
        <v>174.1</v>
      </c>
      <c r="M75" s="302">
        <v>203.4</v>
      </c>
      <c r="N75" s="309">
        <v>240.1</v>
      </c>
      <c r="O75" s="309">
        <v>234.4</v>
      </c>
      <c r="P75" s="302">
        <v>269</v>
      </c>
      <c r="Q75" s="435">
        <v>316.60000000000002</v>
      </c>
      <c r="R75" s="302">
        <v>359.2</v>
      </c>
      <c r="S75" s="302">
        <v>408.8</v>
      </c>
      <c r="T75" s="302">
        <v>479</v>
      </c>
      <c r="U75" s="302">
        <v>473.4</v>
      </c>
      <c r="V75" s="302">
        <v>541.1</v>
      </c>
      <c r="W75" s="302">
        <v>632.4</v>
      </c>
      <c r="X75" s="302">
        <v>549.1</v>
      </c>
      <c r="Y75" s="302">
        <v>698.3</v>
      </c>
      <c r="Z75" s="302">
        <v>733.9</v>
      </c>
      <c r="AA75" s="302">
        <v>658.8</v>
      </c>
      <c r="AB75" s="436">
        <v>753.6</v>
      </c>
      <c r="AC75" s="435">
        <v>879.9</v>
      </c>
      <c r="AD75" s="435">
        <v>722.8</v>
      </c>
      <c r="AE75" s="302">
        <v>760.9</v>
      </c>
      <c r="AF75" s="142">
        <v>865.8</v>
      </c>
      <c r="AG75" s="142">
        <v>1013.4</v>
      </c>
    </row>
    <row r="76" spans="1:72">
      <c r="A76" s="437">
        <v>42064</v>
      </c>
      <c r="B76" s="309">
        <v>1052</v>
      </c>
      <c r="C76" s="309">
        <v>1053</v>
      </c>
      <c r="D76" s="309">
        <v>1054</v>
      </c>
      <c r="E76" s="309">
        <v>1055</v>
      </c>
      <c r="F76" s="309">
        <v>1202</v>
      </c>
      <c r="G76" s="309">
        <v>1203</v>
      </c>
      <c r="H76" s="309">
        <v>1204</v>
      </c>
      <c r="I76" s="309">
        <v>1205</v>
      </c>
      <c r="J76" s="309">
        <v>1352</v>
      </c>
      <c r="K76" s="309">
        <v>1353</v>
      </c>
      <c r="L76" s="309">
        <v>1354</v>
      </c>
      <c r="M76" s="309">
        <v>1355</v>
      </c>
      <c r="N76" s="309">
        <v>1502</v>
      </c>
      <c r="O76" s="309">
        <v>1503</v>
      </c>
      <c r="P76" s="309">
        <v>1504</v>
      </c>
      <c r="Q76" s="309">
        <v>1505</v>
      </c>
      <c r="R76" s="309">
        <v>1652</v>
      </c>
      <c r="S76" s="309">
        <v>1653</v>
      </c>
      <c r="T76" s="309">
        <v>1654</v>
      </c>
      <c r="U76" s="309">
        <v>1655</v>
      </c>
      <c r="V76" s="309">
        <v>1802</v>
      </c>
      <c r="W76" s="309">
        <v>1803</v>
      </c>
      <c r="X76" s="309">
        <v>1804</v>
      </c>
      <c r="Y76" s="309">
        <v>1805</v>
      </c>
      <c r="Z76" s="309">
        <v>1952</v>
      </c>
      <c r="AA76" s="309">
        <v>1953</v>
      </c>
      <c r="AB76" s="309">
        <v>1954</v>
      </c>
      <c r="AC76" s="309">
        <v>1955</v>
      </c>
      <c r="AD76" s="309">
        <v>2102</v>
      </c>
      <c r="AE76" s="309">
        <v>2103</v>
      </c>
      <c r="AF76" s="142">
        <v>2104</v>
      </c>
      <c r="AG76" s="142">
        <v>2105</v>
      </c>
    </row>
    <row r="77" spans="1:72" ht="17.25" thickBot="1">
      <c r="A77" s="438" t="s">
        <v>190</v>
      </c>
      <c r="B77" s="313">
        <v>827.8</v>
      </c>
      <c r="C77" s="313">
        <v>869.3</v>
      </c>
      <c r="D77" s="313">
        <v>995.3</v>
      </c>
      <c r="E77" s="313">
        <v>1159.5</v>
      </c>
      <c r="F77" s="313">
        <v>1037.5</v>
      </c>
      <c r="G77" s="313">
        <v>1089.8</v>
      </c>
      <c r="H77" s="313">
        <v>1246.7</v>
      </c>
      <c r="I77" s="313">
        <v>1452.7</v>
      </c>
      <c r="J77" s="439">
        <v>1334.2</v>
      </c>
      <c r="K77" s="439">
        <v>1400.8</v>
      </c>
      <c r="L77" s="313">
        <v>1602.5</v>
      </c>
      <c r="M77" s="439">
        <v>1866.2</v>
      </c>
      <c r="N77" s="313">
        <v>1631.9</v>
      </c>
      <c r="O77" s="313">
        <v>1712.7</v>
      </c>
      <c r="P77" s="439">
        <v>1958.1</v>
      </c>
      <c r="Q77" s="440">
        <v>2284.6</v>
      </c>
      <c r="R77" s="439">
        <v>1954.2</v>
      </c>
      <c r="S77" s="439">
        <v>2053.4</v>
      </c>
      <c r="T77" s="439">
        <v>2346.9</v>
      </c>
      <c r="U77" s="439">
        <v>2736.1</v>
      </c>
      <c r="V77" s="439">
        <v>2361.3000000000002</v>
      </c>
      <c r="W77" s="439">
        <v>2482.6999999999998</v>
      </c>
      <c r="X77" s="439">
        <v>2834.3</v>
      </c>
      <c r="Y77" s="439">
        <v>3307.4</v>
      </c>
      <c r="Z77" s="439">
        <v>2738.5</v>
      </c>
      <c r="AA77" s="439">
        <v>2878.7</v>
      </c>
      <c r="AB77" s="313">
        <v>3285.5</v>
      </c>
      <c r="AC77" s="440">
        <v>3835.3</v>
      </c>
      <c r="AD77" s="440">
        <v>3142.4</v>
      </c>
      <c r="AE77" s="439">
        <v>3296.3</v>
      </c>
      <c r="AF77" s="142">
        <v>3769.8</v>
      </c>
      <c r="AG77" s="142">
        <v>4396.8</v>
      </c>
    </row>
    <row r="78" spans="1:72">
      <c r="A78" s="216"/>
      <c r="J78" s="441"/>
      <c r="K78" s="441"/>
      <c r="M78" s="441"/>
      <c r="P78" s="441"/>
      <c r="Q78" s="442"/>
      <c r="R78" s="441"/>
      <c r="S78" s="441"/>
      <c r="T78" s="441"/>
      <c r="U78" s="441"/>
      <c r="V78" s="441"/>
      <c r="W78" s="441"/>
      <c r="X78" s="441"/>
      <c r="Y78" s="441"/>
      <c r="Z78" s="441"/>
      <c r="AA78" s="441"/>
      <c r="AC78" s="442"/>
      <c r="AD78" s="442"/>
      <c r="AE78" s="441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45"/>
      <c r="BH78" s="145"/>
      <c r="BI78" s="145"/>
      <c r="BJ78" s="145"/>
      <c r="BK78" s="145"/>
      <c r="BL78" s="145"/>
      <c r="BM78" s="145"/>
      <c r="BN78" s="145"/>
      <c r="BO78" s="145"/>
      <c r="BP78" s="145"/>
      <c r="BQ78" s="145"/>
      <c r="BR78" s="145"/>
      <c r="BS78" s="145"/>
      <c r="BT78" s="145"/>
    </row>
    <row r="79" spans="1:72" ht="17.25" thickBot="1">
      <c r="A79" s="216" t="s">
        <v>191</v>
      </c>
      <c r="J79" s="441"/>
      <c r="K79" s="441"/>
      <c r="M79" s="441"/>
      <c r="P79" s="441"/>
      <c r="Q79" s="442"/>
      <c r="R79" s="441"/>
      <c r="S79" s="441"/>
      <c r="T79" s="441"/>
      <c r="U79" s="441"/>
      <c r="V79" s="441"/>
      <c r="W79" s="441"/>
      <c r="X79" s="441"/>
      <c r="Y79" s="441"/>
      <c r="Z79" s="441"/>
      <c r="AA79" s="441"/>
      <c r="AC79" s="442"/>
      <c r="AD79" s="442"/>
      <c r="AE79" s="441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5"/>
      <c r="AV79" s="145"/>
      <c r="AW79" s="145"/>
      <c r="AX79" s="145"/>
      <c r="AY79" s="145"/>
      <c r="AZ79" s="145"/>
      <c r="BA79" s="145"/>
      <c r="BB79" s="145"/>
      <c r="BC79" s="145"/>
      <c r="BD79" s="145"/>
      <c r="BE79" s="145"/>
      <c r="BF79" s="145"/>
      <c r="BG79" s="145"/>
      <c r="BH79" s="145"/>
      <c r="BI79" s="145"/>
      <c r="BJ79" s="145"/>
      <c r="BK79" s="145"/>
      <c r="BL79" s="145"/>
      <c r="BM79" s="145"/>
      <c r="BN79" s="145"/>
      <c r="BO79" s="145"/>
      <c r="BP79" s="145"/>
      <c r="BQ79" s="145"/>
      <c r="BR79" s="145"/>
      <c r="BS79" s="145"/>
      <c r="BT79" s="145"/>
    </row>
    <row r="80" spans="1:72">
      <c r="A80" s="443" t="s">
        <v>192</v>
      </c>
      <c r="B80" s="289"/>
      <c r="C80" s="289">
        <v>1</v>
      </c>
      <c r="D80" s="289">
        <v>1.2</v>
      </c>
      <c r="E80" s="289">
        <v>1.4</v>
      </c>
      <c r="F80" s="289">
        <v>1.6</v>
      </c>
      <c r="G80" s="289">
        <v>1.8</v>
      </c>
      <c r="H80" s="289">
        <v>2</v>
      </c>
      <c r="I80" s="289">
        <v>2.2000000000000002</v>
      </c>
      <c r="J80" s="289">
        <v>2.2999999999999998</v>
      </c>
      <c r="K80" s="289">
        <v>2.4</v>
      </c>
      <c r="L80" s="289">
        <v>2.6</v>
      </c>
      <c r="M80" s="289">
        <v>2.8</v>
      </c>
      <c r="N80" s="289">
        <v>3</v>
      </c>
      <c r="O80" s="289">
        <v>3.2</v>
      </c>
      <c r="P80" s="289">
        <v>3.4</v>
      </c>
      <c r="Q80" s="289">
        <v>3.6</v>
      </c>
      <c r="R80" s="289">
        <v>3.8</v>
      </c>
      <c r="S80" s="289">
        <v>4</v>
      </c>
      <c r="T80" s="289">
        <v>4.2</v>
      </c>
      <c r="U80" s="289">
        <v>4.4000000000000004</v>
      </c>
      <c r="V80" s="289">
        <v>4.5999999999999996</v>
      </c>
      <c r="W80" s="289">
        <v>4.8</v>
      </c>
      <c r="X80" s="289">
        <v>5</v>
      </c>
      <c r="Y80" s="289">
        <v>5.2</v>
      </c>
      <c r="Z80" s="289">
        <v>5.4</v>
      </c>
      <c r="AA80" s="289">
        <v>5.6</v>
      </c>
      <c r="AB80" s="289">
        <v>5.8</v>
      </c>
      <c r="AC80" s="291">
        <v>6</v>
      </c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5"/>
      <c r="AV80" s="145"/>
      <c r="AW80" s="145"/>
      <c r="AX80" s="145"/>
      <c r="AY80" s="145"/>
      <c r="AZ80" s="145"/>
      <c r="BA80" s="145"/>
      <c r="BB80" s="145"/>
      <c r="BC80" s="145"/>
      <c r="BD80" s="145"/>
      <c r="BE80" s="145"/>
      <c r="BF80" s="145"/>
      <c r="BG80" s="145"/>
      <c r="BH80" s="145"/>
      <c r="BI80" s="145"/>
      <c r="BJ80" s="145"/>
      <c r="BK80" s="145"/>
      <c r="BL80" s="145"/>
      <c r="BM80" s="145"/>
      <c r="BN80" s="145"/>
      <c r="BO80" s="145"/>
      <c r="BP80" s="145"/>
      <c r="BQ80" s="145"/>
      <c r="BR80" s="145"/>
      <c r="BS80" s="145"/>
      <c r="BT80" s="145"/>
    </row>
    <row r="81" spans="1:32" s="145" customFormat="1">
      <c r="A81" s="444" t="s">
        <v>193</v>
      </c>
      <c r="B81" s="445"/>
      <c r="C81" s="445">
        <v>120</v>
      </c>
      <c r="D81" s="445">
        <v>135</v>
      </c>
      <c r="E81" s="445">
        <v>160</v>
      </c>
      <c r="F81" s="445">
        <v>180</v>
      </c>
      <c r="G81" s="445">
        <v>240</v>
      </c>
      <c r="H81" s="445">
        <v>270</v>
      </c>
      <c r="I81" s="445">
        <v>325</v>
      </c>
      <c r="J81" s="445">
        <v>350</v>
      </c>
      <c r="K81" s="445">
        <v>380</v>
      </c>
      <c r="L81" s="445">
        <v>440</v>
      </c>
      <c r="M81" s="445">
        <v>500</v>
      </c>
      <c r="N81" s="445">
        <v>550</v>
      </c>
      <c r="O81" s="445">
        <v>605</v>
      </c>
      <c r="P81" s="445">
        <v>665</v>
      </c>
      <c r="Q81" s="445">
        <v>710</v>
      </c>
      <c r="R81" s="445">
        <v>760</v>
      </c>
      <c r="S81" s="445">
        <v>800</v>
      </c>
      <c r="T81" s="445">
        <v>850</v>
      </c>
      <c r="U81" s="445">
        <v>900</v>
      </c>
      <c r="V81" s="445">
        <v>920</v>
      </c>
      <c r="W81" s="445">
        <v>925</v>
      </c>
      <c r="X81" s="445">
        <v>925</v>
      </c>
      <c r="Y81" s="445">
        <v>920</v>
      </c>
      <c r="Z81" s="445">
        <v>900</v>
      </c>
      <c r="AA81" s="445">
        <v>830</v>
      </c>
      <c r="AB81" s="445">
        <v>750</v>
      </c>
      <c r="AC81" s="446">
        <v>710</v>
      </c>
      <c r="AD81" s="142"/>
      <c r="AE81" s="142"/>
      <c r="AF81" s="142"/>
    </row>
    <row r="82" spans="1:32" s="145" customFormat="1">
      <c r="A82" s="444" t="s">
        <v>194</v>
      </c>
      <c r="B82" s="445"/>
      <c r="C82" s="445">
        <v>1</v>
      </c>
      <c r="D82" s="445">
        <v>1.2</v>
      </c>
      <c r="E82" s="445">
        <v>1.4</v>
      </c>
      <c r="F82" s="445">
        <v>1.6</v>
      </c>
      <c r="G82" s="445">
        <v>1.8</v>
      </c>
      <c r="H82" s="445">
        <v>2</v>
      </c>
      <c r="I82" s="445">
        <v>2.2000000000000002</v>
      </c>
      <c r="J82" s="445">
        <v>2.2999999999999998</v>
      </c>
      <c r="K82" s="445">
        <v>2.4</v>
      </c>
      <c r="L82" s="445">
        <v>2.6</v>
      </c>
      <c r="M82" s="445">
        <v>2.8</v>
      </c>
      <c r="N82" s="445">
        <v>3</v>
      </c>
      <c r="O82" s="445">
        <v>3.2</v>
      </c>
      <c r="P82" s="445">
        <v>3.4</v>
      </c>
      <c r="Q82" s="445">
        <v>3.6</v>
      </c>
      <c r="R82" s="445">
        <v>3.8</v>
      </c>
      <c r="S82" s="445">
        <v>4</v>
      </c>
      <c r="T82" s="445">
        <v>4.2</v>
      </c>
      <c r="U82" s="445">
        <v>4.4000000000000004</v>
      </c>
      <c r="V82" s="445">
        <v>4.5999999999999996</v>
      </c>
      <c r="W82" s="445">
        <v>4.8</v>
      </c>
      <c r="X82" s="445">
        <v>5</v>
      </c>
      <c r="Y82" s="445">
        <v>5.2</v>
      </c>
      <c r="Z82" s="445">
        <v>5.4</v>
      </c>
      <c r="AA82" s="445">
        <v>5.6</v>
      </c>
      <c r="AB82" s="445">
        <v>5.8</v>
      </c>
      <c r="AC82" s="446">
        <v>6</v>
      </c>
      <c r="AD82" s="142"/>
      <c r="AE82" s="142"/>
      <c r="AF82" s="142"/>
    </row>
    <row r="83" spans="1:32" s="145" customFormat="1" ht="17.25" thickBot="1">
      <c r="A83" s="447" t="s">
        <v>195</v>
      </c>
      <c r="B83" s="293"/>
      <c r="C83" s="293">
        <v>74</v>
      </c>
      <c r="D83" s="293">
        <v>98</v>
      </c>
      <c r="E83" s="293">
        <v>119</v>
      </c>
      <c r="F83" s="293">
        <v>145</v>
      </c>
      <c r="G83" s="293">
        <v>165</v>
      </c>
      <c r="H83" s="293">
        <v>175</v>
      </c>
      <c r="I83" s="293">
        <v>180</v>
      </c>
      <c r="J83" s="293">
        <v>183</v>
      </c>
      <c r="K83" s="293">
        <v>185</v>
      </c>
      <c r="L83" s="293">
        <v>190</v>
      </c>
      <c r="M83" s="293">
        <v>195</v>
      </c>
      <c r="N83" s="293">
        <v>200</v>
      </c>
      <c r="O83" s="293">
        <v>203</v>
      </c>
      <c r="P83" s="293">
        <v>203</v>
      </c>
      <c r="Q83" s="293">
        <v>203</v>
      </c>
      <c r="R83" s="293">
        <v>203</v>
      </c>
      <c r="S83" s="293">
        <v>203</v>
      </c>
      <c r="T83" s="293">
        <v>203</v>
      </c>
      <c r="U83" s="293">
        <v>203</v>
      </c>
      <c r="V83" s="293">
        <v>203</v>
      </c>
      <c r="W83" s="293">
        <v>203</v>
      </c>
      <c r="X83" s="293">
        <v>203</v>
      </c>
      <c r="Y83" s="293">
        <v>203</v>
      </c>
      <c r="Z83" s="293">
        <v>203</v>
      </c>
      <c r="AA83" s="293">
        <v>203</v>
      </c>
      <c r="AB83" s="293">
        <v>203</v>
      </c>
      <c r="AC83" s="295">
        <v>196</v>
      </c>
      <c r="AD83" s="142"/>
      <c r="AE83" s="142"/>
      <c r="AF83" s="142"/>
    </row>
    <row r="84" spans="1:32" s="145" customFormat="1">
      <c r="A84" s="216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</row>
    <row r="85" spans="1:32" s="145" customFormat="1" ht="17.25" thickBot="1">
      <c r="A85" s="216" t="s">
        <v>196</v>
      </c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</row>
    <row r="86" spans="1:32" s="145" customFormat="1">
      <c r="A86" s="448" t="s">
        <v>197</v>
      </c>
      <c r="B86" s="449"/>
      <c r="C86" s="449">
        <v>100</v>
      </c>
      <c r="D86" s="449">
        <v>150</v>
      </c>
      <c r="E86" s="449">
        <v>200</v>
      </c>
      <c r="F86" s="449">
        <v>250</v>
      </c>
      <c r="G86" s="449">
        <v>300</v>
      </c>
      <c r="H86" s="450">
        <v>375</v>
      </c>
      <c r="I86" s="450">
        <v>450</v>
      </c>
      <c r="J86" s="449">
        <v>0</v>
      </c>
      <c r="K86" s="449">
        <v>0</v>
      </c>
      <c r="L86" s="449">
        <v>2.4</v>
      </c>
      <c r="M86" s="451">
        <v>3</v>
      </c>
      <c r="N86" s="449">
        <v>3.7</v>
      </c>
      <c r="O86" s="449">
        <v>4.3</v>
      </c>
      <c r="P86" s="451">
        <v>4.9000000000000004</v>
      </c>
      <c r="Q86" s="452">
        <v>5.5</v>
      </c>
      <c r="R86" s="451">
        <v>6.1</v>
      </c>
      <c r="S86" s="451">
        <v>6.7</v>
      </c>
      <c r="T86" s="451">
        <v>7.3</v>
      </c>
      <c r="U86" s="453">
        <v>7.6</v>
      </c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</row>
    <row r="87" spans="1:32" s="145" customFormat="1" ht="17.25" thickBot="1">
      <c r="A87" s="454" t="s">
        <v>146</v>
      </c>
      <c r="B87" s="455" t="s">
        <v>370</v>
      </c>
      <c r="C87" s="456">
        <v>18</v>
      </c>
      <c r="D87" s="456">
        <v>31</v>
      </c>
      <c r="E87" s="456">
        <v>46</v>
      </c>
      <c r="F87" s="456">
        <v>70</v>
      </c>
      <c r="G87" s="457">
        <v>99</v>
      </c>
      <c r="H87" s="457">
        <v>133</v>
      </c>
      <c r="I87" s="457">
        <v>219</v>
      </c>
      <c r="J87" s="458">
        <v>0</v>
      </c>
      <c r="K87" s="458">
        <v>0</v>
      </c>
      <c r="L87" s="458">
        <v>0.1</v>
      </c>
      <c r="M87" s="459">
        <v>0.2</v>
      </c>
      <c r="N87" s="458">
        <v>0.4</v>
      </c>
      <c r="O87" s="458">
        <v>0.7</v>
      </c>
      <c r="P87" s="459">
        <v>0.9</v>
      </c>
      <c r="Q87" s="460">
        <v>1.2</v>
      </c>
      <c r="R87" s="459">
        <v>1.5</v>
      </c>
      <c r="S87" s="459">
        <v>1.6</v>
      </c>
      <c r="T87" s="458">
        <v>1.8</v>
      </c>
      <c r="U87" s="461">
        <v>2</v>
      </c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216"/>
    </row>
    <row r="88" spans="1:32" s="145" customFormat="1">
      <c r="A88" s="142"/>
      <c r="B88" s="142"/>
      <c r="C88" s="142" t="s">
        <v>198</v>
      </c>
      <c r="D88" s="142" t="s">
        <v>198</v>
      </c>
      <c r="E88" s="142" t="s">
        <v>369</v>
      </c>
      <c r="F88" s="142" t="s">
        <v>369</v>
      </c>
      <c r="G88" s="142" t="s">
        <v>369</v>
      </c>
      <c r="H88" s="142" t="s">
        <v>369</v>
      </c>
      <c r="I88" s="142" t="s">
        <v>369</v>
      </c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</row>
  </sheetData>
  <mergeCells count="1">
    <mergeCell ref="A1:AE1"/>
  </mergeCells>
  <printOptions horizontalCentered="1" verticalCentered="1" gridLines="1"/>
  <pageMargins left="0.5" right="0.25" top="0.25" bottom="0.25" header="0.25" footer="0.25"/>
  <pageSetup paperSize="3" scale="61" orientation="landscape" horizontalDpi="4294967295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87"/>
  <sheetViews>
    <sheetView view="pageBreakPreview" zoomScale="85" zoomScaleNormal="85" zoomScaleSheetLayoutView="85" workbookViewId="0">
      <selection activeCell="L3" sqref="L3:L8"/>
    </sheetView>
  </sheetViews>
  <sheetFormatPr defaultColWidth="12.42578125" defaultRowHeight="12"/>
  <cols>
    <col min="1" max="1" width="4.85546875" style="2" customWidth="1"/>
    <col min="2" max="2" width="19" style="2" customWidth="1"/>
    <col min="3" max="3" width="12.7109375" style="2" customWidth="1"/>
    <col min="4" max="4" width="9.85546875" style="2" customWidth="1"/>
    <col min="5" max="5" width="10.85546875" style="2" customWidth="1"/>
    <col min="6" max="6" width="14.42578125" style="2" customWidth="1"/>
    <col min="7" max="7" width="12.28515625" style="2" customWidth="1"/>
    <col min="8" max="8" width="12.42578125" style="2"/>
    <col min="9" max="9" width="9.85546875" style="2" customWidth="1"/>
    <col min="10" max="10" width="10.85546875" style="2" customWidth="1"/>
    <col min="11" max="11" width="12.42578125" style="2" customWidth="1"/>
    <col min="12" max="12" width="13.28515625" style="2" customWidth="1"/>
    <col min="13" max="13" width="9.42578125" style="2" customWidth="1"/>
    <col min="14" max="14" width="15.85546875" style="2" customWidth="1"/>
    <col min="15" max="15" width="9.85546875" style="2" customWidth="1"/>
    <col min="16" max="16" width="15.140625" style="2" customWidth="1"/>
    <col min="17" max="17" width="13.5703125" style="2" customWidth="1"/>
    <col min="18" max="18" width="12.42578125" style="2"/>
    <col min="19" max="21" width="12.140625" style="2" customWidth="1"/>
    <col min="22" max="22" width="15" style="2" customWidth="1"/>
    <col min="23" max="23" width="13.5703125" style="2" customWidth="1"/>
    <col min="24" max="24" width="11.5703125" style="2" customWidth="1"/>
    <col min="25" max="25" width="16.7109375" style="2" customWidth="1"/>
    <col min="26" max="16384" width="12.42578125" style="2"/>
  </cols>
  <sheetData>
    <row r="1" spans="1:25" s="1" customFormat="1" ht="23.25">
      <c r="A1" s="554" t="s">
        <v>385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554"/>
      <c r="X1" s="554"/>
      <c r="Y1" s="554"/>
    </row>
    <row r="2" spans="1:25" ht="17.25" thickBot="1">
      <c r="B2" s="134"/>
      <c r="C2" s="72"/>
    </row>
    <row r="3" spans="1:25" ht="17.25" thickBot="1">
      <c r="A3" s="144" t="s">
        <v>383</v>
      </c>
      <c r="B3" s="142"/>
      <c r="C3" s="3"/>
      <c r="D3" s="4" t="s">
        <v>199</v>
      </c>
      <c r="E3" s="5"/>
      <c r="F3" s="6">
        <v>1.2</v>
      </c>
      <c r="G3" s="4" t="s">
        <v>200</v>
      </c>
      <c r="H3" s="5"/>
      <c r="I3" s="7">
        <v>22</v>
      </c>
      <c r="J3" s="3"/>
      <c r="K3" s="8" t="s">
        <v>201</v>
      </c>
      <c r="L3" s="7">
        <v>32</v>
      </c>
      <c r="M3" s="9"/>
      <c r="N3" s="10" t="s">
        <v>88</v>
      </c>
      <c r="O3" s="6">
        <v>100</v>
      </c>
      <c r="P3" s="3"/>
      <c r="Q3" s="9"/>
      <c r="R3" s="3"/>
      <c r="S3" s="3"/>
      <c r="T3" s="4" t="s">
        <v>202</v>
      </c>
      <c r="U3" s="11">
        <v>1</v>
      </c>
      <c r="V3" s="3"/>
      <c r="W3" s="3"/>
      <c r="X3" s="3"/>
      <c r="Y3" s="3"/>
    </row>
    <row r="4" spans="1:25" ht="16.5">
      <c r="A4" s="153"/>
      <c r="B4" s="142"/>
      <c r="C4" s="3"/>
      <c r="D4" s="12" t="s">
        <v>203</v>
      </c>
      <c r="E4" s="3"/>
      <c r="F4" s="13">
        <v>0.3</v>
      </c>
      <c r="G4" s="12" t="s">
        <v>204</v>
      </c>
      <c r="H4" s="3"/>
      <c r="I4" s="14">
        <v>35</v>
      </c>
      <c r="J4" s="9"/>
      <c r="K4" s="15" t="s">
        <v>205</v>
      </c>
      <c r="L4" s="16">
        <v>51</v>
      </c>
      <c r="M4" s="9"/>
      <c r="N4" s="17" t="s">
        <v>93</v>
      </c>
      <c r="O4" s="13">
        <v>1</v>
      </c>
      <c r="P4" s="9"/>
      <c r="Q4" s="18" t="s">
        <v>206</v>
      </c>
      <c r="R4" s="19">
        <v>5</v>
      </c>
      <c r="S4" s="3"/>
      <c r="T4" s="12" t="s">
        <v>207</v>
      </c>
      <c r="U4" s="14">
        <v>1</v>
      </c>
      <c r="V4" s="3"/>
      <c r="W4" s="3"/>
      <c r="X4" s="3"/>
      <c r="Y4" s="3"/>
    </row>
    <row r="5" spans="1:25" ht="16.5">
      <c r="A5" s="153" t="s">
        <v>6</v>
      </c>
      <c r="B5" s="163"/>
      <c r="C5" s="3"/>
      <c r="D5" s="12" t="s">
        <v>208</v>
      </c>
      <c r="E5" s="3"/>
      <c r="F5" s="13">
        <v>0</v>
      </c>
      <c r="G5" s="12" t="s">
        <v>209</v>
      </c>
      <c r="H5" s="3"/>
      <c r="I5" s="16">
        <v>10</v>
      </c>
      <c r="J5" s="9"/>
      <c r="K5" s="15" t="s">
        <v>210</v>
      </c>
      <c r="L5" s="16">
        <v>84</v>
      </c>
      <c r="M5" s="9"/>
      <c r="N5" s="17" t="s">
        <v>98</v>
      </c>
      <c r="O5" s="13">
        <v>1.1000000000000001</v>
      </c>
      <c r="P5" s="3"/>
      <c r="Q5" s="20"/>
      <c r="R5" s="21"/>
      <c r="S5" s="3"/>
      <c r="T5" s="12" t="s">
        <v>211</v>
      </c>
      <c r="U5" s="14">
        <v>1.02078</v>
      </c>
      <c r="V5" s="9"/>
      <c r="W5" s="3"/>
      <c r="X5" s="3"/>
      <c r="Y5" s="3"/>
    </row>
    <row r="6" spans="1:25" ht="13.5" thickBot="1">
      <c r="A6" s="9"/>
      <c r="B6" s="3"/>
      <c r="C6" s="3"/>
      <c r="D6" s="12" t="s">
        <v>212</v>
      </c>
      <c r="E6" s="3"/>
      <c r="F6" s="22">
        <v>9000</v>
      </c>
      <c r="G6" s="12" t="s">
        <v>213</v>
      </c>
      <c r="H6" s="3"/>
      <c r="I6" s="14">
        <v>30</v>
      </c>
      <c r="J6" s="9"/>
      <c r="K6" s="15" t="s">
        <v>214</v>
      </c>
      <c r="L6" s="16">
        <v>142</v>
      </c>
      <c r="M6" s="9"/>
      <c r="N6" s="17" t="s">
        <v>215</v>
      </c>
      <c r="O6" s="13">
        <v>0.9</v>
      </c>
      <c r="P6" s="3"/>
      <c r="Q6" s="20"/>
      <c r="R6" s="21"/>
      <c r="S6" s="3"/>
      <c r="T6" s="23"/>
      <c r="U6" s="24">
        <v>1.0774900000000001</v>
      </c>
      <c r="V6" s="3"/>
      <c r="W6" s="3"/>
      <c r="X6" s="3"/>
      <c r="Y6" s="3"/>
    </row>
    <row r="7" spans="1:25" ht="17.25" thickBot="1">
      <c r="A7" s="25"/>
      <c r="B7" s="135"/>
      <c r="C7" s="3"/>
      <c r="D7" s="12" t="s">
        <v>216</v>
      </c>
      <c r="E7" s="3"/>
      <c r="F7" s="22">
        <v>300</v>
      </c>
      <c r="G7" s="12" t="s">
        <v>217</v>
      </c>
      <c r="H7" s="3"/>
      <c r="I7" s="16">
        <v>10</v>
      </c>
      <c r="J7" s="9"/>
      <c r="K7" s="15" t="s">
        <v>218</v>
      </c>
      <c r="L7" s="16">
        <v>165</v>
      </c>
      <c r="M7" s="9"/>
      <c r="N7" s="17" t="s">
        <v>219</v>
      </c>
      <c r="O7" s="13">
        <v>1</v>
      </c>
      <c r="P7" s="3"/>
      <c r="Q7" s="26" t="s">
        <v>220</v>
      </c>
      <c r="R7" s="27">
        <v>620</v>
      </c>
      <c r="S7" s="3"/>
      <c r="T7" s="3"/>
      <c r="U7" s="3"/>
      <c r="V7" s="9" t="s">
        <v>221</v>
      </c>
      <c r="W7" s="3"/>
      <c r="Y7" s="3"/>
    </row>
    <row r="8" spans="1:25" ht="13.5" thickBot="1">
      <c r="A8" s="9"/>
      <c r="B8" s="3"/>
      <c r="C8" s="28"/>
      <c r="D8" s="29" t="s">
        <v>222</v>
      </c>
      <c r="E8" s="30"/>
      <c r="F8" s="31">
        <v>65</v>
      </c>
      <c r="G8" s="29" t="s">
        <v>223</v>
      </c>
      <c r="H8" s="30"/>
      <c r="I8" s="31">
        <v>0</v>
      </c>
      <c r="J8" s="3"/>
      <c r="K8" s="32" t="s">
        <v>224</v>
      </c>
      <c r="L8" s="33">
        <v>250</v>
      </c>
      <c r="M8" s="9"/>
      <c r="N8" s="34" t="s">
        <v>225</v>
      </c>
      <c r="O8" s="31">
        <v>0.15</v>
      </c>
      <c r="P8" s="3"/>
      <c r="Q8" s="3"/>
      <c r="R8" s="3"/>
      <c r="S8" s="3"/>
      <c r="T8" s="3"/>
      <c r="U8" s="3"/>
      <c r="V8" s="3"/>
      <c r="W8" s="3"/>
      <c r="X8" s="139" t="s">
        <v>226</v>
      </c>
      <c r="Y8" s="140">
        <v>44859</v>
      </c>
    </row>
    <row r="9" spans="1:25" ht="12.75">
      <c r="A9" s="9"/>
      <c r="B9" s="3"/>
      <c r="C9" s="28"/>
      <c r="D9" s="9"/>
      <c r="E9" s="3"/>
      <c r="F9" s="35"/>
      <c r="G9" s="9"/>
      <c r="H9" s="3"/>
      <c r="I9" s="35"/>
      <c r="J9" s="3"/>
      <c r="K9" s="9"/>
      <c r="L9" s="36"/>
      <c r="M9" s="9"/>
      <c r="N9" s="3"/>
      <c r="O9" s="35"/>
      <c r="P9" s="3"/>
      <c r="Q9" s="3"/>
      <c r="R9" s="3"/>
      <c r="S9" s="3"/>
      <c r="T9" s="3"/>
      <c r="U9" s="3"/>
      <c r="V9" s="3"/>
      <c r="W9" s="3"/>
      <c r="X9" s="37" t="s">
        <v>114</v>
      </c>
      <c r="Y9" s="38">
        <f ca="1">TODAY()</f>
        <v>46143</v>
      </c>
    </row>
    <row r="10" spans="1:25" ht="13.5" thickBot="1">
      <c r="A10" s="39"/>
      <c r="B10" s="39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9"/>
      <c r="O10" s="3"/>
      <c r="P10" s="39"/>
      <c r="Q10" s="3"/>
      <c r="R10" s="3"/>
      <c r="S10" s="3"/>
      <c r="T10" s="3"/>
      <c r="U10" s="3"/>
      <c r="V10" s="3"/>
      <c r="W10" s="3"/>
      <c r="X10" s="3"/>
      <c r="Y10" s="3"/>
    </row>
    <row r="11" spans="1:25" s="45" customFormat="1" ht="12.75">
      <c r="A11" s="40" t="s">
        <v>227</v>
      </c>
      <c r="B11" s="41" t="s">
        <v>228</v>
      </c>
      <c r="C11" s="42" t="s">
        <v>229</v>
      </c>
      <c r="D11" s="40" t="s">
        <v>230</v>
      </c>
      <c r="E11" s="40" t="s">
        <v>231</v>
      </c>
      <c r="F11" s="41" t="s">
        <v>232</v>
      </c>
      <c r="G11" s="40" t="s">
        <v>233</v>
      </c>
      <c r="H11" s="40" t="s">
        <v>233</v>
      </c>
      <c r="I11" s="40" t="s">
        <v>129</v>
      </c>
      <c r="J11" s="40" t="s">
        <v>234</v>
      </c>
      <c r="K11" s="43" t="s">
        <v>235</v>
      </c>
      <c r="L11" s="43" t="s">
        <v>236</v>
      </c>
      <c r="M11" s="44" t="s">
        <v>237</v>
      </c>
      <c r="N11" s="40" t="s">
        <v>238</v>
      </c>
      <c r="O11" s="41" t="s">
        <v>127</v>
      </c>
      <c r="P11" s="42" t="s">
        <v>131</v>
      </c>
      <c r="Q11" s="40" t="s">
        <v>229</v>
      </c>
      <c r="R11" s="40" t="s">
        <v>131</v>
      </c>
      <c r="S11" s="40" t="s">
        <v>131</v>
      </c>
      <c r="T11" s="40" t="s">
        <v>131</v>
      </c>
      <c r="U11" s="40" t="s">
        <v>131</v>
      </c>
      <c r="V11" s="40" t="s">
        <v>37</v>
      </c>
      <c r="W11" s="40" t="s">
        <v>37</v>
      </c>
      <c r="X11" s="41" t="s">
        <v>239</v>
      </c>
      <c r="Y11" s="40" t="s">
        <v>131</v>
      </c>
    </row>
    <row r="12" spans="1:25" s="45" customFormat="1" ht="13.5" thickBot="1">
      <c r="A12" s="46" t="s">
        <v>240</v>
      </c>
      <c r="B12" s="47" t="s">
        <v>241</v>
      </c>
      <c r="C12" s="48" t="str">
        <f>IF(O4=1,"METERS","FEET")</f>
        <v>METERS</v>
      </c>
      <c r="D12" s="46" t="s">
        <v>242</v>
      </c>
      <c r="E12" s="46" t="s">
        <v>243</v>
      </c>
      <c r="F12" s="47" t="s">
        <v>244</v>
      </c>
      <c r="G12" s="46" t="s">
        <v>245</v>
      </c>
      <c r="H12" s="46" t="s">
        <v>140</v>
      </c>
      <c r="I12" s="46" t="s">
        <v>246</v>
      </c>
      <c r="J12" s="46" t="s">
        <v>247</v>
      </c>
      <c r="K12" s="49" t="s">
        <v>247</v>
      </c>
      <c r="L12" s="49" t="s">
        <v>132</v>
      </c>
      <c r="M12" s="49" t="s">
        <v>146</v>
      </c>
      <c r="N12" s="46" t="s">
        <v>248</v>
      </c>
      <c r="O12" s="47" t="s">
        <v>144</v>
      </c>
      <c r="P12" s="48" t="s">
        <v>249</v>
      </c>
      <c r="Q12" s="46" t="s">
        <v>250</v>
      </c>
      <c r="R12" s="46" t="s">
        <v>147</v>
      </c>
      <c r="S12" s="46" t="s">
        <v>251</v>
      </c>
      <c r="T12" s="46" t="s">
        <v>252</v>
      </c>
      <c r="U12" s="46" t="s">
        <v>253</v>
      </c>
      <c r="V12" s="46" t="s">
        <v>237</v>
      </c>
      <c r="W12" s="46" t="s">
        <v>65</v>
      </c>
      <c r="X12" s="47" t="str">
        <f>IF(O4=1,"$/METER","$/FOOT")</f>
        <v>$/METER</v>
      </c>
      <c r="Y12" s="46" t="s">
        <v>132</v>
      </c>
    </row>
    <row r="13" spans="1:25" ht="12.75">
      <c r="A13" s="50"/>
      <c r="B13" s="51"/>
      <c r="C13" s="52"/>
      <c r="D13" s="52"/>
      <c r="E13" s="52"/>
      <c r="F13" s="51"/>
      <c r="G13" s="52"/>
      <c r="H13" s="52"/>
      <c r="I13" s="51"/>
      <c r="J13" s="53"/>
      <c r="K13" s="53"/>
      <c r="L13" s="53"/>
      <c r="M13" s="54"/>
      <c r="N13" s="52"/>
      <c r="O13" s="51"/>
      <c r="P13" s="52"/>
      <c r="Q13" s="52"/>
      <c r="R13" s="52"/>
      <c r="S13" s="52"/>
      <c r="T13" s="52"/>
      <c r="U13" s="52"/>
      <c r="V13" s="52"/>
      <c r="W13" s="52"/>
      <c r="X13" s="51"/>
      <c r="Y13" s="52"/>
    </row>
    <row r="14" spans="1:25" ht="12.75">
      <c r="A14" s="55">
        <v>1</v>
      </c>
      <c r="B14" s="467"/>
      <c r="C14" s="52"/>
      <c r="D14" s="61"/>
      <c r="E14" s="56">
        <f t="shared" ref="E14:E19" si="0">(D14=100)*L$3+(D14=150)*L$4+(D14=200)*L$5+(D14=250)*L$6+(D14=300)*L$7</f>
        <v>0</v>
      </c>
      <c r="F14" s="57">
        <v>1.1000000000000001</v>
      </c>
      <c r="G14" s="52"/>
      <c r="H14" s="52"/>
      <c r="I14" s="51">
        <f t="shared" ref="I14:I19" si="1">IF(F14&gt;2,F$8*0.9,F$8)*(O$3/100)</f>
        <v>65</v>
      </c>
      <c r="J14" s="547">
        <v>1.8</v>
      </c>
      <c r="K14" s="52">
        <f t="shared" ref="K14:K19" si="2">(TRUNC(F14)=2)*((I$8=0)*IF(F$4=0,0,J14-F$5)+(I$8&gt;0)*(J14-I$8-F$5))+(TRUNC(F14)=1)*((I$8=0)*IF(F$4=0,0,F$4))</f>
        <v>0.3</v>
      </c>
      <c r="L14" s="52">
        <f t="shared" ref="L14:L19" si="3">IF(F14&gt;2,F$6+0.5*F$7,F$6)</f>
        <v>9000</v>
      </c>
      <c r="M14" s="548">
        <f t="shared" ref="M14:M19" si="4">(C14&gt;0)*L14/I14*IF(OR(F14=1.2,F14=2.2),0.6,1)</f>
        <v>0</v>
      </c>
      <c r="N14" s="547">
        <f t="shared" ref="N14:N19" si="5">(F14=1.1)*F$3+(F14=1.2)*(2*1.25*D14/1000+2*O$8+O$7)/2+(F14=2.1)*(F$3+0.3)+(F14=2.2)*(2*1.25*D14/1000+4*O$8+O$7)/2</f>
        <v>1.2</v>
      </c>
      <c r="O14" s="51">
        <f t="shared" ref="O14:O19" si="6">((N14*(J14+1.25*D14/1000+0.1)+(TRUNC(F14)=1)*(J14-0.9)^2*O$6)*IF(F14-TRUNC(F14)=0.2,0.5,1))*(C14&gt;0)</f>
        <v>0</v>
      </c>
      <c r="P14" s="59">
        <f t="shared" ref="P14:P19" si="7">O14*C14*IF(O$4=1,1,1/3.28)</f>
        <v>0</v>
      </c>
      <c r="Q14" s="59">
        <f t="shared" ref="Q14:Q19" si="8">IF(F14-TRUNC(F14)=0.2,0.5,1)*C14*IF(O$4=1,1,1/3.28)</f>
        <v>0</v>
      </c>
      <c r="R14" s="52">
        <f t="shared" ref="R14:R19" si="9">C14*E14*U$3*IF(O$4=1,1,1/3.28)</f>
        <v>0</v>
      </c>
      <c r="S14" s="52">
        <f t="shared" ref="S14:S19" si="10">IF(I$8&gt;0,N14*(0.1+0.00125*D14+I$8)-PI()*(D14*0.00125)^2/4,0)*2*I4*C14*IF(O$4=2,1,1/3.28)</f>
        <v>0</v>
      </c>
      <c r="T14" s="52">
        <f t="shared" ref="T14:T19" si="11">IF(K14=0,0,1)*IF(AND(I$8=0,K14&gt;0),N14*(0.1+0.00125*D14+K14)-PI()*(D14*0.00125)^2/4,N14*K14)*2*I$6*C14*IF(O$4=1,1,1/3.28)</f>
        <v>0</v>
      </c>
      <c r="U14" s="52">
        <f t="shared" ref="U14:U19" si="12">G14+R14+S14+T14</f>
        <v>0</v>
      </c>
      <c r="V14" s="52">
        <f t="shared" ref="V14:V19" si="13">H14+C14*M14*IF(O$4=1,1,1/3.28)</f>
        <v>0</v>
      </c>
      <c r="W14" s="52">
        <f t="shared" ref="W14:W19" si="14">((IF(S14=0,0,S14/I$4)+IF(T14=0,0,T14/I$6))/2+PI()*(D14*0.00125)^2/4*C14*IF(O$4=1,1,1/3.28))*I$7</f>
        <v>0</v>
      </c>
      <c r="X14" s="51">
        <f t="shared" ref="X14:X19" si="15">IF(C14=0,0,(U14+V14+W14)/C14)</f>
        <v>0</v>
      </c>
      <c r="Y14" s="60">
        <f t="shared" ref="Y14:Y19" si="16">U14+V14+W14</f>
        <v>0</v>
      </c>
    </row>
    <row r="15" spans="1:25" ht="12.75">
      <c r="A15" s="55">
        <v>2</v>
      </c>
      <c r="B15" s="467"/>
      <c r="C15" s="52"/>
      <c r="D15" s="61"/>
      <c r="E15" s="56">
        <f t="shared" si="0"/>
        <v>0</v>
      </c>
      <c r="F15" s="57">
        <v>1.1000000000000001</v>
      </c>
      <c r="G15" s="52"/>
      <c r="H15" s="52"/>
      <c r="I15" s="51">
        <f t="shared" si="1"/>
        <v>65</v>
      </c>
      <c r="J15" s="547">
        <v>1.8</v>
      </c>
      <c r="K15" s="52">
        <f t="shared" si="2"/>
        <v>0.3</v>
      </c>
      <c r="L15" s="52">
        <f t="shared" si="3"/>
        <v>9000</v>
      </c>
      <c r="M15" s="548">
        <f t="shared" si="4"/>
        <v>0</v>
      </c>
      <c r="N15" s="547">
        <f t="shared" si="5"/>
        <v>1.2</v>
      </c>
      <c r="O15" s="51">
        <f t="shared" si="6"/>
        <v>0</v>
      </c>
      <c r="P15" s="59">
        <f t="shared" si="7"/>
        <v>0</v>
      </c>
      <c r="Q15" s="59">
        <f t="shared" si="8"/>
        <v>0</v>
      </c>
      <c r="R15" s="52">
        <f t="shared" si="9"/>
        <v>0</v>
      </c>
      <c r="S15" s="52">
        <f t="shared" si="10"/>
        <v>0</v>
      </c>
      <c r="T15" s="52">
        <f t="shared" si="11"/>
        <v>0</v>
      </c>
      <c r="U15" s="52">
        <f t="shared" si="12"/>
        <v>0</v>
      </c>
      <c r="V15" s="52">
        <f t="shared" si="13"/>
        <v>0</v>
      </c>
      <c r="W15" s="52">
        <f t="shared" si="14"/>
        <v>0</v>
      </c>
      <c r="X15" s="51">
        <f t="shared" si="15"/>
        <v>0</v>
      </c>
      <c r="Y15" s="60">
        <f t="shared" si="16"/>
        <v>0</v>
      </c>
    </row>
    <row r="16" spans="1:25" ht="12.75">
      <c r="A16" s="55">
        <v>3</v>
      </c>
      <c r="B16" s="51"/>
      <c r="C16" s="52"/>
      <c r="D16" s="61"/>
      <c r="E16" s="56">
        <f t="shared" si="0"/>
        <v>0</v>
      </c>
      <c r="F16" s="57">
        <v>1.1000000000000001</v>
      </c>
      <c r="G16" s="52"/>
      <c r="H16" s="52"/>
      <c r="I16" s="51">
        <f t="shared" si="1"/>
        <v>65</v>
      </c>
      <c r="J16" s="547">
        <v>1.8</v>
      </c>
      <c r="K16" s="52">
        <f t="shared" si="2"/>
        <v>0.3</v>
      </c>
      <c r="L16" s="52">
        <f t="shared" si="3"/>
        <v>9000</v>
      </c>
      <c r="M16" s="548">
        <f t="shared" si="4"/>
        <v>0</v>
      </c>
      <c r="N16" s="547">
        <f t="shared" si="5"/>
        <v>1.2</v>
      </c>
      <c r="O16" s="51">
        <f t="shared" si="6"/>
        <v>0</v>
      </c>
      <c r="P16" s="59">
        <f t="shared" si="7"/>
        <v>0</v>
      </c>
      <c r="Q16" s="59">
        <f t="shared" si="8"/>
        <v>0</v>
      </c>
      <c r="R16" s="52">
        <f t="shared" si="9"/>
        <v>0</v>
      </c>
      <c r="S16" s="52">
        <f t="shared" si="10"/>
        <v>0</v>
      </c>
      <c r="T16" s="52">
        <f t="shared" si="11"/>
        <v>0</v>
      </c>
      <c r="U16" s="52">
        <f t="shared" si="12"/>
        <v>0</v>
      </c>
      <c r="V16" s="52">
        <f t="shared" si="13"/>
        <v>0</v>
      </c>
      <c r="W16" s="52">
        <f t="shared" si="14"/>
        <v>0</v>
      </c>
      <c r="X16" s="51">
        <f t="shared" si="15"/>
        <v>0</v>
      </c>
      <c r="Y16" s="60">
        <f t="shared" si="16"/>
        <v>0</v>
      </c>
    </row>
    <row r="17" spans="1:25" ht="12.75">
      <c r="A17" s="55">
        <v>4</v>
      </c>
      <c r="B17" s="51"/>
      <c r="C17" s="52"/>
      <c r="D17" s="61"/>
      <c r="E17" s="56">
        <f t="shared" si="0"/>
        <v>0</v>
      </c>
      <c r="F17" s="57">
        <v>1.1000000000000001</v>
      </c>
      <c r="G17" s="52"/>
      <c r="H17" s="52"/>
      <c r="I17" s="51">
        <f t="shared" si="1"/>
        <v>65</v>
      </c>
      <c r="J17" s="547">
        <v>1.8</v>
      </c>
      <c r="K17" s="52">
        <f t="shared" si="2"/>
        <v>0.3</v>
      </c>
      <c r="L17" s="52">
        <f t="shared" si="3"/>
        <v>9000</v>
      </c>
      <c r="M17" s="548">
        <f t="shared" si="4"/>
        <v>0</v>
      </c>
      <c r="N17" s="547">
        <f t="shared" si="5"/>
        <v>1.2</v>
      </c>
      <c r="O17" s="51">
        <f t="shared" si="6"/>
        <v>0</v>
      </c>
      <c r="P17" s="59">
        <f t="shared" si="7"/>
        <v>0</v>
      </c>
      <c r="Q17" s="59">
        <f t="shared" si="8"/>
        <v>0</v>
      </c>
      <c r="R17" s="52">
        <f t="shared" si="9"/>
        <v>0</v>
      </c>
      <c r="S17" s="52">
        <f t="shared" si="10"/>
        <v>0</v>
      </c>
      <c r="T17" s="52">
        <f t="shared" si="11"/>
        <v>0</v>
      </c>
      <c r="U17" s="52">
        <f t="shared" si="12"/>
        <v>0</v>
      </c>
      <c r="V17" s="52">
        <f t="shared" si="13"/>
        <v>0</v>
      </c>
      <c r="W17" s="52">
        <f t="shared" si="14"/>
        <v>0</v>
      </c>
      <c r="X17" s="51">
        <f t="shared" si="15"/>
        <v>0</v>
      </c>
      <c r="Y17" s="60">
        <f t="shared" si="16"/>
        <v>0</v>
      </c>
    </row>
    <row r="18" spans="1:25" ht="12.75">
      <c r="A18" s="55">
        <v>5</v>
      </c>
      <c r="B18" s="51"/>
      <c r="C18" s="52"/>
      <c r="D18" s="61"/>
      <c r="E18" s="56">
        <f t="shared" si="0"/>
        <v>0</v>
      </c>
      <c r="F18" s="57">
        <v>1.1000000000000001</v>
      </c>
      <c r="G18" s="52"/>
      <c r="H18" s="52"/>
      <c r="I18" s="51">
        <f t="shared" si="1"/>
        <v>65</v>
      </c>
      <c r="J18" s="547">
        <v>1.8</v>
      </c>
      <c r="K18" s="52">
        <f t="shared" si="2"/>
        <v>0.3</v>
      </c>
      <c r="L18" s="52">
        <f t="shared" si="3"/>
        <v>9000</v>
      </c>
      <c r="M18" s="548">
        <f t="shared" si="4"/>
        <v>0</v>
      </c>
      <c r="N18" s="547">
        <f t="shared" si="5"/>
        <v>1.2</v>
      </c>
      <c r="O18" s="51">
        <f t="shared" si="6"/>
        <v>0</v>
      </c>
      <c r="P18" s="59">
        <f t="shared" si="7"/>
        <v>0</v>
      </c>
      <c r="Q18" s="59">
        <f t="shared" si="8"/>
        <v>0</v>
      </c>
      <c r="R18" s="52">
        <f t="shared" si="9"/>
        <v>0</v>
      </c>
      <c r="S18" s="52">
        <f t="shared" si="10"/>
        <v>0</v>
      </c>
      <c r="T18" s="52">
        <f t="shared" si="11"/>
        <v>0</v>
      </c>
      <c r="U18" s="52">
        <f t="shared" si="12"/>
        <v>0</v>
      </c>
      <c r="V18" s="52">
        <f t="shared" si="13"/>
        <v>0</v>
      </c>
      <c r="W18" s="52">
        <f t="shared" si="14"/>
        <v>0</v>
      </c>
      <c r="X18" s="51">
        <f t="shared" si="15"/>
        <v>0</v>
      </c>
      <c r="Y18" s="60">
        <f t="shared" si="16"/>
        <v>0</v>
      </c>
    </row>
    <row r="19" spans="1:25" ht="12.75">
      <c r="A19" s="55">
        <v>6</v>
      </c>
      <c r="B19" s="51"/>
      <c r="C19" s="52"/>
      <c r="D19" s="61"/>
      <c r="E19" s="56">
        <f t="shared" si="0"/>
        <v>0</v>
      </c>
      <c r="F19" s="57">
        <v>1.1000000000000001</v>
      </c>
      <c r="G19" s="52"/>
      <c r="H19" s="52"/>
      <c r="I19" s="51">
        <f t="shared" si="1"/>
        <v>65</v>
      </c>
      <c r="J19" s="547">
        <v>1.8</v>
      </c>
      <c r="K19" s="52">
        <f t="shared" si="2"/>
        <v>0.3</v>
      </c>
      <c r="L19" s="52">
        <f t="shared" si="3"/>
        <v>9000</v>
      </c>
      <c r="M19" s="548">
        <f t="shared" si="4"/>
        <v>0</v>
      </c>
      <c r="N19" s="547">
        <f t="shared" si="5"/>
        <v>1.2</v>
      </c>
      <c r="O19" s="51">
        <f t="shared" si="6"/>
        <v>0</v>
      </c>
      <c r="P19" s="59">
        <f t="shared" si="7"/>
        <v>0</v>
      </c>
      <c r="Q19" s="59">
        <f t="shared" si="8"/>
        <v>0</v>
      </c>
      <c r="R19" s="52">
        <f t="shared" si="9"/>
        <v>0</v>
      </c>
      <c r="S19" s="52">
        <f t="shared" si="10"/>
        <v>0</v>
      </c>
      <c r="T19" s="52">
        <f t="shared" si="11"/>
        <v>0</v>
      </c>
      <c r="U19" s="52">
        <f t="shared" si="12"/>
        <v>0</v>
      </c>
      <c r="V19" s="52">
        <f t="shared" si="13"/>
        <v>0</v>
      </c>
      <c r="W19" s="52">
        <f t="shared" si="14"/>
        <v>0</v>
      </c>
      <c r="X19" s="51">
        <f t="shared" si="15"/>
        <v>0</v>
      </c>
      <c r="Y19" s="60">
        <f t="shared" si="16"/>
        <v>0</v>
      </c>
    </row>
    <row r="20" spans="1:25" ht="13.5" thickBot="1">
      <c r="A20" s="62"/>
      <c r="B20" s="63"/>
      <c r="C20" s="52"/>
      <c r="D20" s="64"/>
      <c r="E20" s="64"/>
      <c r="F20" s="63"/>
      <c r="G20" s="52"/>
      <c r="H20" s="64"/>
      <c r="I20" s="63"/>
      <c r="J20" s="64"/>
      <c r="K20" s="64"/>
      <c r="L20" s="64"/>
      <c r="M20" s="63"/>
      <c r="N20" s="64"/>
      <c r="O20" s="63"/>
      <c r="P20" s="52"/>
      <c r="Q20" s="52"/>
      <c r="R20" s="52"/>
      <c r="S20" s="52"/>
      <c r="T20" s="52"/>
      <c r="U20" s="52"/>
      <c r="V20" s="52"/>
      <c r="W20" s="52"/>
      <c r="X20" s="63"/>
      <c r="Y20" s="52"/>
    </row>
    <row r="21" spans="1:25" s="72" customFormat="1" ht="13.5" thickBot="1">
      <c r="A21" s="65" t="s">
        <v>254</v>
      </c>
      <c r="B21" s="66"/>
      <c r="C21" s="67">
        <f>SUM(C13:C20)</f>
        <v>0</v>
      </c>
      <c r="D21" s="68" t="str">
        <f>IF(O4=1,"METERS","FEET")</f>
        <v>METERS</v>
      </c>
      <c r="E21" s="66"/>
      <c r="F21" s="66"/>
      <c r="G21" s="69">
        <f>SUM(G14:G19)</f>
        <v>0</v>
      </c>
      <c r="H21" s="69">
        <f>SUM(H14:H19)</f>
        <v>0</v>
      </c>
      <c r="I21" s="66"/>
      <c r="J21" s="66"/>
      <c r="K21" s="66"/>
      <c r="L21" s="66"/>
      <c r="M21" s="66"/>
      <c r="N21" s="66"/>
      <c r="O21" s="66"/>
      <c r="P21" s="67">
        <f t="shared" ref="P21:W21" si="17">SUM(P13:P20)</f>
        <v>0</v>
      </c>
      <c r="Q21" s="70">
        <f t="shared" si="17"/>
        <v>0</v>
      </c>
      <c r="R21" s="69">
        <f t="shared" si="17"/>
        <v>0</v>
      </c>
      <c r="S21" s="69">
        <f t="shared" si="17"/>
        <v>0</v>
      </c>
      <c r="T21" s="69">
        <f t="shared" si="17"/>
        <v>0</v>
      </c>
      <c r="U21" s="69">
        <f t="shared" si="17"/>
        <v>0</v>
      </c>
      <c r="V21" s="69">
        <f t="shared" si="17"/>
        <v>0</v>
      </c>
      <c r="W21" s="69">
        <f t="shared" si="17"/>
        <v>0</v>
      </c>
      <c r="X21" s="66"/>
      <c r="Y21" s="71">
        <f>SUM(Y13:Y20)</f>
        <v>0</v>
      </c>
    </row>
    <row r="22" spans="1:25" ht="13.5" thickBot="1">
      <c r="A22" s="3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9"/>
      <c r="Q22" s="3"/>
      <c r="R22" s="3"/>
      <c r="S22" s="3"/>
      <c r="T22" s="3"/>
      <c r="U22" s="3"/>
      <c r="V22" s="3"/>
      <c r="W22" s="3"/>
      <c r="X22" s="3"/>
      <c r="Y22" s="3"/>
    </row>
    <row r="23" spans="1:25" s="45" customFormat="1" ht="13.5" thickBot="1">
      <c r="A23" s="73" t="s">
        <v>255</v>
      </c>
      <c r="B23" s="74" t="s">
        <v>256</v>
      </c>
      <c r="C23" s="75" t="s">
        <v>257</v>
      </c>
      <c r="D23" s="74" t="s">
        <v>54</v>
      </c>
      <c r="E23" s="74" t="s">
        <v>258</v>
      </c>
      <c r="F23" s="74" t="s">
        <v>259</v>
      </c>
      <c r="G23" s="76" t="s">
        <v>260</v>
      </c>
      <c r="H23" s="74" t="s">
        <v>261</v>
      </c>
      <c r="I23" s="74" t="s">
        <v>262</v>
      </c>
      <c r="J23" s="74" t="s">
        <v>263</v>
      </c>
      <c r="K23" s="73" t="s">
        <v>54</v>
      </c>
      <c r="L23" s="74" t="s">
        <v>37</v>
      </c>
      <c r="M23" s="77"/>
      <c r="N23" s="74" t="s">
        <v>264</v>
      </c>
      <c r="O23" s="74" t="s">
        <v>265</v>
      </c>
      <c r="P23" s="74" t="s">
        <v>257</v>
      </c>
      <c r="Q23" s="74" t="s">
        <v>266</v>
      </c>
      <c r="R23" s="74" t="s">
        <v>267</v>
      </c>
      <c r="S23" s="74" t="s">
        <v>259</v>
      </c>
      <c r="T23" s="73" t="s">
        <v>268</v>
      </c>
      <c r="U23" s="74" t="s">
        <v>261</v>
      </c>
      <c r="V23" s="74" t="s">
        <v>253</v>
      </c>
      <c r="W23" s="73" t="s">
        <v>54</v>
      </c>
      <c r="X23" s="74" t="s">
        <v>269</v>
      </c>
      <c r="Y23" s="78"/>
    </row>
    <row r="24" spans="1:25" ht="12.75">
      <c r="A24" s="39"/>
      <c r="B24" s="52"/>
      <c r="C24" s="79"/>
      <c r="D24" s="52"/>
      <c r="E24" s="52"/>
      <c r="F24" s="52"/>
      <c r="G24" s="3"/>
      <c r="H24" s="52"/>
      <c r="I24" s="52"/>
      <c r="J24" s="52"/>
      <c r="K24" s="51"/>
      <c r="L24" s="52"/>
      <c r="M24" s="3"/>
      <c r="N24" s="50"/>
      <c r="O24" s="52"/>
      <c r="P24" s="52"/>
      <c r="Q24" s="52"/>
      <c r="R24" s="52"/>
      <c r="S24" s="52"/>
      <c r="T24" s="51"/>
      <c r="U24" s="52"/>
      <c r="V24" s="52"/>
      <c r="W24" s="51"/>
      <c r="X24" s="52"/>
      <c r="Y24" s="3"/>
    </row>
    <row r="25" spans="1:25" ht="12.75">
      <c r="A25" s="80">
        <v>1</v>
      </c>
      <c r="B25" s="468"/>
      <c r="C25" s="79"/>
      <c r="D25" s="52"/>
      <c r="E25" s="81">
        <v>1</v>
      </c>
      <c r="F25" s="52">
        <v>100</v>
      </c>
      <c r="G25" s="3"/>
      <c r="H25" s="52">
        <f t="shared" ref="H25:H61" si="18">G25*C25</f>
        <v>0</v>
      </c>
      <c r="I25" s="52">
        <f t="shared" ref="I25:I61" si="19">(D25+F25)*C25*U$3</f>
        <v>0</v>
      </c>
      <c r="J25" s="52">
        <f t="shared" ref="J25:J61" si="20">IF(E25=1,0.5*C25*L$8,0)</f>
        <v>0</v>
      </c>
      <c r="K25" s="51">
        <f t="shared" ref="K25:K61" si="21">IF(C25=0,0,(H25+I25+J25)/C25)</f>
        <v>0</v>
      </c>
      <c r="L25" s="52">
        <f t="shared" ref="L25:L61" si="22">H25+I25+J25</f>
        <v>0</v>
      </c>
      <c r="M25" s="37" t="s">
        <v>270</v>
      </c>
      <c r="N25" s="82" t="s">
        <v>271</v>
      </c>
      <c r="O25" s="83" t="s">
        <v>272</v>
      </c>
      <c r="P25" s="468"/>
      <c r="Q25" s="84">
        <v>424</v>
      </c>
      <c r="R25" s="84">
        <v>55</v>
      </c>
      <c r="S25" s="468">
        <v>100</v>
      </c>
      <c r="T25" s="51"/>
      <c r="U25" s="52">
        <f t="shared" ref="U25:U30" si="23">P25*T25</f>
        <v>0</v>
      </c>
      <c r="V25" s="52">
        <f t="shared" ref="V25:V30" si="24">P25*(Q25+R25+S25)*U$3</f>
        <v>0</v>
      </c>
      <c r="W25" s="51">
        <f t="shared" ref="W25:W30" si="25">IF(P25=0,0,(U25+V25)/P25)</f>
        <v>0</v>
      </c>
      <c r="X25" s="52">
        <f t="shared" ref="X25:X30" si="26">U25+V25</f>
        <v>0</v>
      </c>
      <c r="Y25" s="3"/>
    </row>
    <row r="26" spans="1:25" ht="12.75">
      <c r="A26" s="80">
        <f t="shared" ref="A26:A61" si="27">1+A25</f>
        <v>2</v>
      </c>
      <c r="B26" s="468"/>
      <c r="C26" s="79"/>
      <c r="D26" s="52"/>
      <c r="E26" s="81"/>
      <c r="F26" s="52"/>
      <c r="G26" s="3"/>
      <c r="H26" s="52">
        <f t="shared" si="18"/>
        <v>0</v>
      </c>
      <c r="I26" s="52">
        <f t="shared" si="19"/>
        <v>0</v>
      </c>
      <c r="J26" s="52">
        <f t="shared" si="20"/>
        <v>0</v>
      </c>
      <c r="K26" s="51">
        <f t="shared" si="21"/>
        <v>0</v>
      </c>
      <c r="L26" s="52">
        <f t="shared" si="22"/>
        <v>0</v>
      </c>
      <c r="M26" s="37" t="s">
        <v>273</v>
      </c>
      <c r="N26" s="82" t="s">
        <v>274</v>
      </c>
      <c r="O26" s="83" t="s">
        <v>275</v>
      </c>
      <c r="P26" s="468"/>
      <c r="Q26" s="84">
        <v>742</v>
      </c>
      <c r="R26" s="84">
        <v>285</v>
      </c>
      <c r="S26" s="468">
        <v>150</v>
      </c>
      <c r="T26" s="51"/>
      <c r="U26" s="52">
        <f t="shared" si="23"/>
        <v>0</v>
      </c>
      <c r="V26" s="52">
        <f t="shared" si="24"/>
        <v>0</v>
      </c>
      <c r="W26" s="51">
        <f t="shared" si="25"/>
        <v>0</v>
      </c>
      <c r="X26" s="52">
        <f t="shared" si="26"/>
        <v>0</v>
      </c>
      <c r="Y26" s="3"/>
    </row>
    <row r="27" spans="1:25" ht="12.75">
      <c r="A27" s="80">
        <f t="shared" si="27"/>
        <v>3</v>
      </c>
      <c r="B27" s="468"/>
      <c r="C27" s="79"/>
      <c r="D27" s="52"/>
      <c r="E27" s="81"/>
      <c r="F27" s="52"/>
      <c r="G27" s="3"/>
      <c r="H27" s="52">
        <f t="shared" si="18"/>
        <v>0</v>
      </c>
      <c r="I27" s="52">
        <f t="shared" si="19"/>
        <v>0</v>
      </c>
      <c r="J27" s="52">
        <f t="shared" si="20"/>
        <v>0</v>
      </c>
      <c r="K27" s="51">
        <f t="shared" si="21"/>
        <v>0</v>
      </c>
      <c r="L27" s="52">
        <f t="shared" si="22"/>
        <v>0</v>
      </c>
      <c r="M27" s="37" t="s">
        <v>276</v>
      </c>
      <c r="N27" s="82" t="s">
        <v>277</v>
      </c>
      <c r="O27" s="83" t="s">
        <v>278</v>
      </c>
      <c r="P27" s="468"/>
      <c r="Q27" s="84">
        <v>981</v>
      </c>
      <c r="R27" s="84">
        <v>285</v>
      </c>
      <c r="S27" s="468">
        <v>150</v>
      </c>
      <c r="T27" s="51"/>
      <c r="U27" s="52">
        <f t="shared" si="23"/>
        <v>0</v>
      </c>
      <c r="V27" s="52">
        <f t="shared" si="24"/>
        <v>0</v>
      </c>
      <c r="W27" s="51">
        <f t="shared" si="25"/>
        <v>0</v>
      </c>
      <c r="X27" s="52">
        <f t="shared" si="26"/>
        <v>0</v>
      </c>
      <c r="Y27" s="3"/>
    </row>
    <row r="28" spans="1:25" ht="12.75">
      <c r="A28" s="80">
        <f t="shared" si="27"/>
        <v>4</v>
      </c>
      <c r="B28" s="468"/>
      <c r="C28" s="79"/>
      <c r="D28" s="52"/>
      <c r="E28" s="81"/>
      <c r="F28" s="52"/>
      <c r="G28" s="3"/>
      <c r="H28" s="52">
        <f t="shared" si="18"/>
        <v>0</v>
      </c>
      <c r="I28" s="52">
        <f t="shared" si="19"/>
        <v>0</v>
      </c>
      <c r="J28" s="52">
        <f t="shared" si="20"/>
        <v>0</v>
      </c>
      <c r="K28" s="51">
        <f t="shared" si="21"/>
        <v>0</v>
      </c>
      <c r="L28" s="52">
        <f t="shared" si="22"/>
        <v>0</v>
      </c>
      <c r="M28" s="37" t="s">
        <v>270</v>
      </c>
      <c r="N28" s="82" t="s">
        <v>279</v>
      </c>
      <c r="O28" s="83" t="s">
        <v>280</v>
      </c>
      <c r="P28" s="468"/>
      <c r="Q28" s="84">
        <v>1692</v>
      </c>
      <c r="R28" s="84">
        <v>285</v>
      </c>
      <c r="S28" s="468">
        <v>150</v>
      </c>
      <c r="T28" s="51"/>
      <c r="U28" s="52">
        <f t="shared" si="23"/>
        <v>0</v>
      </c>
      <c r="V28" s="52">
        <f t="shared" si="24"/>
        <v>0</v>
      </c>
      <c r="W28" s="51">
        <f t="shared" si="25"/>
        <v>0</v>
      </c>
      <c r="X28" s="52">
        <f t="shared" si="26"/>
        <v>0</v>
      </c>
      <c r="Y28" s="3"/>
    </row>
    <row r="29" spans="1:25" ht="12.75">
      <c r="A29" s="80">
        <f t="shared" si="27"/>
        <v>5</v>
      </c>
      <c r="B29" s="52"/>
      <c r="C29" s="79"/>
      <c r="D29" s="52"/>
      <c r="E29" s="81"/>
      <c r="F29" s="52"/>
      <c r="G29" s="3"/>
      <c r="H29" s="52">
        <f t="shared" si="18"/>
        <v>0</v>
      </c>
      <c r="I29" s="52">
        <f t="shared" si="19"/>
        <v>0</v>
      </c>
      <c r="J29" s="52">
        <f t="shared" si="20"/>
        <v>0</v>
      </c>
      <c r="K29" s="51">
        <f t="shared" si="21"/>
        <v>0</v>
      </c>
      <c r="L29" s="52">
        <f t="shared" si="22"/>
        <v>0</v>
      </c>
      <c r="M29" s="37" t="s">
        <v>281</v>
      </c>
      <c r="N29" s="82" t="s">
        <v>282</v>
      </c>
      <c r="O29" s="83" t="s">
        <v>283</v>
      </c>
      <c r="P29" s="468"/>
      <c r="Q29" s="84">
        <v>2665</v>
      </c>
      <c r="R29" s="84">
        <v>285</v>
      </c>
      <c r="S29" s="468">
        <v>150</v>
      </c>
      <c r="T29" s="51"/>
      <c r="U29" s="52">
        <f t="shared" si="23"/>
        <v>0</v>
      </c>
      <c r="V29" s="52">
        <f t="shared" si="24"/>
        <v>0</v>
      </c>
      <c r="W29" s="51">
        <f t="shared" si="25"/>
        <v>0</v>
      </c>
      <c r="X29" s="52">
        <f t="shared" si="26"/>
        <v>0</v>
      </c>
      <c r="Y29" s="3"/>
    </row>
    <row r="30" spans="1:25" ht="13.5" thickBot="1">
      <c r="A30" s="80">
        <f t="shared" si="27"/>
        <v>6</v>
      </c>
      <c r="B30" s="468"/>
      <c r="C30" s="79"/>
      <c r="D30" s="52"/>
      <c r="E30" s="81"/>
      <c r="F30" s="52"/>
      <c r="G30" s="3"/>
      <c r="H30" s="52">
        <f t="shared" si="18"/>
        <v>0</v>
      </c>
      <c r="I30" s="52">
        <f t="shared" si="19"/>
        <v>0</v>
      </c>
      <c r="J30" s="52">
        <f t="shared" si="20"/>
        <v>0</v>
      </c>
      <c r="K30" s="51">
        <f t="shared" si="21"/>
        <v>0</v>
      </c>
      <c r="L30" s="52">
        <f t="shared" si="22"/>
        <v>0</v>
      </c>
      <c r="M30" s="37" t="s">
        <v>284</v>
      </c>
      <c r="N30" s="85" t="s">
        <v>285</v>
      </c>
      <c r="O30" s="86" t="s">
        <v>286</v>
      </c>
      <c r="P30" s="474"/>
      <c r="Q30" s="87">
        <v>3696</v>
      </c>
      <c r="R30" s="87">
        <v>285</v>
      </c>
      <c r="S30" s="474">
        <v>150</v>
      </c>
      <c r="T30" s="63"/>
      <c r="U30" s="52">
        <f t="shared" si="23"/>
        <v>0</v>
      </c>
      <c r="V30" s="52">
        <f t="shared" si="24"/>
        <v>0</v>
      </c>
      <c r="W30" s="63">
        <f t="shared" si="25"/>
        <v>0</v>
      </c>
      <c r="X30" s="52">
        <f t="shared" si="26"/>
        <v>0</v>
      </c>
      <c r="Y30" s="3"/>
    </row>
    <row r="31" spans="1:25" ht="13.5" thickBot="1">
      <c r="A31" s="80">
        <f t="shared" si="27"/>
        <v>7</v>
      </c>
      <c r="B31" s="52"/>
      <c r="C31" s="79"/>
      <c r="D31" s="52"/>
      <c r="E31" s="81"/>
      <c r="F31" s="52"/>
      <c r="G31" s="3"/>
      <c r="H31" s="52">
        <f t="shared" si="18"/>
        <v>0</v>
      </c>
      <c r="I31" s="52">
        <f t="shared" si="19"/>
        <v>0</v>
      </c>
      <c r="J31" s="52">
        <f t="shared" si="20"/>
        <v>0</v>
      </c>
      <c r="K31" s="51">
        <f t="shared" si="21"/>
        <v>0</v>
      </c>
      <c r="L31" s="52">
        <f t="shared" si="22"/>
        <v>0</v>
      </c>
      <c r="M31" s="88"/>
      <c r="N31" s="89" t="s">
        <v>287</v>
      </c>
      <c r="O31" s="37" t="s">
        <v>1</v>
      </c>
      <c r="P31" s="67">
        <f>SUM(P24:P30)</f>
        <v>0</v>
      </c>
      <c r="Q31" s="25"/>
      <c r="R31" s="25"/>
      <c r="S31" s="25"/>
      <c r="T31" s="25"/>
      <c r="U31" s="69">
        <f>SUM(U23:U30)</f>
        <v>0</v>
      </c>
      <c r="V31" s="69">
        <f>SUM(V23:V30)</f>
        <v>0</v>
      </c>
      <c r="W31" s="25"/>
      <c r="X31" s="69">
        <f>SUM(X25:X30)</f>
        <v>0</v>
      </c>
      <c r="Y31" s="3"/>
    </row>
    <row r="32" spans="1:25" ht="13.5" thickBot="1">
      <c r="A32" s="80">
        <f t="shared" si="27"/>
        <v>8</v>
      </c>
      <c r="B32" s="52"/>
      <c r="C32" s="79"/>
      <c r="D32" s="52"/>
      <c r="E32" s="81"/>
      <c r="F32" s="52"/>
      <c r="G32" s="3"/>
      <c r="H32" s="52">
        <f t="shared" si="18"/>
        <v>0</v>
      </c>
      <c r="I32" s="52">
        <f t="shared" si="19"/>
        <v>0</v>
      </c>
      <c r="J32" s="52">
        <f t="shared" si="20"/>
        <v>0</v>
      </c>
      <c r="K32" s="51">
        <f t="shared" si="21"/>
        <v>0</v>
      </c>
      <c r="L32" s="52">
        <f t="shared" si="22"/>
        <v>0</v>
      </c>
      <c r="M32" s="88"/>
      <c r="N32" s="89"/>
      <c r="O32" s="37"/>
      <c r="P32" s="462"/>
      <c r="Q32" s="25"/>
      <c r="R32" s="25"/>
      <c r="S32" s="25"/>
      <c r="T32" s="25"/>
      <c r="U32" s="25"/>
      <c r="V32" s="25"/>
      <c r="W32" s="25"/>
      <c r="X32" s="25"/>
      <c r="Y32" s="3"/>
    </row>
    <row r="33" spans="1:25" ht="13.5" thickBot="1">
      <c r="A33" s="80">
        <f t="shared" si="27"/>
        <v>9</v>
      </c>
      <c r="B33" s="468"/>
      <c r="C33" s="79"/>
      <c r="D33" s="52"/>
      <c r="E33" s="81"/>
      <c r="F33" s="52"/>
      <c r="G33" s="3"/>
      <c r="H33" s="52">
        <f t="shared" si="18"/>
        <v>0</v>
      </c>
      <c r="I33" s="52">
        <f t="shared" si="19"/>
        <v>0</v>
      </c>
      <c r="J33" s="52">
        <f t="shared" si="20"/>
        <v>0</v>
      </c>
      <c r="K33" s="51">
        <f t="shared" si="21"/>
        <v>0</v>
      </c>
      <c r="L33" s="52">
        <f t="shared" si="22"/>
        <v>0</v>
      </c>
      <c r="M33" s="88"/>
      <c r="N33" s="73" t="s">
        <v>288</v>
      </c>
      <c r="O33" s="76" t="s">
        <v>257</v>
      </c>
      <c r="P33" s="76" t="s">
        <v>289</v>
      </c>
      <c r="Q33" s="76" t="s">
        <v>266</v>
      </c>
      <c r="R33" s="76" t="s">
        <v>267</v>
      </c>
      <c r="S33" s="76" t="s">
        <v>290</v>
      </c>
      <c r="T33" s="76" t="s">
        <v>291</v>
      </c>
      <c r="U33" s="76" t="s">
        <v>292</v>
      </c>
      <c r="V33" s="76" t="s">
        <v>261</v>
      </c>
      <c r="W33" s="76" t="s">
        <v>253</v>
      </c>
      <c r="X33" s="76" t="s">
        <v>293</v>
      </c>
      <c r="Y33" s="90" t="s">
        <v>269</v>
      </c>
    </row>
    <row r="34" spans="1:25" ht="13.5" thickBot="1">
      <c r="A34" s="80">
        <f t="shared" si="27"/>
        <v>10</v>
      </c>
      <c r="B34" s="468"/>
      <c r="C34" s="79"/>
      <c r="D34" s="52"/>
      <c r="E34" s="81"/>
      <c r="F34" s="52"/>
      <c r="G34" s="3"/>
      <c r="H34" s="52">
        <f t="shared" si="18"/>
        <v>0</v>
      </c>
      <c r="I34" s="52">
        <f t="shared" si="19"/>
        <v>0</v>
      </c>
      <c r="J34" s="52">
        <f t="shared" si="20"/>
        <v>0</v>
      </c>
      <c r="K34" s="51">
        <f t="shared" si="21"/>
        <v>0</v>
      </c>
      <c r="L34" s="52">
        <f t="shared" si="22"/>
        <v>0</v>
      </c>
      <c r="M34" s="88"/>
      <c r="N34" s="73" t="s">
        <v>56</v>
      </c>
      <c r="O34" s="91"/>
      <c r="P34" s="91">
        <v>2750</v>
      </c>
      <c r="Q34" s="91">
        <v>981</v>
      </c>
      <c r="R34" s="91">
        <v>285</v>
      </c>
      <c r="S34" s="66">
        <v>500</v>
      </c>
      <c r="T34" s="66">
        <v>150</v>
      </c>
      <c r="U34" s="66">
        <v>240</v>
      </c>
      <c r="V34" s="66">
        <f>S34*O34</f>
        <v>0</v>
      </c>
      <c r="W34" s="66">
        <f>O34*(P34+Q34+R34+T34+U34)</f>
        <v>0</v>
      </c>
      <c r="X34" s="66">
        <f>W34+V34</f>
        <v>0</v>
      </c>
      <c r="Y34" s="92">
        <f>V34+W34</f>
        <v>0</v>
      </c>
    </row>
    <row r="35" spans="1:25" ht="13.5" thickBot="1">
      <c r="A35" s="80">
        <f t="shared" si="27"/>
        <v>11</v>
      </c>
      <c r="B35" s="52"/>
      <c r="C35" s="79"/>
      <c r="D35" s="52"/>
      <c r="E35" s="81"/>
      <c r="F35" s="52"/>
      <c r="G35" s="3"/>
      <c r="H35" s="52">
        <f t="shared" si="18"/>
        <v>0</v>
      </c>
      <c r="I35" s="52">
        <f t="shared" si="19"/>
        <v>0</v>
      </c>
      <c r="J35" s="52">
        <f t="shared" si="20"/>
        <v>0</v>
      </c>
      <c r="K35" s="51">
        <f t="shared" si="21"/>
        <v>0</v>
      </c>
      <c r="L35" s="52">
        <f t="shared" si="22"/>
        <v>0</v>
      </c>
      <c r="M35" s="88"/>
      <c r="N35" s="39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3.5" thickBot="1">
      <c r="A36" s="80">
        <f t="shared" si="27"/>
        <v>12</v>
      </c>
      <c r="B36" s="468"/>
      <c r="C36" s="79"/>
      <c r="D36" s="52"/>
      <c r="E36" s="81"/>
      <c r="F36" s="52"/>
      <c r="G36" s="3"/>
      <c r="H36" s="52">
        <f t="shared" si="18"/>
        <v>0</v>
      </c>
      <c r="I36" s="52">
        <f t="shared" si="19"/>
        <v>0</v>
      </c>
      <c r="J36" s="52">
        <f t="shared" si="20"/>
        <v>0</v>
      </c>
      <c r="K36" s="51">
        <f t="shared" si="21"/>
        <v>0</v>
      </c>
      <c r="L36" s="52">
        <f t="shared" si="22"/>
        <v>0</v>
      </c>
      <c r="M36" s="37" t="s">
        <v>294</v>
      </c>
      <c r="N36" s="74" t="s">
        <v>295</v>
      </c>
      <c r="O36" s="74" t="s">
        <v>257</v>
      </c>
      <c r="P36" s="93" t="s">
        <v>296</v>
      </c>
      <c r="Q36" s="74" t="s">
        <v>297</v>
      </c>
      <c r="R36" s="74" t="s">
        <v>298</v>
      </c>
      <c r="S36" s="74" t="s">
        <v>299</v>
      </c>
      <c r="T36" s="73" t="s">
        <v>300</v>
      </c>
      <c r="U36" s="74" t="s">
        <v>291</v>
      </c>
      <c r="V36" s="74" t="s">
        <v>34</v>
      </c>
      <c r="W36" s="74" t="s">
        <v>51</v>
      </c>
      <c r="X36" s="73" t="s">
        <v>293</v>
      </c>
      <c r="Y36" s="74" t="s">
        <v>269</v>
      </c>
    </row>
    <row r="37" spans="1:25" ht="12.75">
      <c r="A37" s="80">
        <f t="shared" si="27"/>
        <v>13</v>
      </c>
      <c r="B37" s="52"/>
      <c r="C37" s="79"/>
      <c r="D37" s="52"/>
      <c r="E37" s="81"/>
      <c r="F37" s="52"/>
      <c r="G37" s="3"/>
      <c r="H37" s="52">
        <f t="shared" si="18"/>
        <v>0</v>
      </c>
      <c r="I37" s="52">
        <f t="shared" si="19"/>
        <v>0</v>
      </c>
      <c r="J37" s="52">
        <f t="shared" si="20"/>
        <v>0</v>
      </c>
      <c r="K37" s="51">
        <f t="shared" si="21"/>
        <v>0</v>
      </c>
      <c r="L37" s="52">
        <f t="shared" si="22"/>
        <v>0</v>
      </c>
      <c r="M37" s="37" t="s">
        <v>301</v>
      </c>
      <c r="N37" s="82" t="s">
        <v>275</v>
      </c>
      <c r="O37" s="61"/>
      <c r="P37" s="84">
        <v>91</v>
      </c>
      <c r="Q37" s="84">
        <v>450</v>
      </c>
      <c r="R37" s="56">
        <v>355</v>
      </c>
      <c r="S37" s="84">
        <v>150</v>
      </c>
      <c r="T37" s="94">
        <v>1500</v>
      </c>
      <c r="U37" s="52">
        <f>O37*(250*U3)</f>
        <v>0</v>
      </c>
      <c r="V37" s="52">
        <f>O37*T37</f>
        <v>0</v>
      </c>
      <c r="W37" s="52">
        <f>O37*(P37+Q37+R37+S37)*U3+O37*U37</f>
        <v>0</v>
      </c>
      <c r="X37" s="51">
        <f>IF(O37=0,0,(V37+W37)/O37)</f>
        <v>0</v>
      </c>
      <c r="Y37" s="52">
        <f>V37+W37</f>
        <v>0</v>
      </c>
    </row>
    <row r="38" spans="1:25" ht="12.75">
      <c r="A38" s="80">
        <f t="shared" si="27"/>
        <v>14</v>
      </c>
      <c r="B38" s="52"/>
      <c r="C38" s="79"/>
      <c r="D38" s="52"/>
      <c r="E38" s="81"/>
      <c r="F38" s="52"/>
      <c r="G38" s="3"/>
      <c r="H38" s="52">
        <f t="shared" si="18"/>
        <v>0</v>
      </c>
      <c r="I38" s="52">
        <f t="shared" si="19"/>
        <v>0</v>
      </c>
      <c r="J38" s="52">
        <f t="shared" si="20"/>
        <v>0</v>
      </c>
      <c r="K38" s="51">
        <f t="shared" si="21"/>
        <v>0</v>
      </c>
      <c r="L38" s="52">
        <f t="shared" si="22"/>
        <v>0</v>
      </c>
      <c r="M38" s="37" t="s">
        <v>284</v>
      </c>
      <c r="N38" s="82" t="s">
        <v>278</v>
      </c>
      <c r="O38" s="61"/>
      <c r="P38" s="84">
        <v>147</v>
      </c>
      <c r="Q38" s="84">
        <v>560</v>
      </c>
      <c r="R38" s="56">
        <v>430</v>
      </c>
      <c r="S38" s="84">
        <v>150</v>
      </c>
      <c r="T38" s="94">
        <v>1500</v>
      </c>
      <c r="U38" s="52">
        <f>O38*(250*U3)</f>
        <v>0</v>
      </c>
      <c r="V38" s="52">
        <f>O38*T38</f>
        <v>0</v>
      </c>
      <c r="W38" s="52">
        <f>O38*(P38+Q38+R38+S38)*U3+O38*U38</f>
        <v>0</v>
      </c>
      <c r="X38" s="51">
        <f>IF(O38=0,0,(V38+W38)/O38)</f>
        <v>0</v>
      </c>
      <c r="Y38" s="52">
        <f>V38+W38</f>
        <v>0</v>
      </c>
    </row>
    <row r="39" spans="1:25" ht="12.75">
      <c r="A39" s="80">
        <f t="shared" si="27"/>
        <v>15</v>
      </c>
      <c r="B39" s="52"/>
      <c r="C39" s="79"/>
      <c r="D39" s="52"/>
      <c r="E39" s="81"/>
      <c r="F39" s="52"/>
      <c r="G39" s="3"/>
      <c r="H39" s="52">
        <f t="shared" si="18"/>
        <v>0</v>
      </c>
      <c r="I39" s="52">
        <f t="shared" si="19"/>
        <v>0</v>
      </c>
      <c r="J39" s="52">
        <f t="shared" si="20"/>
        <v>0</v>
      </c>
      <c r="K39" s="51">
        <f t="shared" si="21"/>
        <v>0</v>
      </c>
      <c r="L39" s="52">
        <f t="shared" si="22"/>
        <v>0</v>
      </c>
      <c r="M39" s="37" t="s">
        <v>281</v>
      </c>
      <c r="N39" s="82" t="s">
        <v>280</v>
      </c>
      <c r="O39" s="61"/>
      <c r="P39" s="84">
        <v>200</v>
      </c>
      <c r="Q39" s="84">
        <v>720</v>
      </c>
      <c r="R39" s="56">
        <v>690</v>
      </c>
      <c r="S39" s="84">
        <v>150</v>
      </c>
      <c r="T39" s="94">
        <v>1500</v>
      </c>
      <c r="U39" s="52">
        <f t="shared" ref="U39:U40" si="28">O39*(250*U4)</f>
        <v>0</v>
      </c>
      <c r="V39" s="52">
        <f>O39*T39</f>
        <v>0</v>
      </c>
      <c r="W39" s="52">
        <f>O39*(P39+Q39+R39+S39)*U3+O39*U39</f>
        <v>0</v>
      </c>
      <c r="X39" s="51">
        <f>IF(O39=0,0,(V39+W39)/O39)</f>
        <v>0</v>
      </c>
      <c r="Y39" s="52">
        <f>V39+W39</f>
        <v>0</v>
      </c>
    </row>
    <row r="40" spans="1:25" ht="12.75">
      <c r="A40" s="80">
        <f t="shared" si="27"/>
        <v>16</v>
      </c>
      <c r="B40" s="52"/>
      <c r="C40" s="79"/>
      <c r="D40" s="52"/>
      <c r="E40" s="81"/>
      <c r="F40" s="52"/>
      <c r="G40" s="3"/>
      <c r="H40" s="52">
        <f t="shared" si="18"/>
        <v>0</v>
      </c>
      <c r="I40" s="52">
        <f t="shared" si="19"/>
        <v>0</v>
      </c>
      <c r="J40" s="52">
        <f t="shared" si="20"/>
        <v>0</v>
      </c>
      <c r="K40" s="51">
        <f t="shared" si="21"/>
        <v>0</v>
      </c>
      <c r="L40" s="52">
        <f t="shared" si="22"/>
        <v>0</v>
      </c>
      <c r="M40" s="37" t="s">
        <v>294</v>
      </c>
      <c r="N40" s="82" t="s">
        <v>283</v>
      </c>
      <c r="O40" s="61"/>
      <c r="P40" s="84">
        <v>336</v>
      </c>
      <c r="Q40" s="84">
        <v>810</v>
      </c>
      <c r="R40" s="56">
        <v>828</v>
      </c>
      <c r="S40" s="84">
        <v>150</v>
      </c>
      <c r="T40" s="94">
        <v>1500</v>
      </c>
      <c r="U40" s="52">
        <f t="shared" si="28"/>
        <v>0</v>
      </c>
      <c r="V40" s="52">
        <f>O40*T40</f>
        <v>0</v>
      </c>
      <c r="W40" s="52">
        <f>O40*(P40+Q40+R40+S40)*U3+O40*U40</f>
        <v>0</v>
      </c>
      <c r="X40" s="51">
        <f>IF(O40=0,0,(V40+W40)/O40)</f>
        <v>0</v>
      </c>
      <c r="Y40" s="52">
        <f>V40+W40</f>
        <v>0</v>
      </c>
    </row>
    <row r="41" spans="1:25" ht="13.5" thickBot="1">
      <c r="A41" s="80">
        <f t="shared" si="27"/>
        <v>17</v>
      </c>
      <c r="B41" s="52"/>
      <c r="C41" s="79"/>
      <c r="D41" s="52"/>
      <c r="E41" s="81"/>
      <c r="F41" s="52"/>
      <c r="G41" s="3"/>
      <c r="H41" s="52">
        <f t="shared" si="18"/>
        <v>0</v>
      </c>
      <c r="I41" s="52">
        <f t="shared" si="19"/>
        <v>0</v>
      </c>
      <c r="J41" s="52">
        <f t="shared" si="20"/>
        <v>0</v>
      </c>
      <c r="K41" s="51">
        <f t="shared" si="21"/>
        <v>0</v>
      </c>
      <c r="L41" s="52">
        <f t="shared" si="22"/>
        <v>0</v>
      </c>
      <c r="M41" s="37" t="s">
        <v>284</v>
      </c>
      <c r="N41" s="3" t="s">
        <v>286</v>
      </c>
      <c r="O41" s="61"/>
      <c r="P41" s="84">
        <v>452</v>
      </c>
      <c r="Q41" s="84">
        <v>1020</v>
      </c>
      <c r="R41" s="56">
        <v>955</v>
      </c>
      <c r="S41" s="84">
        <v>150</v>
      </c>
      <c r="T41" s="94">
        <v>1500</v>
      </c>
      <c r="U41" s="52">
        <f>O41*(250*U3)</f>
        <v>0</v>
      </c>
      <c r="V41" s="52">
        <f>O41*T41</f>
        <v>0</v>
      </c>
      <c r="W41" s="52">
        <f>O41*(P41+Q41+R41+S41)*U3+O41*U41</f>
        <v>0</v>
      </c>
      <c r="X41" s="51">
        <f>IF(O41=0,0,(V41+W41)/O41)</f>
        <v>0</v>
      </c>
      <c r="Y41" s="52">
        <f>V41+W41</f>
        <v>0</v>
      </c>
    </row>
    <row r="42" spans="1:25" ht="13.5" thickBot="1">
      <c r="A42" s="80">
        <f t="shared" si="27"/>
        <v>18</v>
      </c>
      <c r="B42" s="52"/>
      <c r="C42" s="79"/>
      <c r="D42" s="52"/>
      <c r="E42" s="81"/>
      <c r="F42" s="52"/>
      <c r="G42" s="3"/>
      <c r="H42" s="52">
        <f t="shared" si="18"/>
        <v>0</v>
      </c>
      <c r="I42" s="52">
        <f t="shared" si="19"/>
        <v>0</v>
      </c>
      <c r="J42" s="52">
        <f t="shared" si="20"/>
        <v>0</v>
      </c>
      <c r="K42" s="51">
        <f t="shared" si="21"/>
        <v>0</v>
      </c>
      <c r="L42" s="52">
        <f t="shared" si="22"/>
        <v>0</v>
      </c>
      <c r="M42" s="88"/>
      <c r="N42" s="96" t="s">
        <v>303</v>
      </c>
      <c r="O42" s="67">
        <f>SUM(O35:O41)</f>
        <v>0</v>
      </c>
      <c r="P42" s="66"/>
      <c r="Q42" s="66"/>
      <c r="R42" s="66"/>
      <c r="S42" s="66"/>
      <c r="T42" s="66"/>
      <c r="U42" s="69">
        <f>SUM(U35:U41)</f>
        <v>0</v>
      </c>
      <c r="V42" s="69">
        <f>SUM(V35:V41)</f>
        <v>0</v>
      </c>
      <c r="W42" s="69">
        <f>SUM(W35:W41)</f>
        <v>0</v>
      </c>
      <c r="X42" s="66"/>
      <c r="Y42" s="69">
        <f>SUM(Y35:Y41)</f>
        <v>0</v>
      </c>
    </row>
    <row r="43" spans="1:25" ht="12.75">
      <c r="A43" s="80">
        <f t="shared" si="27"/>
        <v>19</v>
      </c>
      <c r="B43" s="52"/>
      <c r="C43" s="79"/>
      <c r="D43" s="52"/>
      <c r="E43" s="81"/>
      <c r="F43" s="52"/>
      <c r="G43" s="3"/>
      <c r="H43" s="52">
        <f t="shared" si="18"/>
        <v>0</v>
      </c>
      <c r="I43" s="52">
        <f t="shared" si="19"/>
        <v>0</v>
      </c>
      <c r="J43" s="52">
        <f t="shared" si="20"/>
        <v>0</v>
      </c>
      <c r="K43" s="51">
        <f t="shared" si="21"/>
        <v>0</v>
      </c>
      <c r="L43" s="52">
        <f t="shared" si="22"/>
        <v>0</v>
      </c>
      <c r="M43" s="88"/>
      <c r="N43" s="89"/>
      <c r="O43" s="37"/>
      <c r="P43" s="462"/>
      <c r="Q43" s="25"/>
      <c r="R43" s="25"/>
      <c r="S43" s="25"/>
      <c r="T43" s="25"/>
      <c r="U43" s="25"/>
      <c r="V43" s="25"/>
      <c r="W43" s="25"/>
      <c r="X43" s="25"/>
      <c r="Y43" s="3"/>
    </row>
    <row r="44" spans="1:25" ht="12.75">
      <c r="A44" s="80">
        <f t="shared" si="27"/>
        <v>20</v>
      </c>
      <c r="B44" s="52"/>
      <c r="C44" s="79"/>
      <c r="D44" s="52"/>
      <c r="E44" s="81"/>
      <c r="F44" s="52"/>
      <c r="G44" s="3"/>
      <c r="H44" s="52">
        <f t="shared" si="18"/>
        <v>0</v>
      </c>
      <c r="I44" s="52">
        <f t="shared" si="19"/>
        <v>0</v>
      </c>
      <c r="J44" s="52">
        <f t="shared" si="20"/>
        <v>0</v>
      </c>
      <c r="K44" s="51">
        <f t="shared" si="21"/>
        <v>0</v>
      </c>
      <c r="L44" s="52">
        <f t="shared" si="22"/>
        <v>0</v>
      </c>
      <c r="M44" s="88"/>
      <c r="N44" s="89"/>
      <c r="O44" s="37"/>
      <c r="P44" s="462"/>
      <c r="Q44" s="25"/>
      <c r="R44" s="25"/>
      <c r="S44" s="25"/>
      <c r="T44" s="25"/>
      <c r="U44" s="25"/>
      <c r="V44" s="25"/>
      <c r="W44" s="25"/>
      <c r="X44" s="25"/>
      <c r="Y44" s="3"/>
    </row>
    <row r="45" spans="1:25" ht="12.75">
      <c r="A45" s="80">
        <f t="shared" si="27"/>
        <v>21</v>
      </c>
      <c r="B45" s="52"/>
      <c r="C45" s="79"/>
      <c r="D45" s="52"/>
      <c r="E45" s="81"/>
      <c r="F45" s="52"/>
      <c r="G45" s="3"/>
      <c r="H45" s="52">
        <f t="shared" si="18"/>
        <v>0</v>
      </c>
      <c r="I45" s="52">
        <f t="shared" si="19"/>
        <v>0</v>
      </c>
      <c r="J45" s="52">
        <f t="shared" si="20"/>
        <v>0</v>
      </c>
      <c r="K45" s="51">
        <f t="shared" si="21"/>
        <v>0</v>
      </c>
      <c r="L45" s="52">
        <f t="shared" si="22"/>
        <v>0</v>
      </c>
      <c r="M45" s="88"/>
      <c r="N45" s="89"/>
      <c r="O45" s="37"/>
      <c r="P45" s="462"/>
      <c r="Q45" s="25"/>
      <c r="R45" s="25"/>
      <c r="S45" s="25"/>
      <c r="T45" s="25"/>
      <c r="U45" s="25"/>
      <c r="V45" s="25"/>
      <c r="W45" s="25"/>
      <c r="X45" s="25"/>
      <c r="Y45" s="3"/>
    </row>
    <row r="46" spans="1:25" ht="12.75">
      <c r="A46" s="80">
        <f t="shared" si="27"/>
        <v>22</v>
      </c>
      <c r="B46" s="52"/>
      <c r="C46" s="79"/>
      <c r="D46" s="52"/>
      <c r="E46" s="81"/>
      <c r="F46" s="52"/>
      <c r="G46" s="3"/>
      <c r="H46" s="52">
        <f t="shared" si="18"/>
        <v>0</v>
      </c>
      <c r="I46" s="52">
        <f t="shared" si="19"/>
        <v>0</v>
      </c>
      <c r="J46" s="52">
        <f t="shared" si="20"/>
        <v>0</v>
      </c>
      <c r="K46" s="51">
        <f t="shared" si="21"/>
        <v>0</v>
      </c>
      <c r="L46" s="52">
        <f t="shared" si="22"/>
        <v>0</v>
      </c>
      <c r="M46" s="88"/>
      <c r="N46" s="89"/>
      <c r="O46" s="37"/>
      <c r="P46" s="462"/>
      <c r="Q46" s="25"/>
      <c r="R46" s="25"/>
      <c r="S46" s="25"/>
      <c r="T46" s="25"/>
      <c r="U46" s="25"/>
      <c r="V46" s="25"/>
      <c r="W46" s="25"/>
      <c r="X46" s="25"/>
      <c r="Y46" s="3"/>
    </row>
    <row r="47" spans="1:25" ht="12.75">
      <c r="A47" s="80">
        <f t="shared" si="27"/>
        <v>23</v>
      </c>
      <c r="B47" s="52"/>
      <c r="C47" s="79"/>
      <c r="D47" s="52"/>
      <c r="E47" s="81"/>
      <c r="F47" s="52"/>
      <c r="G47" s="3"/>
      <c r="H47" s="52">
        <f t="shared" si="18"/>
        <v>0</v>
      </c>
      <c r="I47" s="52">
        <f t="shared" si="19"/>
        <v>0</v>
      </c>
      <c r="J47" s="52">
        <f t="shared" si="20"/>
        <v>0</v>
      </c>
      <c r="K47" s="51">
        <f t="shared" si="21"/>
        <v>0</v>
      </c>
      <c r="L47" s="52">
        <f t="shared" si="22"/>
        <v>0</v>
      </c>
      <c r="M47" s="88"/>
      <c r="N47" s="89"/>
      <c r="O47" s="37"/>
      <c r="P47" s="462"/>
      <c r="Q47" s="25"/>
      <c r="R47" s="25"/>
      <c r="S47" s="25"/>
      <c r="T47" s="25"/>
      <c r="U47" s="25"/>
      <c r="V47" s="25"/>
      <c r="W47" s="25"/>
      <c r="X47" s="25"/>
      <c r="Y47" s="3"/>
    </row>
    <row r="48" spans="1:25" ht="12.75">
      <c r="A48" s="80">
        <f t="shared" si="27"/>
        <v>24</v>
      </c>
      <c r="B48" s="52"/>
      <c r="C48" s="79"/>
      <c r="D48" s="52"/>
      <c r="E48" s="81"/>
      <c r="F48" s="52"/>
      <c r="G48" s="3"/>
      <c r="H48" s="52">
        <f t="shared" si="18"/>
        <v>0</v>
      </c>
      <c r="I48" s="52">
        <f t="shared" si="19"/>
        <v>0</v>
      </c>
      <c r="J48" s="52">
        <f t="shared" si="20"/>
        <v>0</v>
      </c>
      <c r="K48" s="51">
        <f t="shared" si="21"/>
        <v>0</v>
      </c>
      <c r="L48" s="52">
        <f t="shared" si="22"/>
        <v>0</v>
      </c>
      <c r="M48" s="88"/>
      <c r="N48" s="89"/>
      <c r="O48" s="37"/>
      <c r="P48" s="462"/>
      <c r="Q48" s="25"/>
      <c r="R48" s="25"/>
      <c r="S48" s="25"/>
      <c r="T48" s="25"/>
      <c r="U48" s="25"/>
      <c r="V48" s="25"/>
      <c r="W48" s="25"/>
      <c r="X48" s="25"/>
      <c r="Y48" s="3"/>
    </row>
    <row r="49" spans="1:25" ht="12.75">
      <c r="A49" s="80">
        <f t="shared" si="27"/>
        <v>25</v>
      </c>
      <c r="B49" s="52"/>
      <c r="C49" s="79"/>
      <c r="D49" s="52"/>
      <c r="E49" s="81"/>
      <c r="F49" s="52"/>
      <c r="G49" s="3"/>
      <c r="H49" s="52">
        <f t="shared" si="18"/>
        <v>0</v>
      </c>
      <c r="I49" s="52">
        <f t="shared" si="19"/>
        <v>0</v>
      </c>
      <c r="J49" s="52">
        <f t="shared" si="20"/>
        <v>0</v>
      </c>
      <c r="K49" s="51">
        <f t="shared" si="21"/>
        <v>0</v>
      </c>
      <c r="L49" s="52">
        <f t="shared" si="22"/>
        <v>0</v>
      </c>
      <c r="M49" s="88"/>
      <c r="N49" s="89"/>
      <c r="O49" s="37"/>
      <c r="P49" s="462"/>
      <c r="Q49" s="25"/>
      <c r="R49" s="25"/>
      <c r="S49" s="25"/>
      <c r="T49" s="25"/>
      <c r="U49" s="25"/>
      <c r="V49" s="25"/>
      <c r="W49" s="25"/>
      <c r="X49" s="25"/>
      <c r="Y49" s="3"/>
    </row>
    <row r="50" spans="1:25" ht="12.75">
      <c r="A50" s="80">
        <f t="shared" si="27"/>
        <v>26</v>
      </c>
      <c r="B50" s="52"/>
      <c r="C50" s="79"/>
      <c r="D50" s="52"/>
      <c r="E50" s="81"/>
      <c r="F50" s="52"/>
      <c r="G50" s="3"/>
      <c r="H50" s="52">
        <f t="shared" si="18"/>
        <v>0</v>
      </c>
      <c r="I50" s="52">
        <f t="shared" si="19"/>
        <v>0</v>
      </c>
      <c r="J50" s="52">
        <f t="shared" si="20"/>
        <v>0</v>
      </c>
      <c r="K50" s="51">
        <f t="shared" si="21"/>
        <v>0</v>
      </c>
      <c r="L50" s="52">
        <f t="shared" si="22"/>
        <v>0</v>
      </c>
      <c r="M50" s="88"/>
      <c r="N50" s="89"/>
      <c r="O50" s="37"/>
      <c r="P50" s="462"/>
      <c r="Q50" s="25"/>
      <c r="R50" s="25"/>
      <c r="S50" s="25"/>
      <c r="T50" s="25"/>
      <c r="U50" s="25"/>
      <c r="V50" s="25"/>
      <c r="W50" s="25"/>
      <c r="X50" s="25"/>
      <c r="Y50" s="3"/>
    </row>
    <row r="51" spans="1:25" ht="12.75">
      <c r="A51" s="80">
        <f t="shared" si="27"/>
        <v>27</v>
      </c>
      <c r="B51" s="52"/>
      <c r="C51" s="79"/>
      <c r="D51" s="52"/>
      <c r="E51" s="81"/>
      <c r="F51" s="52"/>
      <c r="G51" s="3"/>
      <c r="H51" s="52">
        <f t="shared" si="18"/>
        <v>0</v>
      </c>
      <c r="I51" s="52">
        <f t="shared" si="19"/>
        <v>0</v>
      </c>
      <c r="J51" s="52">
        <f t="shared" si="20"/>
        <v>0</v>
      </c>
      <c r="K51" s="51">
        <f t="shared" si="21"/>
        <v>0</v>
      </c>
      <c r="L51" s="52">
        <f t="shared" si="22"/>
        <v>0</v>
      </c>
      <c r="M51" s="88"/>
      <c r="N51" s="89"/>
      <c r="O51" s="37"/>
      <c r="P51" s="462"/>
      <c r="Q51" s="25"/>
      <c r="R51" s="25"/>
      <c r="S51" s="25"/>
      <c r="T51" s="25"/>
      <c r="U51" s="25"/>
      <c r="V51" s="25"/>
      <c r="W51" s="25"/>
      <c r="X51" s="25"/>
      <c r="Y51" s="3"/>
    </row>
    <row r="52" spans="1:25" ht="12.75">
      <c r="A52" s="80">
        <f t="shared" si="27"/>
        <v>28</v>
      </c>
      <c r="B52" s="52"/>
      <c r="C52" s="79"/>
      <c r="D52" s="52"/>
      <c r="E52" s="81"/>
      <c r="F52" s="52"/>
      <c r="G52" s="3"/>
      <c r="H52" s="52">
        <f t="shared" si="18"/>
        <v>0</v>
      </c>
      <c r="I52" s="52">
        <f t="shared" si="19"/>
        <v>0</v>
      </c>
      <c r="J52" s="52">
        <f t="shared" si="20"/>
        <v>0</v>
      </c>
      <c r="K52" s="51">
        <f t="shared" si="21"/>
        <v>0</v>
      </c>
      <c r="L52" s="52">
        <f t="shared" si="22"/>
        <v>0</v>
      </c>
      <c r="M52" s="88"/>
      <c r="N52" s="89"/>
      <c r="O52" s="37"/>
      <c r="P52" s="462"/>
      <c r="Q52" s="25"/>
      <c r="R52" s="25"/>
      <c r="S52" s="25"/>
      <c r="T52" s="25"/>
      <c r="U52" s="25"/>
      <c r="V52" s="25"/>
      <c r="W52" s="25"/>
      <c r="X52" s="25"/>
      <c r="Y52" s="3"/>
    </row>
    <row r="53" spans="1:25" ht="12.75">
      <c r="A53" s="80">
        <f t="shared" si="27"/>
        <v>29</v>
      </c>
      <c r="B53" s="52"/>
      <c r="C53" s="79"/>
      <c r="D53" s="52"/>
      <c r="E53" s="81"/>
      <c r="F53" s="52"/>
      <c r="G53" s="3"/>
      <c r="H53" s="52">
        <f t="shared" si="18"/>
        <v>0</v>
      </c>
      <c r="I53" s="52">
        <f t="shared" si="19"/>
        <v>0</v>
      </c>
      <c r="J53" s="52">
        <f t="shared" si="20"/>
        <v>0</v>
      </c>
      <c r="K53" s="51">
        <f t="shared" si="21"/>
        <v>0</v>
      </c>
      <c r="L53" s="52">
        <f t="shared" si="22"/>
        <v>0</v>
      </c>
      <c r="M53" s="88"/>
      <c r="N53" s="89"/>
      <c r="O53" s="37"/>
      <c r="P53" s="462"/>
      <c r="Q53" s="25"/>
      <c r="R53" s="25"/>
      <c r="S53" s="25"/>
      <c r="T53" s="25"/>
      <c r="U53" s="25"/>
      <c r="V53" s="25"/>
      <c r="W53" s="25"/>
      <c r="X53" s="25"/>
      <c r="Y53" s="3"/>
    </row>
    <row r="54" spans="1:25" ht="12.75">
      <c r="A54" s="80">
        <f t="shared" si="27"/>
        <v>30</v>
      </c>
      <c r="B54" s="52"/>
      <c r="C54" s="79"/>
      <c r="D54" s="52"/>
      <c r="E54" s="81"/>
      <c r="F54" s="52"/>
      <c r="G54" s="3"/>
      <c r="H54" s="52">
        <f t="shared" si="18"/>
        <v>0</v>
      </c>
      <c r="I54" s="52">
        <f t="shared" si="19"/>
        <v>0</v>
      </c>
      <c r="J54" s="52">
        <f t="shared" si="20"/>
        <v>0</v>
      </c>
      <c r="K54" s="51">
        <f t="shared" si="21"/>
        <v>0</v>
      </c>
      <c r="L54" s="52">
        <f t="shared" si="22"/>
        <v>0</v>
      </c>
      <c r="M54" s="88"/>
      <c r="N54" s="39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>
      <c r="A55" s="80">
        <f t="shared" si="27"/>
        <v>31</v>
      </c>
      <c r="B55" s="468" t="s">
        <v>388</v>
      </c>
      <c r="C55" s="79"/>
      <c r="D55" s="52">
        <v>267</v>
      </c>
      <c r="E55" s="81"/>
      <c r="F55" s="52">
        <v>100</v>
      </c>
      <c r="G55" s="3"/>
      <c r="H55" s="52">
        <f t="shared" si="18"/>
        <v>0</v>
      </c>
      <c r="I55" s="52">
        <f t="shared" si="19"/>
        <v>0</v>
      </c>
      <c r="J55" s="52">
        <f t="shared" si="20"/>
        <v>0</v>
      </c>
      <c r="K55" s="51">
        <f t="shared" si="21"/>
        <v>0</v>
      </c>
      <c r="L55" s="52">
        <f t="shared" si="22"/>
        <v>0</v>
      </c>
    </row>
    <row r="56" spans="1:25" ht="12.75">
      <c r="A56" s="80">
        <f t="shared" si="27"/>
        <v>32</v>
      </c>
      <c r="B56" s="468" t="s">
        <v>387</v>
      </c>
      <c r="C56" s="79"/>
      <c r="D56" s="52">
        <v>188</v>
      </c>
      <c r="E56" s="81"/>
      <c r="F56" s="52">
        <v>100</v>
      </c>
      <c r="G56" s="3"/>
      <c r="H56" s="52">
        <f t="shared" si="18"/>
        <v>0</v>
      </c>
      <c r="I56" s="52">
        <f t="shared" si="19"/>
        <v>0</v>
      </c>
      <c r="J56" s="52">
        <f t="shared" si="20"/>
        <v>0</v>
      </c>
      <c r="K56" s="51">
        <f t="shared" si="21"/>
        <v>0</v>
      </c>
      <c r="L56" s="52">
        <f t="shared" si="22"/>
        <v>0</v>
      </c>
    </row>
    <row r="57" spans="1:25" ht="12.75">
      <c r="A57" s="80">
        <f t="shared" si="27"/>
        <v>33</v>
      </c>
      <c r="B57" s="468" t="s">
        <v>376</v>
      </c>
      <c r="C57" s="475"/>
      <c r="D57" s="468">
        <v>112</v>
      </c>
      <c r="E57" s="476"/>
      <c r="F57" s="52">
        <v>100</v>
      </c>
      <c r="G57" s="477"/>
      <c r="H57" s="52">
        <f t="shared" si="18"/>
        <v>0</v>
      </c>
      <c r="I57" s="52">
        <f t="shared" si="19"/>
        <v>0</v>
      </c>
      <c r="J57" s="52">
        <f t="shared" si="20"/>
        <v>0</v>
      </c>
      <c r="K57" s="51">
        <f t="shared" si="21"/>
        <v>0</v>
      </c>
      <c r="L57" s="52">
        <f t="shared" si="22"/>
        <v>0</v>
      </c>
    </row>
    <row r="58" spans="1:25" ht="12.75">
      <c r="A58" s="80">
        <f t="shared" si="27"/>
        <v>34</v>
      </c>
      <c r="B58" s="468" t="s">
        <v>377</v>
      </c>
      <c r="C58" s="475"/>
      <c r="D58" s="468">
        <v>85</v>
      </c>
      <c r="E58" s="476"/>
      <c r="F58" s="52">
        <v>100</v>
      </c>
      <c r="G58" s="477"/>
      <c r="H58" s="52">
        <f t="shared" si="18"/>
        <v>0</v>
      </c>
      <c r="I58" s="52">
        <f t="shared" si="19"/>
        <v>0</v>
      </c>
      <c r="J58" s="52">
        <f t="shared" si="20"/>
        <v>0</v>
      </c>
      <c r="K58" s="51">
        <f t="shared" si="21"/>
        <v>0</v>
      </c>
      <c r="L58" s="52">
        <f t="shared" si="22"/>
        <v>0</v>
      </c>
    </row>
    <row r="59" spans="1:25" ht="12.75">
      <c r="A59" s="80">
        <f t="shared" si="27"/>
        <v>35</v>
      </c>
      <c r="B59" s="468" t="s">
        <v>378</v>
      </c>
      <c r="C59" s="475"/>
      <c r="D59" s="468">
        <v>69</v>
      </c>
      <c r="E59" s="476"/>
      <c r="F59" s="52">
        <v>100</v>
      </c>
      <c r="G59" s="477"/>
      <c r="H59" s="52">
        <f t="shared" si="18"/>
        <v>0</v>
      </c>
      <c r="I59" s="52">
        <f t="shared" si="19"/>
        <v>0</v>
      </c>
      <c r="J59" s="52">
        <f t="shared" si="20"/>
        <v>0</v>
      </c>
      <c r="K59" s="51">
        <f t="shared" si="21"/>
        <v>0</v>
      </c>
      <c r="L59" s="52">
        <f t="shared" si="22"/>
        <v>0</v>
      </c>
    </row>
    <row r="60" spans="1:25" ht="12.75">
      <c r="A60" s="80">
        <f t="shared" si="27"/>
        <v>36</v>
      </c>
      <c r="B60" s="468"/>
      <c r="C60" s="478"/>
      <c r="D60" s="468"/>
      <c r="E60" s="476"/>
      <c r="F60" s="468"/>
      <c r="G60" s="477"/>
      <c r="H60" s="52">
        <f t="shared" si="18"/>
        <v>0</v>
      </c>
      <c r="I60" s="52">
        <f t="shared" si="19"/>
        <v>0</v>
      </c>
      <c r="J60" s="52">
        <f t="shared" si="20"/>
        <v>0</v>
      </c>
      <c r="K60" s="51">
        <f t="shared" si="21"/>
        <v>0</v>
      </c>
      <c r="L60" s="52">
        <f t="shared" si="22"/>
        <v>0</v>
      </c>
    </row>
    <row r="61" spans="1:25" ht="12.75">
      <c r="A61" s="80">
        <f t="shared" si="27"/>
        <v>37</v>
      </c>
      <c r="B61" s="468" t="s">
        <v>379</v>
      </c>
      <c r="C61" s="478">
        <v>1</v>
      </c>
      <c r="D61" s="468"/>
      <c r="E61" s="476"/>
      <c r="F61" s="468"/>
      <c r="G61" s="479">
        <v>6500</v>
      </c>
      <c r="H61" s="52">
        <f t="shared" si="18"/>
        <v>6500</v>
      </c>
      <c r="I61" s="52">
        <f t="shared" si="19"/>
        <v>0</v>
      </c>
      <c r="J61" s="52">
        <f t="shared" si="20"/>
        <v>0</v>
      </c>
      <c r="K61" s="51">
        <f t="shared" si="21"/>
        <v>6500</v>
      </c>
      <c r="L61" s="52">
        <f t="shared" si="22"/>
        <v>6500</v>
      </c>
    </row>
    <row r="62" spans="1:25" ht="13.5" thickBot="1">
      <c r="A62" s="39"/>
      <c r="B62" s="64"/>
      <c r="C62" s="79"/>
      <c r="D62" s="64"/>
      <c r="E62" s="64"/>
      <c r="F62" s="64"/>
      <c r="G62" s="3"/>
      <c r="H62" s="52"/>
      <c r="I62" s="52"/>
      <c r="J62" s="52"/>
      <c r="K62" s="63"/>
      <c r="L62" s="52"/>
    </row>
    <row r="63" spans="1:25" s="72" customFormat="1" ht="13.5" thickBot="1">
      <c r="A63" s="65" t="s">
        <v>302</v>
      </c>
      <c r="B63" s="95"/>
      <c r="C63" s="67">
        <f>SUM(C25:C61)</f>
        <v>1</v>
      </c>
      <c r="D63" s="66"/>
      <c r="E63" s="66"/>
      <c r="F63" s="66"/>
      <c r="G63" s="66"/>
      <c r="H63" s="69">
        <f>SUM(H24:H62)</f>
        <v>6500</v>
      </c>
      <c r="I63" s="69">
        <f>SUM(I25:I62)</f>
        <v>0</v>
      </c>
      <c r="J63" s="69">
        <f>SUM(J24:J62)</f>
        <v>0</v>
      </c>
      <c r="K63" s="66"/>
      <c r="L63" s="69">
        <f>SUM(L24:L62)</f>
        <v>6500</v>
      </c>
    </row>
    <row r="64" spans="1:25" ht="13.5" thickBot="1">
      <c r="A64" s="39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3.5" thickBot="1">
      <c r="A65" s="97"/>
      <c r="B65" s="96" t="s">
        <v>304</v>
      </c>
      <c r="C65" s="93" t="s">
        <v>257</v>
      </c>
      <c r="D65" s="98" t="s">
        <v>305</v>
      </c>
      <c r="E65" s="98" t="s">
        <v>306</v>
      </c>
      <c r="F65" s="73" t="s">
        <v>300</v>
      </c>
      <c r="G65" s="99" t="s">
        <v>51</v>
      </c>
      <c r="H65" s="74" t="s">
        <v>34</v>
      </c>
      <c r="I65" s="74" t="s">
        <v>54</v>
      </c>
      <c r="J65" s="74" t="s">
        <v>307</v>
      </c>
      <c r="K65" s="9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>
      <c r="A66" s="55">
        <v>1</v>
      </c>
      <c r="B66" s="100" t="s">
        <v>308</v>
      </c>
      <c r="C66" s="101">
        <f>C21</f>
        <v>0</v>
      </c>
      <c r="D66" s="35">
        <f t="shared" ref="D66:D73" si="29">U$3</f>
        <v>1</v>
      </c>
      <c r="E66" s="35">
        <f>IF(O$4=1,1.25,1.25/3.28)</f>
        <v>1.25</v>
      </c>
      <c r="F66" s="51"/>
      <c r="G66" s="52">
        <f>C66*D66*IF(O$4=1,E66,E66/3.28)</f>
        <v>0</v>
      </c>
      <c r="H66" s="52">
        <f t="shared" ref="H66:H73" si="30">C66*F66</f>
        <v>0</v>
      </c>
      <c r="I66" s="52">
        <f t="shared" ref="I66:I73" si="31">IF(C66=0,0,(G66+H66)/C66)</f>
        <v>0</v>
      </c>
      <c r="J66" s="52">
        <f t="shared" ref="J66:J73" si="32">G66+H66</f>
        <v>0</v>
      </c>
      <c r="K66" s="9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>
      <c r="A67" s="55">
        <v>2</v>
      </c>
      <c r="B67" s="468"/>
      <c r="C67" s="61"/>
      <c r="D67" s="35">
        <f t="shared" si="29"/>
        <v>1</v>
      </c>
      <c r="E67" s="35">
        <v>0</v>
      </c>
      <c r="F67" s="51"/>
      <c r="G67" s="52">
        <f t="shared" ref="G67:G73" si="33">C67*D67*E67</f>
        <v>0</v>
      </c>
      <c r="H67" s="52">
        <f t="shared" si="30"/>
        <v>0</v>
      </c>
      <c r="I67" s="52">
        <f t="shared" si="31"/>
        <v>0</v>
      </c>
      <c r="J67" s="52">
        <f t="shared" si="32"/>
        <v>0</v>
      </c>
      <c r="K67" s="9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>
      <c r="A68" s="55">
        <v>3</v>
      </c>
      <c r="B68" s="468"/>
      <c r="C68" s="52"/>
      <c r="D68" s="35">
        <f t="shared" si="29"/>
        <v>1</v>
      </c>
      <c r="E68" s="35">
        <v>0</v>
      </c>
      <c r="F68" s="51"/>
      <c r="G68" s="52">
        <f t="shared" si="33"/>
        <v>0</v>
      </c>
      <c r="H68" s="52">
        <f t="shared" si="30"/>
        <v>0</v>
      </c>
      <c r="I68" s="52">
        <f t="shared" si="31"/>
        <v>0</v>
      </c>
      <c r="J68" s="52">
        <f t="shared" si="32"/>
        <v>0</v>
      </c>
      <c r="K68" s="9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>
      <c r="A69" s="55">
        <v>4</v>
      </c>
      <c r="B69" s="52"/>
      <c r="C69" s="52"/>
      <c r="D69" s="35">
        <f t="shared" si="29"/>
        <v>1</v>
      </c>
      <c r="E69" s="35">
        <v>0</v>
      </c>
      <c r="F69" s="51"/>
      <c r="G69" s="52">
        <f t="shared" si="33"/>
        <v>0</v>
      </c>
      <c r="H69" s="52">
        <f t="shared" si="30"/>
        <v>0</v>
      </c>
      <c r="I69" s="52">
        <f t="shared" si="31"/>
        <v>0</v>
      </c>
      <c r="J69" s="52">
        <f t="shared" si="32"/>
        <v>0</v>
      </c>
      <c r="K69" s="9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>
      <c r="A70" s="55">
        <v>5</v>
      </c>
      <c r="B70" s="52"/>
      <c r="C70" s="52"/>
      <c r="D70" s="35">
        <f t="shared" si="29"/>
        <v>1</v>
      </c>
      <c r="E70" s="35">
        <v>0</v>
      </c>
      <c r="F70" s="51"/>
      <c r="G70" s="52">
        <f t="shared" si="33"/>
        <v>0</v>
      </c>
      <c r="H70" s="52">
        <f t="shared" si="30"/>
        <v>0</v>
      </c>
      <c r="I70" s="52">
        <f t="shared" si="31"/>
        <v>0</v>
      </c>
      <c r="J70" s="52">
        <f t="shared" si="32"/>
        <v>0</v>
      </c>
      <c r="K70" s="9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>
      <c r="A71" s="55">
        <v>6</v>
      </c>
      <c r="B71" s="52"/>
      <c r="C71" s="52"/>
      <c r="D71" s="35">
        <f t="shared" si="29"/>
        <v>1</v>
      </c>
      <c r="E71" s="35">
        <v>0</v>
      </c>
      <c r="F71" s="51"/>
      <c r="G71" s="52">
        <f t="shared" si="33"/>
        <v>0</v>
      </c>
      <c r="H71" s="52">
        <f t="shared" si="30"/>
        <v>0</v>
      </c>
      <c r="I71" s="52">
        <f t="shared" si="31"/>
        <v>0</v>
      </c>
      <c r="J71" s="52">
        <f t="shared" si="32"/>
        <v>0</v>
      </c>
      <c r="K71" s="9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>
      <c r="A72" s="55">
        <v>7</v>
      </c>
      <c r="B72" s="52"/>
      <c r="C72" s="52"/>
      <c r="D72" s="35">
        <f t="shared" si="29"/>
        <v>1</v>
      </c>
      <c r="E72" s="35">
        <v>0</v>
      </c>
      <c r="F72" s="51"/>
      <c r="G72" s="52">
        <f t="shared" si="33"/>
        <v>0</v>
      </c>
      <c r="H72" s="52">
        <f t="shared" si="30"/>
        <v>0</v>
      </c>
      <c r="I72" s="52">
        <f t="shared" si="31"/>
        <v>0</v>
      </c>
      <c r="J72" s="52">
        <f t="shared" si="32"/>
        <v>0</v>
      </c>
      <c r="K72" s="9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>
      <c r="A73" s="55">
        <v>8</v>
      </c>
      <c r="B73" s="52"/>
      <c r="C73" s="52"/>
      <c r="D73" s="35">
        <f t="shared" si="29"/>
        <v>1</v>
      </c>
      <c r="E73" s="35">
        <v>0</v>
      </c>
      <c r="F73" s="51"/>
      <c r="G73" s="56">
        <f t="shared" si="33"/>
        <v>0</v>
      </c>
      <c r="H73" s="56">
        <f t="shared" si="30"/>
        <v>0</v>
      </c>
      <c r="I73" s="56">
        <f t="shared" si="31"/>
        <v>0</v>
      </c>
      <c r="J73" s="56">
        <f t="shared" si="32"/>
        <v>0</v>
      </c>
      <c r="K73" s="28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3.5" thickBot="1">
      <c r="A74" s="62"/>
      <c r="B74" s="64"/>
      <c r="C74" s="64"/>
      <c r="D74" s="3"/>
      <c r="E74" s="3"/>
      <c r="F74" s="63"/>
      <c r="G74" s="52"/>
      <c r="H74" s="64"/>
      <c r="I74" s="64"/>
      <c r="J74" s="52"/>
      <c r="K74" s="9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3.5" thickBot="1">
      <c r="A75" s="65" t="s">
        <v>309</v>
      </c>
      <c r="B75" s="102"/>
      <c r="C75" s="102"/>
      <c r="D75" s="102"/>
      <c r="E75" s="102"/>
      <c r="F75" s="102"/>
      <c r="G75" s="69">
        <f>SUM(G66:G74)</f>
        <v>0</v>
      </c>
      <c r="H75" s="69">
        <f>SUM(H66:H74)</f>
        <v>0</v>
      </c>
      <c r="I75" s="69">
        <f>SUM(I66:I74)</f>
        <v>0</v>
      </c>
      <c r="J75" s="69">
        <f>SUM(J66:J74)</f>
        <v>0</v>
      </c>
      <c r="K75" s="9"/>
      <c r="L75" s="3"/>
      <c r="M75" s="3"/>
      <c r="N75" s="3"/>
      <c r="O75" s="3"/>
      <c r="P75" s="3"/>
      <c r="Q75" s="3"/>
      <c r="R75" s="3"/>
      <c r="S75" s="3"/>
      <c r="T75" s="3"/>
      <c r="U75" s="74" t="s">
        <v>310</v>
      </c>
      <c r="V75" s="74" t="s">
        <v>311</v>
      </c>
      <c r="W75" s="74" t="s">
        <v>159</v>
      </c>
      <c r="X75" s="102"/>
      <c r="Y75" s="99" t="s">
        <v>312</v>
      </c>
    </row>
    <row r="76" spans="1:25" ht="13.5" thickBot="1">
      <c r="A76" s="3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50"/>
      <c r="V76" s="103"/>
      <c r="W76" s="52"/>
      <c r="X76" s="3"/>
      <c r="Y76" s="20"/>
    </row>
    <row r="77" spans="1:25" ht="12.75">
      <c r="A77" s="3"/>
      <c r="B77" s="104" t="s">
        <v>313</v>
      </c>
      <c r="C77" s="105">
        <f>R21</f>
        <v>0</v>
      </c>
      <c r="D77" s="106"/>
      <c r="E77" s="9"/>
      <c r="F77" s="107" t="s">
        <v>314</v>
      </c>
      <c r="G77" s="108">
        <f>T34+J63+U42</f>
        <v>150</v>
      </c>
      <c r="H77" s="9"/>
      <c r="I77" s="18" t="s">
        <v>315</v>
      </c>
      <c r="J77" s="109">
        <f>P21</f>
        <v>0</v>
      </c>
      <c r="K77" s="106"/>
      <c r="L77" s="53"/>
      <c r="M77" s="110"/>
      <c r="N77" s="106"/>
      <c r="O77" s="3"/>
      <c r="P77" s="3"/>
      <c r="Q77" s="3"/>
      <c r="R77" s="3"/>
      <c r="S77" s="3"/>
      <c r="T77" s="9"/>
      <c r="U77" s="15" t="s">
        <v>316</v>
      </c>
      <c r="V77" s="130">
        <f>U21+V31+W34+I63+J63+W42+G75</f>
        <v>0</v>
      </c>
      <c r="W77" s="130">
        <f>(O$5-1)*V77</f>
        <v>0</v>
      </c>
      <c r="X77" s="3"/>
      <c r="Y77" s="131">
        <f>V77+W77</f>
        <v>0</v>
      </c>
    </row>
    <row r="78" spans="1:25" ht="12.75">
      <c r="A78" s="3"/>
      <c r="B78" s="111" t="s">
        <v>317</v>
      </c>
      <c r="C78" s="112">
        <f>V31+O34*(Q34+R34)</f>
        <v>0</v>
      </c>
      <c r="D78" s="106"/>
      <c r="E78" s="9"/>
      <c r="F78" s="113" t="s">
        <v>318</v>
      </c>
      <c r="G78" s="114">
        <f>S21</f>
        <v>0</v>
      </c>
      <c r="H78" s="9"/>
      <c r="I78" s="15" t="s">
        <v>319</v>
      </c>
      <c r="J78" s="20">
        <f>(V21+U31+V34+H63+V42+H75)/F6</f>
        <v>0.72222222222222221</v>
      </c>
      <c r="K78" s="106"/>
      <c r="L78" s="15" t="s">
        <v>320</v>
      </c>
      <c r="M78" s="115">
        <f>IF(J77=0,0,(V21+U31+V34+H63+V42+H75)/J77)</f>
        <v>0</v>
      </c>
      <c r="N78" s="106"/>
      <c r="O78" s="3"/>
      <c r="P78" s="3"/>
      <c r="Q78" s="3"/>
      <c r="R78" s="3"/>
      <c r="S78" s="3"/>
      <c r="T78" s="9"/>
      <c r="U78" s="15" t="s">
        <v>321</v>
      </c>
      <c r="V78" s="130">
        <f>V21+U31+V34+H63+V42+H75</f>
        <v>6500</v>
      </c>
      <c r="W78" s="130">
        <f>(O$5-1)*V78</f>
        <v>650.00000000000057</v>
      </c>
      <c r="X78" s="3"/>
      <c r="Y78" s="131">
        <f>V78+W78</f>
        <v>7150.0000000000009</v>
      </c>
    </row>
    <row r="79" spans="1:25" ht="12.75">
      <c r="A79" s="3"/>
      <c r="B79" s="111" t="s">
        <v>322</v>
      </c>
      <c r="C79" s="112">
        <f>O34*P34</f>
        <v>0</v>
      </c>
      <c r="D79" s="106"/>
      <c r="E79" s="9"/>
      <c r="F79" s="113" t="s">
        <v>323</v>
      </c>
      <c r="G79" s="114">
        <f>T21</f>
        <v>0</v>
      </c>
      <c r="H79" s="9"/>
      <c r="I79" s="15" t="s">
        <v>324</v>
      </c>
      <c r="J79" s="116">
        <f>IF(O4=1,C21,C21/3.28)</f>
        <v>0</v>
      </c>
      <c r="K79" s="106"/>
      <c r="L79" s="15" t="s">
        <v>325</v>
      </c>
      <c r="M79" s="115">
        <f>IF(J79=0,0,(V21+U31+V34+H63+V42+H75)/J79)</f>
        <v>0</v>
      </c>
      <c r="N79" s="106"/>
      <c r="O79" s="3"/>
      <c r="P79" s="3"/>
      <c r="Q79" s="3"/>
      <c r="R79" s="3"/>
      <c r="S79" s="3"/>
      <c r="T79" s="9"/>
      <c r="U79" s="15" t="s">
        <v>65</v>
      </c>
      <c r="V79" s="130">
        <f>W21</f>
        <v>0</v>
      </c>
      <c r="W79" s="130">
        <f>(O$5-1)*V79</f>
        <v>0</v>
      </c>
      <c r="X79" s="3"/>
      <c r="Y79" s="131">
        <f>V79+W79</f>
        <v>0</v>
      </c>
    </row>
    <row r="80" spans="1:25" ht="13.5" thickBot="1">
      <c r="A80" s="3"/>
      <c r="B80" s="111" t="s">
        <v>326</v>
      </c>
      <c r="C80" s="112">
        <f>I63+O37*(P37+Q37+S37)+O38*(P38+Q38+S38)+O39*(P39+Q39+S39)+O40*(P40+Q40+S40)</f>
        <v>0</v>
      </c>
      <c r="D80" s="106"/>
      <c r="E80" s="9"/>
      <c r="F80" s="113" t="s">
        <v>327</v>
      </c>
      <c r="G80" s="118">
        <f>IF(G77=0,0,G77/L8)</f>
        <v>0.6</v>
      </c>
      <c r="H80" s="9"/>
      <c r="I80" s="117" t="s">
        <v>328</v>
      </c>
      <c r="J80" s="116">
        <f>J79*3.28</f>
        <v>0</v>
      </c>
      <c r="K80" s="106"/>
      <c r="L80" s="117" t="s">
        <v>329</v>
      </c>
      <c r="M80" s="115">
        <f>M79/3.28</f>
        <v>0</v>
      </c>
      <c r="N80" s="106"/>
      <c r="O80" s="3"/>
      <c r="P80" s="3"/>
      <c r="Q80" s="3"/>
      <c r="R80" s="3"/>
      <c r="S80" s="3"/>
      <c r="T80" s="9"/>
      <c r="U80" s="52"/>
      <c r="V80" s="119"/>
      <c r="W80" s="120"/>
      <c r="X80" s="3"/>
      <c r="Y80" s="121"/>
    </row>
    <row r="81" spans="1:25" ht="13.5" thickBot="1">
      <c r="A81" s="3"/>
      <c r="B81" s="111" t="s">
        <v>330</v>
      </c>
      <c r="C81" s="112">
        <f>SUM(C77:C80)</f>
        <v>0</v>
      </c>
      <c r="D81" s="106"/>
      <c r="E81" s="9"/>
      <c r="F81" s="113" t="s">
        <v>331</v>
      </c>
      <c r="G81" s="118">
        <f>IF(G78=0,0,G78/I3)</f>
        <v>0</v>
      </c>
      <c r="H81" s="9"/>
      <c r="I81" s="117" t="s">
        <v>332</v>
      </c>
      <c r="J81" s="116">
        <f>Q21</f>
        <v>0</v>
      </c>
      <c r="K81" s="106"/>
      <c r="L81" s="117" t="s">
        <v>333</v>
      </c>
      <c r="M81" s="115">
        <f>IF(J81=0,0,(V21+U31+V34+H63+V42+H75)/J81)</f>
        <v>0</v>
      </c>
      <c r="N81" s="106"/>
      <c r="O81" s="3"/>
      <c r="P81" s="42" t="s">
        <v>334</v>
      </c>
      <c r="Q81" s="40" t="s">
        <v>335</v>
      </c>
      <c r="R81" s="122" t="s">
        <v>336</v>
      </c>
      <c r="S81" s="3"/>
      <c r="T81" s="9"/>
      <c r="U81" s="52"/>
      <c r="V81" s="103"/>
      <c r="W81" s="120"/>
      <c r="X81" s="3"/>
      <c r="Y81" s="20"/>
    </row>
    <row r="82" spans="1:25" ht="13.5" thickBot="1">
      <c r="A82" s="3"/>
      <c r="B82" s="111" t="s">
        <v>337</v>
      </c>
      <c r="C82" s="112">
        <f>G75</f>
        <v>0</v>
      </c>
      <c r="D82" s="106"/>
      <c r="E82" s="9"/>
      <c r="F82" s="123" t="s">
        <v>338</v>
      </c>
      <c r="G82" s="124">
        <f>IF(G79=0,0,G79/I5)</f>
        <v>0</v>
      </c>
      <c r="H82" s="9"/>
      <c r="I82" s="32" t="s">
        <v>339</v>
      </c>
      <c r="J82" s="125">
        <f>J81*3.28</f>
        <v>0</v>
      </c>
      <c r="K82" s="106"/>
      <c r="L82" s="32" t="s">
        <v>340</v>
      </c>
      <c r="M82" s="126">
        <f>M81/3.28</f>
        <v>0</v>
      </c>
      <c r="N82" s="106"/>
      <c r="O82" s="3"/>
      <c r="P82" s="46">
        <f>IF(V78=0,0,V78/(V77+V78+V79)*100)</f>
        <v>100</v>
      </c>
      <c r="Q82" s="46">
        <f>IF(V77=0,0,V77/(V77+V78+V79)*100)</f>
        <v>0</v>
      </c>
      <c r="R82" s="127">
        <f>IF(P82=0,0,100-P82-Q82)</f>
        <v>0</v>
      </c>
      <c r="S82" s="3"/>
      <c r="T82" s="9"/>
      <c r="U82" s="96" t="s">
        <v>341</v>
      </c>
      <c r="V82" s="132">
        <f>SUM(V76:V80)</f>
        <v>6500</v>
      </c>
      <c r="W82" s="132">
        <f>SUM(W76:W80)</f>
        <v>650.00000000000057</v>
      </c>
      <c r="X82" s="102"/>
      <c r="Y82" s="133">
        <f>SUM(Y76:Y80)</f>
        <v>7150.0000000000009</v>
      </c>
    </row>
    <row r="83" spans="1:25" ht="13.5" thickBot="1">
      <c r="A83" s="3"/>
      <c r="B83" s="128" t="s">
        <v>342</v>
      </c>
      <c r="C83" s="129">
        <f>G21+O34*U34+O37*R37+O38*R38+O39*R39+O40*R40</f>
        <v>0</v>
      </c>
      <c r="D83" s="106"/>
      <c r="E83" s="3"/>
      <c r="F83" s="3"/>
      <c r="G83" s="3"/>
      <c r="H83" s="9"/>
      <c r="I83" s="3"/>
      <c r="J83" s="3"/>
      <c r="K83" s="106"/>
      <c r="L83" s="3"/>
      <c r="M83" s="3"/>
      <c r="N83" s="106"/>
      <c r="O83" s="3"/>
      <c r="S83" s="3"/>
      <c r="T83" s="9"/>
    </row>
    <row r="84" spans="1:25" ht="12.75">
      <c r="A84" s="3"/>
      <c r="B84" s="3"/>
      <c r="C84" s="3"/>
      <c r="D84" s="106"/>
      <c r="E84" s="3"/>
      <c r="F84" s="3"/>
      <c r="G84" s="3"/>
      <c r="H84" s="9"/>
      <c r="I84" s="3"/>
      <c r="J84" s="3"/>
      <c r="K84" s="106"/>
      <c r="L84" s="3"/>
      <c r="M84" s="3"/>
      <c r="N84" s="106"/>
      <c r="O84" s="3"/>
      <c r="S84" s="3"/>
      <c r="T84" s="9"/>
    </row>
    <row r="85" spans="1:25" ht="12.75">
      <c r="A85" s="39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</sheetData>
  <mergeCells count="1">
    <mergeCell ref="A1:Y1"/>
  </mergeCells>
  <phoneticPr fontId="2" type="noConversion"/>
  <printOptions horizontalCentered="1" verticalCentered="1" gridLines="1"/>
  <pageMargins left="0.5" right="0.25" top="0.25" bottom="0.25" header="0.25" footer="0.25"/>
  <pageSetup paperSize="3" scale="67" orientation="landscape" verticalDpi="598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87"/>
  <sheetViews>
    <sheetView view="pageBreakPreview" zoomScale="85" zoomScaleNormal="85" zoomScaleSheetLayoutView="85" workbookViewId="0">
      <selection sqref="A1:Y1"/>
    </sheetView>
  </sheetViews>
  <sheetFormatPr defaultColWidth="12.42578125" defaultRowHeight="12"/>
  <cols>
    <col min="1" max="1" width="4.85546875" style="2" customWidth="1"/>
    <col min="2" max="2" width="19" style="2" customWidth="1"/>
    <col min="3" max="3" width="12.7109375" style="2" customWidth="1"/>
    <col min="4" max="4" width="9.85546875" style="2" customWidth="1"/>
    <col min="5" max="5" width="10.85546875" style="2" customWidth="1"/>
    <col min="6" max="6" width="14.42578125" style="2" customWidth="1"/>
    <col min="7" max="7" width="12.28515625" style="2" customWidth="1"/>
    <col min="8" max="8" width="12.42578125" style="2"/>
    <col min="9" max="9" width="9.85546875" style="2" customWidth="1"/>
    <col min="10" max="10" width="10.85546875" style="2" customWidth="1"/>
    <col min="11" max="11" width="12.42578125" style="2" customWidth="1"/>
    <col min="12" max="12" width="13.28515625" style="2" customWidth="1"/>
    <col min="13" max="13" width="9.42578125" style="2" customWidth="1"/>
    <col min="14" max="14" width="15.85546875" style="2" customWidth="1"/>
    <col min="15" max="15" width="9.85546875" style="2" customWidth="1"/>
    <col min="16" max="16" width="15.140625" style="2" customWidth="1"/>
    <col min="17" max="17" width="13.5703125" style="2" customWidth="1"/>
    <col min="18" max="18" width="12.42578125" style="2"/>
    <col min="19" max="21" width="12.140625" style="2" customWidth="1"/>
    <col min="22" max="22" width="15" style="2" customWidth="1"/>
    <col min="23" max="23" width="13.5703125" style="2" customWidth="1"/>
    <col min="24" max="24" width="11.5703125" style="2" customWidth="1"/>
    <col min="25" max="25" width="16.7109375" style="2" customWidth="1"/>
    <col min="26" max="16384" width="12.42578125" style="2"/>
  </cols>
  <sheetData>
    <row r="1" spans="1:25" s="1" customFormat="1" ht="23.25">
      <c r="A1" s="554" t="s">
        <v>385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554"/>
      <c r="X1" s="554"/>
      <c r="Y1" s="554"/>
    </row>
    <row r="2" spans="1:25" ht="17.25" thickBot="1">
      <c r="B2" s="134"/>
      <c r="C2" s="72"/>
    </row>
    <row r="3" spans="1:25" ht="17.25" thickBot="1">
      <c r="A3" s="144" t="s">
        <v>383</v>
      </c>
      <c r="B3" s="142"/>
      <c r="C3" s="3"/>
      <c r="D3" s="4" t="s">
        <v>199</v>
      </c>
      <c r="E3" s="5"/>
      <c r="F3" s="6">
        <v>1.2</v>
      </c>
      <c r="G3" s="4" t="s">
        <v>200</v>
      </c>
      <c r="H3" s="5"/>
      <c r="I3" s="7">
        <v>22</v>
      </c>
      <c r="J3" s="3"/>
      <c r="K3" s="8" t="s">
        <v>201</v>
      </c>
      <c r="L3" s="7">
        <v>32</v>
      </c>
      <c r="M3" s="9"/>
      <c r="N3" s="10" t="s">
        <v>88</v>
      </c>
      <c r="O3" s="6">
        <v>100</v>
      </c>
      <c r="P3" s="3"/>
      <c r="Q3" s="9"/>
      <c r="R3" s="3"/>
      <c r="S3" s="3"/>
      <c r="T3" s="4" t="s">
        <v>202</v>
      </c>
      <c r="U3" s="11">
        <v>1</v>
      </c>
      <c r="V3" s="3"/>
      <c r="W3" s="3"/>
      <c r="X3" s="3"/>
      <c r="Y3" s="3"/>
    </row>
    <row r="4" spans="1:25" ht="16.5">
      <c r="A4" s="153"/>
      <c r="B4" s="142"/>
      <c r="C4" s="3"/>
      <c r="D4" s="12" t="s">
        <v>203</v>
      </c>
      <c r="E4" s="3"/>
      <c r="F4" s="13">
        <v>0.3</v>
      </c>
      <c r="G4" s="12" t="s">
        <v>204</v>
      </c>
      <c r="H4" s="3"/>
      <c r="I4" s="14">
        <v>35</v>
      </c>
      <c r="J4" s="9"/>
      <c r="K4" s="15" t="s">
        <v>205</v>
      </c>
      <c r="L4" s="16">
        <v>51</v>
      </c>
      <c r="M4" s="9"/>
      <c r="N4" s="17" t="s">
        <v>93</v>
      </c>
      <c r="O4" s="13">
        <v>1</v>
      </c>
      <c r="P4" s="9"/>
      <c r="Q4" s="18" t="s">
        <v>206</v>
      </c>
      <c r="R4" s="19">
        <v>5</v>
      </c>
      <c r="S4" s="3"/>
      <c r="T4" s="12" t="s">
        <v>207</v>
      </c>
      <c r="U4" s="14">
        <v>1</v>
      </c>
      <c r="V4" s="3"/>
      <c r="W4" s="3"/>
      <c r="X4" s="3"/>
      <c r="Y4" s="3"/>
    </row>
    <row r="5" spans="1:25" ht="16.5">
      <c r="A5" s="153" t="s">
        <v>6</v>
      </c>
      <c r="B5" s="163"/>
      <c r="C5" s="3"/>
      <c r="D5" s="12" t="s">
        <v>208</v>
      </c>
      <c r="E5" s="3"/>
      <c r="F5" s="13">
        <v>0</v>
      </c>
      <c r="G5" s="12" t="s">
        <v>209</v>
      </c>
      <c r="H5" s="3"/>
      <c r="I5" s="16">
        <v>10</v>
      </c>
      <c r="J5" s="9"/>
      <c r="K5" s="15" t="s">
        <v>210</v>
      </c>
      <c r="L5" s="16">
        <v>84</v>
      </c>
      <c r="M5" s="9"/>
      <c r="N5" s="17" t="s">
        <v>98</v>
      </c>
      <c r="O5" s="13">
        <v>1.1000000000000001</v>
      </c>
      <c r="P5" s="3"/>
      <c r="Q5" s="20"/>
      <c r="R5" s="21"/>
      <c r="S5" s="3"/>
      <c r="T5" s="12" t="s">
        <v>211</v>
      </c>
      <c r="U5" s="14">
        <v>1.02078</v>
      </c>
      <c r="V5" s="9"/>
      <c r="W5" s="3"/>
      <c r="X5" s="3"/>
      <c r="Y5" s="3"/>
    </row>
    <row r="6" spans="1:25" ht="13.5" thickBot="1">
      <c r="A6" s="9"/>
      <c r="B6" s="3"/>
      <c r="C6" s="3"/>
      <c r="D6" s="12" t="s">
        <v>212</v>
      </c>
      <c r="E6" s="3"/>
      <c r="F6" s="22">
        <v>900</v>
      </c>
      <c r="G6" s="12" t="s">
        <v>213</v>
      </c>
      <c r="H6" s="3"/>
      <c r="I6" s="14">
        <v>30</v>
      </c>
      <c r="J6" s="9"/>
      <c r="K6" s="15" t="s">
        <v>214</v>
      </c>
      <c r="L6" s="16">
        <v>142</v>
      </c>
      <c r="M6" s="9"/>
      <c r="N6" s="17" t="s">
        <v>215</v>
      </c>
      <c r="O6" s="13">
        <v>0.9</v>
      </c>
      <c r="P6" s="3"/>
      <c r="Q6" s="20"/>
      <c r="R6" s="21"/>
      <c r="S6" s="3"/>
      <c r="T6" s="23"/>
      <c r="U6" s="24">
        <v>1.0774900000000001</v>
      </c>
      <c r="V6" s="3"/>
      <c r="W6" s="3"/>
      <c r="X6" s="3"/>
      <c r="Y6" s="3"/>
    </row>
    <row r="7" spans="1:25" ht="17.25" thickBot="1">
      <c r="A7" s="25"/>
      <c r="B7" s="135"/>
      <c r="C7" s="3"/>
      <c r="D7" s="12" t="s">
        <v>216</v>
      </c>
      <c r="E7" s="3"/>
      <c r="F7" s="22">
        <v>300</v>
      </c>
      <c r="G7" s="12" t="s">
        <v>217</v>
      </c>
      <c r="H7" s="3"/>
      <c r="I7" s="16">
        <v>10</v>
      </c>
      <c r="J7" s="9"/>
      <c r="K7" s="15" t="s">
        <v>218</v>
      </c>
      <c r="L7" s="16">
        <v>165</v>
      </c>
      <c r="M7" s="9"/>
      <c r="N7" s="17" t="s">
        <v>219</v>
      </c>
      <c r="O7" s="13">
        <v>1</v>
      </c>
      <c r="P7" s="3"/>
      <c r="Q7" s="26" t="s">
        <v>220</v>
      </c>
      <c r="R7" s="27">
        <v>620</v>
      </c>
      <c r="S7" s="3"/>
      <c r="T7" s="3"/>
      <c r="U7" s="3"/>
      <c r="V7" s="9" t="s">
        <v>221</v>
      </c>
      <c r="W7" s="3"/>
      <c r="Y7" s="3"/>
    </row>
    <row r="8" spans="1:25" ht="17.25" thickBot="1">
      <c r="A8" s="25"/>
      <c r="B8" s="135"/>
      <c r="C8" s="28"/>
      <c r="D8" s="29" t="s">
        <v>222</v>
      </c>
      <c r="E8" s="30"/>
      <c r="F8" s="31">
        <v>65</v>
      </c>
      <c r="G8" s="29" t="s">
        <v>223</v>
      </c>
      <c r="H8" s="30"/>
      <c r="I8" s="31">
        <v>0</v>
      </c>
      <c r="J8" s="3"/>
      <c r="K8" s="32" t="s">
        <v>224</v>
      </c>
      <c r="L8" s="33">
        <v>250</v>
      </c>
      <c r="M8" s="9"/>
      <c r="N8" s="34" t="s">
        <v>225</v>
      </c>
      <c r="O8" s="31">
        <v>0.15</v>
      </c>
      <c r="P8" s="3"/>
      <c r="Q8" s="3"/>
      <c r="R8" s="3"/>
      <c r="S8" s="3"/>
      <c r="T8" s="3"/>
      <c r="U8" s="3"/>
      <c r="V8" s="3"/>
      <c r="W8" s="3"/>
      <c r="X8" s="139" t="s">
        <v>226</v>
      </c>
      <c r="Y8" s="140">
        <v>44859</v>
      </c>
    </row>
    <row r="9" spans="1:25" ht="12.75">
      <c r="A9" s="9"/>
      <c r="B9" s="3"/>
      <c r="C9" s="28"/>
      <c r="D9" s="9"/>
      <c r="E9" s="3"/>
      <c r="F9" s="35"/>
      <c r="G9" s="9"/>
      <c r="H9" s="3"/>
      <c r="I9" s="35"/>
      <c r="J9" s="3"/>
      <c r="K9" s="9"/>
      <c r="L9" s="36"/>
      <c r="M9" s="9"/>
      <c r="N9" s="3"/>
      <c r="O9" s="35"/>
      <c r="P9" s="3"/>
      <c r="Q9" s="3"/>
      <c r="R9" s="3"/>
      <c r="S9" s="3"/>
      <c r="T9" s="3"/>
      <c r="U9" s="3"/>
      <c r="V9" s="3"/>
      <c r="W9" s="3"/>
      <c r="X9" s="37" t="s">
        <v>114</v>
      </c>
      <c r="Y9" s="38">
        <f ca="1">TODAY()</f>
        <v>46143</v>
      </c>
    </row>
    <row r="10" spans="1:25" ht="13.5" thickBot="1">
      <c r="A10" s="39"/>
      <c r="B10" s="39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9"/>
      <c r="O10" s="3"/>
      <c r="P10" s="39"/>
      <c r="Q10" s="3"/>
      <c r="R10" s="3"/>
      <c r="S10" s="3"/>
      <c r="T10" s="3"/>
      <c r="U10" s="3"/>
      <c r="V10" s="3"/>
      <c r="W10" s="3"/>
      <c r="X10" s="3"/>
      <c r="Y10" s="3"/>
    </row>
    <row r="11" spans="1:25" s="45" customFormat="1" ht="12.75">
      <c r="A11" s="40" t="s">
        <v>227</v>
      </c>
      <c r="B11" s="41" t="s">
        <v>228</v>
      </c>
      <c r="C11" s="42" t="s">
        <v>229</v>
      </c>
      <c r="D11" s="40" t="s">
        <v>230</v>
      </c>
      <c r="E11" s="40" t="s">
        <v>231</v>
      </c>
      <c r="F11" s="41" t="s">
        <v>232</v>
      </c>
      <c r="G11" s="40" t="s">
        <v>233</v>
      </c>
      <c r="H11" s="40" t="s">
        <v>233</v>
      </c>
      <c r="I11" s="40" t="s">
        <v>129</v>
      </c>
      <c r="J11" s="40" t="s">
        <v>234</v>
      </c>
      <c r="K11" s="43" t="s">
        <v>235</v>
      </c>
      <c r="L11" s="43" t="s">
        <v>236</v>
      </c>
      <c r="M11" s="44" t="s">
        <v>237</v>
      </c>
      <c r="N11" s="40" t="s">
        <v>238</v>
      </c>
      <c r="O11" s="41" t="s">
        <v>127</v>
      </c>
      <c r="P11" s="42" t="s">
        <v>131</v>
      </c>
      <c r="Q11" s="40" t="s">
        <v>229</v>
      </c>
      <c r="R11" s="40" t="s">
        <v>131</v>
      </c>
      <c r="S11" s="40" t="s">
        <v>131</v>
      </c>
      <c r="T11" s="40" t="s">
        <v>131</v>
      </c>
      <c r="U11" s="40" t="s">
        <v>131</v>
      </c>
      <c r="V11" s="40" t="s">
        <v>37</v>
      </c>
      <c r="W11" s="40" t="s">
        <v>37</v>
      </c>
      <c r="X11" s="41" t="s">
        <v>239</v>
      </c>
      <c r="Y11" s="40" t="s">
        <v>131</v>
      </c>
    </row>
    <row r="12" spans="1:25" s="45" customFormat="1" ht="13.5" thickBot="1">
      <c r="A12" s="46" t="s">
        <v>240</v>
      </c>
      <c r="B12" s="47" t="s">
        <v>241</v>
      </c>
      <c r="C12" s="48" t="str">
        <f>IF(O4=1,"METERS","FEET")</f>
        <v>METERS</v>
      </c>
      <c r="D12" s="46" t="s">
        <v>242</v>
      </c>
      <c r="E12" s="46" t="s">
        <v>243</v>
      </c>
      <c r="F12" s="47" t="s">
        <v>244</v>
      </c>
      <c r="G12" s="46" t="s">
        <v>245</v>
      </c>
      <c r="H12" s="46" t="s">
        <v>140</v>
      </c>
      <c r="I12" s="46" t="s">
        <v>246</v>
      </c>
      <c r="J12" s="46" t="s">
        <v>247</v>
      </c>
      <c r="K12" s="49" t="s">
        <v>247</v>
      </c>
      <c r="L12" s="49" t="s">
        <v>132</v>
      </c>
      <c r="M12" s="49" t="s">
        <v>146</v>
      </c>
      <c r="N12" s="46" t="s">
        <v>248</v>
      </c>
      <c r="O12" s="47" t="s">
        <v>144</v>
      </c>
      <c r="P12" s="48" t="s">
        <v>249</v>
      </c>
      <c r="Q12" s="46" t="s">
        <v>250</v>
      </c>
      <c r="R12" s="46" t="s">
        <v>147</v>
      </c>
      <c r="S12" s="46" t="s">
        <v>251</v>
      </c>
      <c r="T12" s="46" t="s">
        <v>252</v>
      </c>
      <c r="U12" s="46" t="s">
        <v>253</v>
      </c>
      <c r="V12" s="46" t="s">
        <v>237</v>
      </c>
      <c r="W12" s="46" t="s">
        <v>65</v>
      </c>
      <c r="X12" s="47" t="str">
        <f>IF(O4=1,"$/METER","$/FOOT")</f>
        <v>$/METER</v>
      </c>
      <c r="Y12" s="46" t="s">
        <v>132</v>
      </c>
    </row>
    <row r="13" spans="1:25" ht="12.75">
      <c r="A13" s="50"/>
      <c r="B13" s="51"/>
      <c r="C13" s="52"/>
      <c r="D13" s="52"/>
      <c r="E13" s="52"/>
      <c r="F13" s="51"/>
      <c r="G13" s="52"/>
      <c r="H13" s="52"/>
      <c r="I13" s="51"/>
      <c r="J13" s="53"/>
      <c r="K13" s="53"/>
      <c r="L13" s="53"/>
      <c r="M13" s="54"/>
      <c r="N13" s="52"/>
      <c r="O13" s="51"/>
      <c r="P13" s="52"/>
      <c r="Q13" s="52"/>
      <c r="R13" s="52"/>
      <c r="S13" s="52"/>
      <c r="T13" s="52"/>
      <c r="U13" s="52"/>
      <c r="V13" s="52"/>
      <c r="W13" s="52"/>
      <c r="X13" s="51"/>
      <c r="Y13" s="52"/>
    </row>
    <row r="14" spans="1:25" ht="12.75">
      <c r="A14" s="55">
        <v>1</v>
      </c>
      <c r="B14" s="51"/>
      <c r="C14" s="52"/>
      <c r="D14" s="61"/>
      <c r="E14" s="56">
        <f t="shared" ref="E14:E19" si="0">(D14=100)*L$3+(D14=150)*L$4+(D14=200)*L$5+(D14=250)*L$6+(D14=300)*L$7</f>
        <v>0</v>
      </c>
      <c r="F14" s="57">
        <v>1.1000000000000001</v>
      </c>
      <c r="G14" s="52"/>
      <c r="H14" s="52"/>
      <c r="I14" s="51">
        <f t="shared" ref="I14:I19" si="1">IF(F14&gt;2,F$8*0.9,F$8)*(O$3/100)</f>
        <v>65</v>
      </c>
      <c r="J14" s="56">
        <v>1.8</v>
      </c>
      <c r="K14" s="52">
        <f t="shared" ref="K14:K19" si="2">(TRUNC(F14)=2)*((I$8=0)*IF(F$4=0,0,J14-F$5)+(I$8&gt;0)*(J14-I$8-F$5))+(TRUNC(F14)=1)*((I$8=0)*IF(F$4=0,0,F$4))</f>
        <v>0.3</v>
      </c>
      <c r="L14" s="52">
        <f t="shared" ref="L14:L19" si="3">IF(F14&gt;2,F$6+0.5*F$7,F$6)</f>
        <v>900</v>
      </c>
      <c r="M14" s="58">
        <f t="shared" ref="M14:M19" si="4">(C14&gt;0)*L14/I14*IF(OR(F14=1.2,F14=2.2),0.6,1)</f>
        <v>0</v>
      </c>
      <c r="N14" s="56">
        <f>(F14=1.1)*F$3+(F14=1.2)*(2*1.25*D14/1000+2*O$8+O$7)/2+(F14=2.1)*(F$3+0.3)+(F14=2.2)*(2*1.25*D14/1000+4*O$8+O$7)/2</f>
        <v>1.2</v>
      </c>
      <c r="O14" s="51">
        <f t="shared" ref="O14:O19" si="5">((N14*(J14+1.25*D14/1000+0.1)+(TRUNC(F14)=1)*(J14-0.9)^2*O$6)*IF(F14-TRUNC(F14)=0.2,0.5,1))*(C14&gt;0)</f>
        <v>0</v>
      </c>
      <c r="P14" s="59">
        <f t="shared" ref="P14:P19" si="6">O14*C14*IF(O$4=1,1,1/3.28)</f>
        <v>0</v>
      </c>
      <c r="Q14" s="59">
        <f t="shared" ref="Q14:Q19" si="7">IF(F14-TRUNC(F14)=0.2,0.5,1)*C14*IF(O$4=1,1,1/3.28)</f>
        <v>0</v>
      </c>
      <c r="R14" s="52">
        <f t="shared" ref="R14:R19" si="8">C14*E14*U$3*IF(O$4=1,1,1/3.28)</f>
        <v>0</v>
      </c>
      <c r="S14" s="52">
        <f t="shared" ref="S14:S19" si="9">IF(I$8&gt;0,N14*(0.1+0.00125*D14+I$8)-PI()*(D14*0.00125)^2/4,0)*2*I4*C14*IF(O$4=2,1,1/3.28)</f>
        <v>0</v>
      </c>
      <c r="T14" s="52">
        <f t="shared" ref="T14:T19" si="10">IF(K14=0,0,1)*IF(AND(I$8=0,K14&gt;0),N14*(0.1+0.00125*D14+K14)-PI()*(D14*0.00125)^2/4,N14*K14)*2*I$6*C14*IF(O$4=1,1,1/3.28)</f>
        <v>0</v>
      </c>
      <c r="U14" s="52">
        <f t="shared" ref="U14:U19" si="11">G14+R14+S14+T14</f>
        <v>0</v>
      </c>
      <c r="V14" s="52">
        <f t="shared" ref="V14:V19" si="12">H14+C14*M14*IF(O$4=1,1,1/3.28)</f>
        <v>0</v>
      </c>
      <c r="W14" s="52">
        <f t="shared" ref="W14:W19" si="13">((IF(S14=0,0,S14/I$4)+IF(T14=0,0,T14/I$6))/2+PI()*(D14*0.00125)^2/4*C14*IF(O$4=1,1,1/3.28))*I$7</f>
        <v>0</v>
      </c>
      <c r="X14" s="51">
        <f t="shared" ref="X14:X19" si="14">IF(C14=0,0,(U14+V14+W14)/C14)</f>
        <v>0</v>
      </c>
      <c r="Y14" s="60">
        <f t="shared" ref="Y14:Y19" si="15">U14+V14+W14</f>
        <v>0</v>
      </c>
    </row>
    <row r="15" spans="1:25" ht="12.75">
      <c r="A15" s="55">
        <v>2</v>
      </c>
      <c r="B15" s="51"/>
      <c r="C15" s="52"/>
      <c r="D15" s="61"/>
      <c r="E15" s="56">
        <f t="shared" si="0"/>
        <v>0</v>
      </c>
      <c r="F15" s="57">
        <v>1.1000000000000001</v>
      </c>
      <c r="G15" s="52"/>
      <c r="H15" s="52"/>
      <c r="I15" s="51">
        <f t="shared" si="1"/>
        <v>65</v>
      </c>
      <c r="J15" s="56">
        <v>1.8</v>
      </c>
      <c r="K15" s="52">
        <f t="shared" si="2"/>
        <v>0.3</v>
      </c>
      <c r="L15" s="52">
        <f t="shared" si="3"/>
        <v>900</v>
      </c>
      <c r="M15" s="58">
        <f t="shared" si="4"/>
        <v>0</v>
      </c>
      <c r="N15" s="56">
        <f t="shared" ref="N15:N19" si="16">(F15=1.1)*F$3+(F15=1.2)*(2*1.25*D15/1000+2*O$8+O$7)/2+(F15=2.1)*(F$3+0.3)+(F15=2.2)*(2*1.25*D15/1000+4*O$8+O$7)/2</f>
        <v>1.2</v>
      </c>
      <c r="O15" s="51">
        <f t="shared" si="5"/>
        <v>0</v>
      </c>
      <c r="P15" s="59">
        <f t="shared" si="6"/>
        <v>0</v>
      </c>
      <c r="Q15" s="59">
        <f t="shared" si="7"/>
        <v>0</v>
      </c>
      <c r="R15" s="52">
        <f t="shared" si="8"/>
        <v>0</v>
      </c>
      <c r="S15" s="52">
        <f t="shared" si="9"/>
        <v>0</v>
      </c>
      <c r="T15" s="52">
        <f t="shared" si="10"/>
        <v>0</v>
      </c>
      <c r="U15" s="52">
        <f t="shared" si="11"/>
        <v>0</v>
      </c>
      <c r="V15" s="52">
        <f t="shared" si="12"/>
        <v>0</v>
      </c>
      <c r="W15" s="52">
        <f t="shared" si="13"/>
        <v>0</v>
      </c>
      <c r="X15" s="51">
        <f t="shared" si="14"/>
        <v>0</v>
      </c>
      <c r="Y15" s="60">
        <f t="shared" si="15"/>
        <v>0</v>
      </c>
    </row>
    <row r="16" spans="1:25" ht="12.75">
      <c r="A16" s="55">
        <v>3</v>
      </c>
      <c r="B16" s="51"/>
      <c r="C16" s="52"/>
      <c r="D16" s="61"/>
      <c r="E16" s="56">
        <f t="shared" si="0"/>
        <v>0</v>
      </c>
      <c r="F16" s="57">
        <v>1.1000000000000001</v>
      </c>
      <c r="G16" s="52"/>
      <c r="H16" s="52"/>
      <c r="I16" s="51">
        <f t="shared" si="1"/>
        <v>65</v>
      </c>
      <c r="J16" s="56">
        <v>1.8</v>
      </c>
      <c r="K16" s="52">
        <f t="shared" si="2"/>
        <v>0.3</v>
      </c>
      <c r="L16" s="52">
        <f t="shared" si="3"/>
        <v>900</v>
      </c>
      <c r="M16" s="58">
        <f t="shared" si="4"/>
        <v>0</v>
      </c>
      <c r="N16" s="56">
        <f t="shared" si="16"/>
        <v>1.2</v>
      </c>
      <c r="O16" s="51">
        <f t="shared" si="5"/>
        <v>0</v>
      </c>
      <c r="P16" s="59">
        <f t="shared" si="6"/>
        <v>0</v>
      </c>
      <c r="Q16" s="59">
        <f t="shared" si="7"/>
        <v>0</v>
      </c>
      <c r="R16" s="52">
        <f t="shared" si="8"/>
        <v>0</v>
      </c>
      <c r="S16" s="52">
        <f t="shared" si="9"/>
        <v>0</v>
      </c>
      <c r="T16" s="52">
        <f t="shared" si="10"/>
        <v>0</v>
      </c>
      <c r="U16" s="52">
        <f t="shared" si="11"/>
        <v>0</v>
      </c>
      <c r="V16" s="52">
        <f t="shared" si="12"/>
        <v>0</v>
      </c>
      <c r="W16" s="52">
        <f t="shared" si="13"/>
        <v>0</v>
      </c>
      <c r="X16" s="51">
        <f t="shared" si="14"/>
        <v>0</v>
      </c>
      <c r="Y16" s="60">
        <f t="shared" si="15"/>
        <v>0</v>
      </c>
    </row>
    <row r="17" spans="1:25" ht="12.75">
      <c r="A17" s="55">
        <v>4</v>
      </c>
      <c r="B17" s="51"/>
      <c r="C17" s="52"/>
      <c r="D17" s="61"/>
      <c r="E17" s="56">
        <f t="shared" si="0"/>
        <v>0</v>
      </c>
      <c r="F17" s="57">
        <v>1.1000000000000001</v>
      </c>
      <c r="G17" s="52"/>
      <c r="H17" s="52"/>
      <c r="I17" s="51">
        <f t="shared" si="1"/>
        <v>65</v>
      </c>
      <c r="J17" s="56">
        <v>1.8</v>
      </c>
      <c r="K17" s="52">
        <f t="shared" si="2"/>
        <v>0.3</v>
      </c>
      <c r="L17" s="52">
        <f t="shared" si="3"/>
        <v>900</v>
      </c>
      <c r="M17" s="58">
        <f t="shared" si="4"/>
        <v>0</v>
      </c>
      <c r="N17" s="56">
        <f t="shared" si="16"/>
        <v>1.2</v>
      </c>
      <c r="O17" s="51">
        <f t="shared" si="5"/>
        <v>0</v>
      </c>
      <c r="P17" s="59">
        <f t="shared" si="6"/>
        <v>0</v>
      </c>
      <c r="Q17" s="59">
        <f t="shared" si="7"/>
        <v>0</v>
      </c>
      <c r="R17" s="52">
        <f t="shared" si="8"/>
        <v>0</v>
      </c>
      <c r="S17" s="52">
        <f t="shared" si="9"/>
        <v>0</v>
      </c>
      <c r="T17" s="52">
        <f t="shared" si="10"/>
        <v>0</v>
      </c>
      <c r="U17" s="52">
        <f t="shared" si="11"/>
        <v>0</v>
      </c>
      <c r="V17" s="52">
        <f t="shared" si="12"/>
        <v>0</v>
      </c>
      <c r="W17" s="52">
        <f t="shared" si="13"/>
        <v>0</v>
      </c>
      <c r="X17" s="51">
        <f t="shared" si="14"/>
        <v>0</v>
      </c>
      <c r="Y17" s="60">
        <f t="shared" si="15"/>
        <v>0</v>
      </c>
    </row>
    <row r="18" spans="1:25" ht="12.75">
      <c r="A18" s="55">
        <v>5</v>
      </c>
      <c r="B18" s="51"/>
      <c r="C18" s="52"/>
      <c r="D18" s="61"/>
      <c r="E18" s="56">
        <f t="shared" si="0"/>
        <v>0</v>
      </c>
      <c r="F18" s="57">
        <v>1.1000000000000001</v>
      </c>
      <c r="G18" s="52"/>
      <c r="H18" s="52"/>
      <c r="I18" s="51">
        <f t="shared" si="1"/>
        <v>65</v>
      </c>
      <c r="J18" s="56">
        <v>1.8</v>
      </c>
      <c r="K18" s="52">
        <f t="shared" si="2"/>
        <v>0.3</v>
      </c>
      <c r="L18" s="52">
        <f t="shared" si="3"/>
        <v>900</v>
      </c>
      <c r="M18" s="58">
        <f t="shared" si="4"/>
        <v>0</v>
      </c>
      <c r="N18" s="56">
        <f t="shared" si="16"/>
        <v>1.2</v>
      </c>
      <c r="O18" s="51">
        <f t="shared" si="5"/>
        <v>0</v>
      </c>
      <c r="P18" s="59">
        <f t="shared" si="6"/>
        <v>0</v>
      </c>
      <c r="Q18" s="59">
        <f t="shared" si="7"/>
        <v>0</v>
      </c>
      <c r="R18" s="52">
        <f t="shared" si="8"/>
        <v>0</v>
      </c>
      <c r="S18" s="52">
        <f t="shared" si="9"/>
        <v>0</v>
      </c>
      <c r="T18" s="52">
        <f t="shared" si="10"/>
        <v>0</v>
      </c>
      <c r="U18" s="52">
        <f t="shared" si="11"/>
        <v>0</v>
      </c>
      <c r="V18" s="52">
        <f t="shared" si="12"/>
        <v>0</v>
      </c>
      <c r="W18" s="52">
        <f t="shared" si="13"/>
        <v>0</v>
      </c>
      <c r="X18" s="51">
        <f t="shared" si="14"/>
        <v>0</v>
      </c>
      <c r="Y18" s="60">
        <f t="shared" si="15"/>
        <v>0</v>
      </c>
    </row>
    <row r="19" spans="1:25" ht="12.75">
      <c r="A19" s="55">
        <v>6</v>
      </c>
      <c r="B19" s="51"/>
      <c r="C19" s="52"/>
      <c r="D19" s="61"/>
      <c r="E19" s="56">
        <f t="shared" si="0"/>
        <v>0</v>
      </c>
      <c r="F19" s="57">
        <v>1.1000000000000001</v>
      </c>
      <c r="G19" s="52"/>
      <c r="H19" s="52"/>
      <c r="I19" s="51">
        <f t="shared" si="1"/>
        <v>65</v>
      </c>
      <c r="J19" s="56">
        <v>1.8</v>
      </c>
      <c r="K19" s="52">
        <f t="shared" si="2"/>
        <v>0.3</v>
      </c>
      <c r="L19" s="52">
        <f t="shared" si="3"/>
        <v>900</v>
      </c>
      <c r="M19" s="58">
        <f t="shared" si="4"/>
        <v>0</v>
      </c>
      <c r="N19" s="56">
        <f t="shared" si="16"/>
        <v>1.2</v>
      </c>
      <c r="O19" s="51">
        <f t="shared" si="5"/>
        <v>0</v>
      </c>
      <c r="P19" s="59">
        <f t="shared" si="6"/>
        <v>0</v>
      </c>
      <c r="Q19" s="59">
        <f t="shared" si="7"/>
        <v>0</v>
      </c>
      <c r="R19" s="52">
        <f t="shared" si="8"/>
        <v>0</v>
      </c>
      <c r="S19" s="52">
        <f t="shared" si="9"/>
        <v>0</v>
      </c>
      <c r="T19" s="52">
        <f t="shared" si="10"/>
        <v>0</v>
      </c>
      <c r="U19" s="52">
        <f t="shared" si="11"/>
        <v>0</v>
      </c>
      <c r="V19" s="52">
        <f t="shared" si="12"/>
        <v>0</v>
      </c>
      <c r="W19" s="52">
        <f t="shared" si="13"/>
        <v>0</v>
      </c>
      <c r="X19" s="51">
        <f t="shared" si="14"/>
        <v>0</v>
      </c>
      <c r="Y19" s="60">
        <f t="shared" si="15"/>
        <v>0</v>
      </c>
    </row>
    <row r="20" spans="1:25" ht="13.5" thickBot="1">
      <c r="A20" s="62"/>
      <c r="B20" s="63"/>
      <c r="C20" s="52"/>
      <c r="D20" s="64"/>
      <c r="E20" s="64"/>
      <c r="F20" s="63"/>
      <c r="G20" s="52"/>
      <c r="H20" s="64"/>
      <c r="I20" s="63"/>
      <c r="J20" s="64"/>
      <c r="K20" s="64"/>
      <c r="L20" s="64"/>
      <c r="M20" s="63"/>
      <c r="N20" s="64"/>
      <c r="O20" s="63"/>
      <c r="P20" s="52"/>
      <c r="Q20" s="52"/>
      <c r="R20" s="52"/>
      <c r="S20" s="52"/>
      <c r="T20" s="52"/>
      <c r="U20" s="52"/>
      <c r="V20" s="52"/>
      <c r="W20" s="52"/>
      <c r="X20" s="63"/>
      <c r="Y20" s="52"/>
    </row>
    <row r="21" spans="1:25" s="72" customFormat="1" ht="13.5" thickBot="1">
      <c r="A21" s="65" t="s">
        <v>254</v>
      </c>
      <c r="B21" s="66"/>
      <c r="C21" s="67">
        <f>SUM(C13:C20)</f>
        <v>0</v>
      </c>
      <c r="D21" s="68" t="str">
        <f>IF(O4=1,"METERS","FEET")</f>
        <v>METERS</v>
      </c>
      <c r="E21" s="66"/>
      <c r="F21" s="66"/>
      <c r="G21" s="69">
        <f>SUM(G14:G19)</f>
        <v>0</v>
      </c>
      <c r="H21" s="69">
        <f>SUM(H14:H19)</f>
        <v>0</v>
      </c>
      <c r="I21" s="66"/>
      <c r="J21" s="66"/>
      <c r="K21" s="66"/>
      <c r="L21" s="66"/>
      <c r="M21" s="66"/>
      <c r="N21" s="66"/>
      <c r="O21" s="66"/>
      <c r="P21" s="67">
        <f t="shared" ref="P21:W21" si="17">SUM(P13:P20)</f>
        <v>0</v>
      </c>
      <c r="Q21" s="70">
        <f t="shared" si="17"/>
        <v>0</v>
      </c>
      <c r="R21" s="69">
        <f t="shared" si="17"/>
        <v>0</v>
      </c>
      <c r="S21" s="69">
        <f t="shared" si="17"/>
        <v>0</v>
      </c>
      <c r="T21" s="69">
        <f t="shared" si="17"/>
        <v>0</v>
      </c>
      <c r="U21" s="69">
        <f t="shared" si="17"/>
        <v>0</v>
      </c>
      <c r="V21" s="69">
        <f t="shared" si="17"/>
        <v>0</v>
      </c>
      <c r="W21" s="69">
        <f t="shared" si="17"/>
        <v>0</v>
      </c>
      <c r="X21" s="66"/>
      <c r="Y21" s="71">
        <f>SUM(Y13:Y20)</f>
        <v>0</v>
      </c>
    </row>
    <row r="22" spans="1:25" ht="13.5" thickBot="1">
      <c r="A22" s="3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9"/>
      <c r="Q22" s="3"/>
      <c r="R22" s="3"/>
      <c r="S22" s="3"/>
      <c r="T22" s="3"/>
      <c r="U22" s="3"/>
      <c r="V22" s="3"/>
      <c r="W22" s="3"/>
      <c r="X22" s="3"/>
      <c r="Y22" s="3"/>
    </row>
    <row r="23" spans="1:25" s="45" customFormat="1" ht="13.5" thickBot="1">
      <c r="A23" s="73" t="s">
        <v>255</v>
      </c>
      <c r="B23" s="74" t="s">
        <v>256</v>
      </c>
      <c r="C23" s="75" t="s">
        <v>257</v>
      </c>
      <c r="D23" s="74" t="s">
        <v>54</v>
      </c>
      <c r="E23" s="74" t="s">
        <v>258</v>
      </c>
      <c r="F23" s="74" t="s">
        <v>259</v>
      </c>
      <c r="G23" s="76" t="s">
        <v>260</v>
      </c>
      <c r="H23" s="74" t="s">
        <v>261</v>
      </c>
      <c r="I23" s="74" t="s">
        <v>262</v>
      </c>
      <c r="J23" s="74" t="s">
        <v>263</v>
      </c>
      <c r="K23" s="73" t="s">
        <v>54</v>
      </c>
      <c r="L23" s="74" t="s">
        <v>37</v>
      </c>
      <c r="M23" s="77"/>
      <c r="N23" s="74" t="s">
        <v>264</v>
      </c>
      <c r="O23" s="74" t="s">
        <v>265</v>
      </c>
      <c r="P23" s="74" t="s">
        <v>257</v>
      </c>
      <c r="Q23" s="74" t="s">
        <v>266</v>
      </c>
      <c r="R23" s="74" t="s">
        <v>267</v>
      </c>
      <c r="S23" s="74" t="s">
        <v>259</v>
      </c>
      <c r="T23" s="73" t="s">
        <v>268</v>
      </c>
      <c r="U23" s="74" t="s">
        <v>261</v>
      </c>
      <c r="V23" s="74" t="s">
        <v>253</v>
      </c>
      <c r="W23" s="73" t="s">
        <v>54</v>
      </c>
      <c r="X23" s="74" t="s">
        <v>269</v>
      </c>
      <c r="Y23" s="78"/>
    </row>
    <row r="24" spans="1:25" ht="12.75">
      <c r="A24" s="39"/>
      <c r="B24" s="52"/>
      <c r="C24" s="79"/>
      <c r="D24" s="52"/>
      <c r="E24" s="52"/>
      <c r="F24" s="52"/>
      <c r="G24" s="3"/>
      <c r="H24" s="52"/>
      <c r="I24" s="52"/>
      <c r="J24" s="52"/>
      <c r="K24" s="51"/>
      <c r="L24" s="52"/>
      <c r="M24" s="3"/>
      <c r="N24" s="50"/>
      <c r="O24" s="52"/>
      <c r="P24" s="52"/>
      <c r="Q24" s="52"/>
      <c r="R24" s="52"/>
      <c r="S24" s="52"/>
      <c r="T24" s="51"/>
      <c r="U24" s="52"/>
      <c r="V24" s="52"/>
      <c r="W24" s="51"/>
      <c r="X24" s="52"/>
      <c r="Y24" s="3"/>
    </row>
    <row r="25" spans="1:25" ht="12.75">
      <c r="A25" s="80">
        <v>1</v>
      </c>
      <c r="B25" s="52"/>
      <c r="C25" s="79"/>
      <c r="D25" s="52"/>
      <c r="E25" s="81">
        <v>1</v>
      </c>
      <c r="F25" s="52">
        <v>100</v>
      </c>
      <c r="G25" s="3"/>
      <c r="H25" s="52">
        <f t="shared" ref="H25:H61" si="18">G25*C25</f>
        <v>0</v>
      </c>
      <c r="I25" s="52">
        <f t="shared" ref="I25:I61" si="19">(D25+F25)*C25*U$3</f>
        <v>0</v>
      </c>
      <c r="J25" s="52">
        <f t="shared" ref="J25:J61" si="20">IF(E25=1,0.5*C25*L$8,0)</f>
        <v>0</v>
      </c>
      <c r="K25" s="51">
        <f t="shared" ref="K25:K61" si="21">IF(C25=0,0,(H25+I25+J25)/C25)</f>
        <v>0</v>
      </c>
      <c r="L25" s="52">
        <f t="shared" ref="L25:L61" si="22">H25+I25+J25</f>
        <v>0</v>
      </c>
      <c r="M25" s="37" t="s">
        <v>270</v>
      </c>
      <c r="N25" s="82" t="s">
        <v>271</v>
      </c>
      <c r="O25" s="83" t="s">
        <v>272</v>
      </c>
      <c r="P25" s="468"/>
      <c r="Q25" s="84">
        <v>424</v>
      </c>
      <c r="R25" s="84">
        <v>55</v>
      </c>
      <c r="S25" s="468">
        <v>100</v>
      </c>
      <c r="T25" s="51"/>
      <c r="U25" s="52">
        <f t="shared" ref="U25:U30" si="23">P25*T25</f>
        <v>0</v>
      </c>
      <c r="V25" s="52">
        <f t="shared" ref="V25:V30" si="24">P25*(Q25+R25+S25)*U$3</f>
        <v>0</v>
      </c>
      <c r="W25" s="51">
        <f t="shared" ref="W25:W30" si="25">IF(P25=0,0,(U25+V25)/P25)</f>
        <v>0</v>
      </c>
      <c r="X25" s="52">
        <f t="shared" ref="X25:X30" si="26">U25+V25</f>
        <v>0</v>
      </c>
      <c r="Y25" s="3"/>
    </row>
    <row r="26" spans="1:25" ht="13.5" thickBot="1">
      <c r="A26" s="80">
        <f t="shared" ref="A26:A61" si="27">1+A25</f>
        <v>2</v>
      </c>
      <c r="B26" s="52"/>
      <c r="C26" s="79"/>
      <c r="D26" s="52"/>
      <c r="E26" s="81"/>
      <c r="F26" s="52"/>
      <c r="G26" s="3"/>
      <c r="H26" s="52">
        <f t="shared" si="18"/>
        <v>0</v>
      </c>
      <c r="I26" s="52">
        <f t="shared" si="19"/>
        <v>0</v>
      </c>
      <c r="J26" s="52">
        <f t="shared" si="20"/>
        <v>0</v>
      </c>
      <c r="K26" s="51">
        <f t="shared" si="21"/>
        <v>0</v>
      </c>
      <c r="L26" s="52">
        <f t="shared" si="22"/>
        <v>0</v>
      </c>
      <c r="M26" s="37" t="s">
        <v>273</v>
      </c>
      <c r="N26" s="82" t="s">
        <v>274</v>
      </c>
      <c r="O26" s="83" t="s">
        <v>275</v>
      </c>
      <c r="P26" s="468"/>
      <c r="Q26" s="84">
        <v>742</v>
      </c>
      <c r="R26" s="87">
        <v>285</v>
      </c>
      <c r="S26" s="474">
        <v>150</v>
      </c>
      <c r="T26" s="51"/>
      <c r="U26" s="52">
        <f t="shared" si="23"/>
        <v>0</v>
      </c>
      <c r="V26" s="52">
        <f t="shared" si="24"/>
        <v>0</v>
      </c>
      <c r="W26" s="51">
        <f t="shared" si="25"/>
        <v>0</v>
      </c>
      <c r="X26" s="52">
        <f t="shared" si="26"/>
        <v>0</v>
      </c>
      <c r="Y26" s="3"/>
    </row>
    <row r="27" spans="1:25" ht="13.5" thickBot="1">
      <c r="A27" s="80">
        <f t="shared" si="27"/>
        <v>3</v>
      </c>
      <c r="B27" s="52"/>
      <c r="C27" s="79"/>
      <c r="D27" s="52"/>
      <c r="E27" s="81"/>
      <c r="F27" s="52"/>
      <c r="G27" s="3"/>
      <c r="H27" s="52">
        <f t="shared" si="18"/>
        <v>0</v>
      </c>
      <c r="I27" s="52">
        <f t="shared" si="19"/>
        <v>0</v>
      </c>
      <c r="J27" s="52">
        <f t="shared" si="20"/>
        <v>0</v>
      </c>
      <c r="K27" s="51">
        <f t="shared" si="21"/>
        <v>0</v>
      </c>
      <c r="L27" s="52">
        <f t="shared" si="22"/>
        <v>0</v>
      </c>
      <c r="M27" s="37" t="s">
        <v>276</v>
      </c>
      <c r="N27" s="82" t="s">
        <v>277</v>
      </c>
      <c r="O27" s="83" t="s">
        <v>278</v>
      </c>
      <c r="P27" s="468"/>
      <c r="Q27" s="84">
        <v>981</v>
      </c>
      <c r="R27" s="87">
        <v>285</v>
      </c>
      <c r="S27" s="474">
        <v>150</v>
      </c>
      <c r="T27" s="51"/>
      <c r="U27" s="52">
        <f t="shared" si="23"/>
        <v>0</v>
      </c>
      <c r="V27" s="52">
        <f t="shared" si="24"/>
        <v>0</v>
      </c>
      <c r="W27" s="51">
        <f t="shared" si="25"/>
        <v>0</v>
      </c>
      <c r="X27" s="52">
        <f t="shared" si="26"/>
        <v>0</v>
      </c>
      <c r="Y27" s="3"/>
    </row>
    <row r="28" spans="1:25" ht="13.5" thickBot="1">
      <c r="A28" s="80">
        <f t="shared" si="27"/>
        <v>4</v>
      </c>
      <c r="B28" s="52"/>
      <c r="C28" s="79"/>
      <c r="D28" s="52"/>
      <c r="E28" s="81"/>
      <c r="F28" s="52"/>
      <c r="G28" s="3"/>
      <c r="H28" s="52">
        <f t="shared" si="18"/>
        <v>0</v>
      </c>
      <c r="I28" s="52">
        <f t="shared" si="19"/>
        <v>0</v>
      </c>
      <c r="J28" s="52">
        <f t="shared" si="20"/>
        <v>0</v>
      </c>
      <c r="K28" s="51">
        <f t="shared" si="21"/>
        <v>0</v>
      </c>
      <c r="L28" s="52">
        <f t="shared" si="22"/>
        <v>0</v>
      </c>
      <c r="M28" s="37" t="s">
        <v>270</v>
      </c>
      <c r="N28" s="82" t="s">
        <v>279</v>
      </c>
      <c r="O28" s="83" t="s">
        <v>280</v>
      </c>
      <c r="P28" s="468"/>
      <c r="Q28" s="84">
        <v>1692</v>
      </c>
      <c r="R28" s="87">
        <v>285</v>
      </c>
      <c r="S28" s="474">
        <v>150</v>
      </c>
      <c r="T28" s="51"/>
      <c r="U28" s="52">
        <f t="shared" si="23"/>
        <v>0</v>
      </c>
      <c r="V28" s="52">
        <f t="shared" si="24"/>
        <v>0</v>
      </c>
      <c r="W28" s="51">
        <f t="shared" si="25"/>
        <v>0</v>
      </c>
      <c r="X28" s="52">
        <f t="shared" si="26"/>
        <v>0</v>
      </c>
      <c r="Y28" s="3"/>
    </row>
    <row r="29" spans="1:25" ht="13.5" thickBot="1">
      <c r="A29" s="80">
        <f t="shared" si="27"/>
        <v>5</v>
      </c>
      <c r="B29" s="52"/>
      <c r="C29" s="79"/>
      <c r="D29" s="52"/>
      <c r="E29" s="81"/>
      <c r="F29" s="52"/>
      <c r="G29" s="3"/>
      <c r="H29" s="52">
        <f t="shared" si="18"/>
        <v>0</v>
      </c>
      <c r="I29" s="52">
        <f t="shared" si="19"/>
        <v>0</v>
      </c>
      <c r="J29" s="52">
        <f t="shared" si="20"/>
        <v>0</v>
      </c>
      <c r="K29" s="51">
        <f t="shared" si="21"/>
        <v>0</v>
      </c>
      <c r="L29" s="52">
        <f t="shared" si="22"/>
        <v>0</v>
      </c>
      <c r="M29" s="37" t="s">
        <v>281</v>
      </c>
      <c r="N29" s="82" t="s">
        <v>282</v>
      </c>
      <c r="O29" s="83" t="s">
        <v>283</v>
      </c>
      <c r="P29" s="468"/>
      <c r="Q29" s="84">
        <v>2665</v>
      </c>
      <c r="R29" s="87">
        <v>285</v>
      </c>
      <c r="S29" s="474">
        <v>150</v>
      </c>
      <c r="T29" s="51"/>
      <c r="U29" s="52">
        <f t="shared" si="23"/>
        <v>0</v>
      </c>
      <c r="V29" s="52">
        <f t="shared" si="24"/>
        <v>0</v>
      </c>
      <c r="W29" s="51">
        <f t="shared" si="25"/>
        <v>0</v>
      </c>
      <c r="X29" s="52">
        <f t="shared" si="26"/>
        <v>0</v>
      </c>
      <c r="Y29" s="3"/>
    </row>
    <row r="30" spans="1:25" ht="13.5" thickBot="1">
      <c r="A30" s="80">
        <f t="shared" si="27"/>
        <v>6</v>
      </c>
      <c r="B30" s="52"/>
      <c r="C30" s="79"/>
      <c r="D30" s="52"/>
      <c r="E30" s="81"/>
      <c r="F30" s="52"/>
      <c r="G30" s="3"/>
      <c r="H30" s="52">
        <f t="shared" si="18"/>
        <v>0</v>
      </c>
      <c r="I30" s="52">
        <f t="shared" si="19"/>
        <v>0</v>
      </c>
      <c r="J30" s="52">
        <f t="shared" si="20"/>
        <v>0</v>
      </c>
      <c r="K30" s="51">
        <f t="shared" si="21"/>
        <v>0</v>
      </c>
      <c r="L30" s="52">
        <f t="shared" si="22"/>
        <v>0</v>
      </c>
      <c r="M30" s="37" t="s">
        <v>284</v>
      </c>
      <c r="N30" s="85" t="s">
        <v>285</v>
      </c>
      <c r="O30" s="86" t="s">
        <v>286</v>
      </c>
      <c r="P30" s="474"/>
      <c r="Q30" s="87">
        <v>3696</v>
      </c>
      <c r="R30" s="87">
        <v>285</v>
      </c>
      <c r="S30" s="474">
        <v>150</v>
      </c>
      <c r="T30" s="63"/>
      <c r="U30" s="52">
        <f t="shared" si="23"/>
        <v>0</v>
      </c>
      <c r="V30" s="52">
        <f t="shared" si="24"/>
        <v>0</v>
      </c>
      <c r="W30" s="63">
        <f t="shared" si="25"/>
        <v>0</v>
      </c>
      <c r="X30" s="52">
        <f t="shared" si="26"/>
        <v>0</v>
      </c>
      <c r="Y30" s="3"/>
    </row>
    <row r="31" spans="1:25" ht="13.5" thickBot="1">
      <c r="A31" s="80">
        <f t="shared" si="27"/>
        <v>7</v>
      </c>
      <c r="B31" s="52"/>
      <c r="C31" s="79"/>
      <c r="D31" s="52"/>
      <c r="E31" s="81"/>
      <c r="F31" s="52"/>
      <c r="G31" s="3"/>
      <c r="H31" s="52">
        <f t="shared" si="18"/>
        <v>0</v>
      </c>
      <c r="I31" s="52">
        <f t="shared" si="19"/>
        <v>0</v>
      </c>
      <c r="J31" s="52">
        <f t="shared" si="20"/>
        <v>0</v>
      </c>
      <c r="K31" s="51">
        <f t="shared" si="21"/>
        <v>0</v>
      </c>
      <c r="L31" s="52">
        <f t="shared" si="22"/>
        <v>0</v>
      </c>
      <c r="M31" s="88"/>
      <c r="N31" s="89" t="s">
        <v>287</v>
      </c>
      <c r="O31" s="37" t="s">
        <v>1</v>
      </c>
      <c r="P31" s="67">
        <f>SUM(P24:P30)</f>
        <v>0</v>
      </c>
      <c r="Q31" s="25"/>
      <c r="R31" s="25"/>
      <c r="S31" s="25"/>
      <c r="T31" s="25"/>
      <c r="U31" s="69">
        <f>SUM(U23:U30)</f>
        <v>0</v>
      </c>
      <c r="V31" s="69">
        <f>SUM(V23:V30)</f>
        <v>0</v>
      </c>
      <c r="W31" s="25"/>
      <c r="X31" s="69">
        <f>SUM(X25:X30)</f>
        <v>0</v>
      </c>
      <c r="Y31" s="3"/>
    </row>
    <row r="32" spans="1:25" ht="13.5" thickBot="1">
      <c r="A32" s="80">
        <f t="shared" si="27"/>
        <v>8</v>
      </c>
      <c r="B32" s="52"/>
      <c r="C32" s="79"/>
      <c r="D32" s="52"/>
      <c r="E32" s="81"/>
      <c r="F32" s="52"/>
      <c r="G32" s="3"/>
      <c r="H32" s="52">
        <f t="shared" si="18"/>
        <v>0</v>
      </c>
      <c r="I32" s="52">
        <f t="shared" si="19"/>
        <v>0</v>
      </c>
      <c r="J32" s="52">
        <f t="shared" si="20"/>
        <v>0</v>
      </c>
      <c r="K32" s="51">
        <f t="shared" si="21"/>
        <v>0</v>
      </c>
      <c r="L32" s="52">
        <f t="shared" si="22"/>
        <v>0</v>
      </c>
      <c r="M32" s="88"/>
      <c r="N32" s="89"/>
      <c r="O32" s="37"/>
      <c r="P32" s="462"/>
      <c r="Q32" s="25"/>
      <c r="R32" s="25"/>
      <c r="S32" s="25"/>
      <c r="T32" s="25"/>
      <c r="U32" s="25"/>
      <c r="V32" s="25"/>
      <c r="W32" s="25"/>
      <c r="X32" s="25"/>
      <c r="Y32" s="3"/>
    </row>
    <row r="33" spans="1:25" ht="13.5" thickBot="1">
      <c r="A33" s="80">
        <f t="shared" si="27"/>
        <v>9</v>
      </c>
      <c r="B33" s="52"/>
      <c r="C33" s="79"/>
      <c r="D33" s="52"/>
      <c r="E33" s="81"/>
      <c r="F33" s="52"/>
      <c r="G33" s="3"/>
      <c r="H33" s="52">
        <f t="shared" si="18"/>
        <v>0</v>
      </c>
      <c r="I33" s="52">
        <f t="shared" si="19"/>
        <v>0</v>
      </c>
      <c r="J33" s="52">
        <f t="shared" si="20"/>
        <v>0</v>
      </c>
      <c r="K33" s="51">
        <f t="shared" si="21"/>
        <v>0</v>
      </c>
      <c r="L33" s="52">
        <f t="shared" si="22"/>
        <v>0</v>
      </c>
      <c r="M33" s="88"/>
      <c r="N33" s="73" t="s">
        <v>288</v>
      </c>
      <c r="O33" s="76" t="s">
        <v>257</v>
      </c>
      <c r="P33" s="76" t="s">
        <v>289</v>
      </c>
      <c r="Q33" s="76" t="s">
        <v>266</v>
      </c>
      <c r="R33" s="76" t="s">
        <v>267</v>
      </c>
      <c r="S33" s="76" t="s">
        <v>290</v>
      </c>
      <c r="T33" s="76" t="s">
        <v>291</v>
      </c>
      <c r="U33" s="76" t="s">
        <v>292</v>
      </c>
      <c r="V33" s="76" t="s">
        <v>261</v>
      </c>
      <c r="W33" s="76" t="s">
        <v>253</v>
      </c>
      <c r="X33" s="76" t="s">
        <v>293</v>
      </c>
      <c r="Y33" s="90" t="s">
        <v>269</v>
      </c>
    </row>
    <row r="34" spans="1:25" ht="13.5" thickBot="1">
      <c r="A34" s="80">
        <f t="shared" si="27"/>
        <v>10</v>
      </c>
      <c r="B34" s="52"/>
      <c r="C34" s="79"/>
      <c r="D34" s="52"/>
      <c r="E34" s="81"/>
      <c r="F34" s="52"/>
      <c r="G34" s="3"/>
      <c r="H34" s="52">
        <f t="shared" si="18"/>
        <v>0</v>
      </c>
      <c r="I34" s="52">
        <f t="shared" si="19"/>
        <v>0</v>
      </c>
      <c r="J34" s="52">
        <f t="shared" si="20"/>
        <v>0</v>
      </c>
      <c r="K34" s="51">
        <f t="shared" si="21"/>
        <v>0</v>
      </c>
      <c r="L34" s="52">
        <f t="shared" si="22"/>
        <v>0</v>
      </c>
      <c r="M34" s="88"/>
      <c r="N34" s="73" t="s">
        <v>56</v>
      </c>
      <c r="O34" s="91"/>
      <c r="P34" s="91">
        <v>2750</v>
      </c>
      <c r="Q34" s="91">
        <v>630</v>
      </c>
      <c r="R34" s="91">
        <v>130</v>
      </c>
      <c r="S34" s="66">
        <v>350</v>
      </c>
      <c r="T34" s="66">
        <v>75</v>
      </c>
      <c r="U34" s="66">
        <v>120</v>
      </c>
      <c r="V34" s="66">
        <f>S34*O34</f>
        <v>0</v>
      </c>
      <c r="W34" s="66">
        <f>O34*(P34+Q34+R34+T34+U34)</f>
        <v>0</v>
      </c>
      <c r="X34" s="66">
        <f>W34+V34</f>
        <v>0</v>
      </c>
      <c r="Y34" s="92">
        <f>V34+W34</f>
        <v>0</v>
      </c>
    </row>
    <row r="35" spans="1:25" ht="13.5" thickBot="1">
      <c r="A35" s="80">
        <f t="shared" si="27"/>
        <v>11</v>
      </c>
      <c r="B35" s="52"/>
      <c r="C35" s="79"/>
      <c r="D35" s="52"/>
      <c r="E35" s="81"/>
      <c r="F35" s="52"/>
      <c r="G35" s="3"/>
      <c r="H35" s="52">
        <f t="shared" si="18"/>
        <v>0</v>
      </c>
      <c r="I35" s="52">
        <f t="shared" si="19"/>
        <v>0</v>
      </c>
      <c r="J35" s="52">
        <f t="shared" si="20"/>
        <v>0</v>
      </c>
      <c r="K35" s="51">
        <f t="shared" si="21"/>
        <v>0</v>
      </c>
      <c r="L35" s="52">
        <f t="shared" si="22"/>
        <v>0</v>
      </c>
      <c r="M35" s="88"/>
      <c r="N35" s="39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3.5" thickBot="1">
      <c r="A36" s="80">
        <f t="shared" si="27"/>
        <v>12</v>
      </c>
      <c r="B36" s="52"/>
      <c r="C36" s="79"/>
      <c r="D36" s="52"/>
      <c r="E36" s="81"/>
      <c r="F36" s="52"/>
      <c r="G36" s="3"/>
      <c r="H36" s="52">
        <f t="shared" si="18"/>
        <v>0</v>
      </c>
      <c r="I36" s="52">
        <f t="shared" si="19"/>
        <v>0</v>
      </c>
      <c r="J36" s="52">
        <f t="shared" si="20"/>
        <v>0</v>
      </c>
      <c r="K36" s="51">
        <f t="shared" si="21"/>
        <v>0</v>
      </c>
      <c r="L36" s="52">
        <f t="shared" si="22"/>
        <v>0</v>
      </c>
      <c r="M36" s="37" t="s">
        <v>294</v>
      </c>
      <c r="N36" s="74" t="s">
        <v>295</v>
      </c>
      <c r="O36" s="74" t="s">
        <v>257</v>
      </c>
      <c r="P36" s="93" t="s">
        <v>296</v>
      </c>
      <c r="Q36" s="74" t="s">
        <v>297</v>
      </c>
      <c r="R36" s="74" t="s">
        <v>298</v>
      </c>
      <c r="S36" s="74" t="s">
        <v>299</v>
      </c>
      <c r="T36" s="73" t="s">
        <v>300</v>
      </c>
      <c r="U36" s="74" t="s">
        <v>291</v>
      </c>
      <c r="V36" s="74" t="s">
        <v>34</v>
      </c>
      <c r="W36" s="74" t="s">
        <v>51</v>
      </c>
      <c r="X36" s="73" t="s">
        <v>293</v>
      </c>
      <c r="Y36" s="74" t="s">
        <v>269</v>
      </c>
    </row>
    <row r="37" spans="1:25" ht="12.75">
      <c r="A37" s="80">
        <f t="shared" si="27"/>
        <v>13</v>
      </c>
      <c r="B37" s="52"/>
      <c r="C37" s="79"/>
      <c r="D37" s="52"/>
      <c r="E37" s="81"/>
      <c r="F37" s="52"/>
      <c r="G37" s="3"/>
      <c r="H37" s="52">
        <f t="shared" si="18"/>
        <v>0</v>
      </c>
      <c r="I37" s="52">
        <f t="shared" si="19"/>
        <v>0</v>
      </c>
      <c r="J37" s="52">
        <f t="shared" si="20"/>
        <v>0</v>
      </c>
      <c r="K37" s="51">
        <f t="shared" si="21"/>
        <v>0</v>
      </c>
      <c r="L37" s="52">
        <f t="shared" si="22"/>
        <v>0</v>
      </c>
      <c r="M37" s="37" t="s">
        <v>301</v>
      </c>
      <c r="N37" s="82" t="s">
        <v>275</v>
      </c>
      <c r="O37" s="61"/>
      <c r="P37" s="84">
        <v>91</v>
      </c>
      <c r="Q37" s="84">
        <v>450</v>
      </c>
      <c r="R37" s="56">
        <v>355</v>
      </c>
      <c r="S37" s="84">
        <v>150</v>
      </c>
      <c r="T37" s="94">
        <v>1500</v>
      </c>
      <c r="U37" s="52">
        <f>O37*(250*U3)</f>
        <v>0</v>
      </c>
      <c r="V37" s="52">
        <f>O37*T37</f>
        <v>0</v>
      </c>
      <c r="W37" s="52">
        <f>O37*(P37+Q37+R37+S37)*U3+O37*U37</f>
        <v>0</v>
      </c>
      <c r="X37" s="51">
        <f>IF(O37=0,0,(V37+W37)/O37)</f>
        <v>0</v>
      </c>
      <c r="Y37" s="52">
        <f>V37+W37</f>
        <v>0</v>
      </c>
    </row>
    <row r="38" spans="1:25" ht="12.75">
      <c r="A38" s="80">
        <f t="shared" si="27"/>
        <v>14</v>
      </c>
      <c r="B38" s="52"/>
      <c r="C38" s="79"/>
      <c r="D38" s="52"/>
      <c r="E38" s="81"/>
      <c r="F38" s="52"/>
      <c r="G38" s="3"/>
      <c r="H38" s="52">
        <f t="shared" si="18"/>
        <v>0</v>
      </c>
      <c r="I38" s="52">
        <f t="shared" si="19"/>
        <v>0</v>
      </c>
      <c r="J38" s="52">
        <f t="shared" si="20"/>
        <v>0</v>
      </c>
      <c r="K38" s="51">
        <f t="shared" si="21"/>
        <v>0</v>
      </c>
      <c r="L38" s="52">
        <f t="shared" si="22"/>
        <v>0</v>
      </c>
      <c r="M38" s="37" t="s">
        <v>284</v>
      </c>
      <c r="N38" s="82" t="s">
        <v>278</v>
      </c>
      <c r="O38" s="61"/>
      <c r="P38" s="84">
        <v>147</v>
      </c>
      <c r="Q38" s="84">
        <v>560</v>
      </c>
      <c r="R38" s="56">
        <v>430</v>
      </c>
      <c r="S38" s="84">
        <v>150</v>
      </c>
      <c r="T38" s="94">
        <v>1500</v>
      </c>
      <c r="U38" s="52">
        <f>O38*(250*U3)</f>
        <v>0</v>
      </c>
      <c r="V38" s="52">
        <f>O38*T38</f>
        <v>0</v>
      </c>
      <c r="W38" s="52">
        <f>O38*(P38+Q38+R38+S38)*U3+O38*U38</f>
        <v>0</v>
      </c>
      <c r="X38" s="51">
        <f>IF(O38=0,0,(V38+W38)/O38)</f>
        <v>0</v>
      </c>
      <c r="Y38" s="52">
        <f>V38+W38</f>
        <v>0</v>
      </c>
    </row>
    <row r="39" spans="1:25" ht="12.75">
      <c r="A39" s="80">
        <f t="shared" si="27"/>
        <v>15</v>
      </c>
      <c r="B39" s="52"/>
      <c r="C39" s="79"/>
      <c r="D39" s="52"/>
      <c r="E39" s="81"/>
      <c r="F39" s="52"/>
      <c r="G39" s="3"/>
      <c r="H39" s="52">
        <f t="shared" si="18"/>
        <v>0</v>
      </c>
      <c r="I39" s="52">
        <f t="shared" si="19"/>
        <v>0</v>
      </c>
      <c r="J39" s="52">
        <f t="shared" si="20"/>
        <v>0</v>
      </c>
      <c r="K39" s="51">
        <f t="shared" si="21"/>
        <v>0</v>
      </c>
      <c r="L39" s="52">
        <f t="shared" si="22"/>
        <v>0</v>
      </c>
      <c r="M39" s="37" t="s">
        <v>281</v>
      </c>
      <c r="N39" s="82" t="s">
        <v>280</v>
      </c>
      <c r="O39" s="61"/>
      <c r="P39" s="84">
        <v>200</v>
      </c>
      <c r="Q39" s="84">
        <v>720</v>
      </c>
      <c r="R39" s="56">
        <v>690</v>
      </c>
      <c r="S39" s="84">
        <v>150</v>
      </c>
      <c r="T39" s="94">
        <v>1500</v>
      </c>
      <c r="U39" s="52">
        <f>O39*(250*U4)</f>
        <v>0</v>
      </c>
      <c r="V39" s="52">
        <f>O39*T39</f>
        <v>0</v>
      </c>
      <c r="W39" s="52">
        <f>O39*(P39+Q39+R39+S39)*U3+O39*U39</f>
        <v>0</v>
      </c>
      <c r="X39" s="51">
        <f>IF(O39=0,0,(V39+W39)/O39)</f>
        <v>0</v>
      </c>
      <c r="Y39" s="52">
        <f>V39+W39</f>
        <v>0</v>
      </c>
    </row>
    <row r="40" spans="1:25" ht="12.75">
      <c r="A40" s="80">
        <f t="shared" si="27"/>
        <v>16</v>
      </c>
      <c r="B40" s="52"/>
      <c r="C40" s="79"/>
      <c r="D40" s="52"/>
      <c r="E40" s="81"/>
      <c r="F40" s="52"/>
      <c r="G40" s="3"/>
      <c r="H40" s="52">
        <f t="shared" si="18"/>
        <v>0</v>
      </c>
      <c r="I40" s="52">
        <f t="shared" si="19"/>
        <v>0</v>
      </c>
      <c r="J40" s="52">
        <f t="shared" si="20"/>
        <v>0</v>
      </c>
      <c r="K40" s="51">
        <f t="shared" si="21"/>
        <v>0</v>
      </c>
      <c r="L40" s="52">
        <f t="shared" si="22"/>
        <v>0</v>
      </c>
      <c r="M40" s="37" t="s">
        <v>294</v>
      </c>
      <c r="N40" s="82" t="s">
        <v>283</v>
      </c>
      <c r="O40" s="61"/>
      <c r="P40" s="84">
        <v>336</v>
      </c>
      <c r="Q40" s="84">
        <v>810</v>
      </c>
      <c r="R40" s="56">
        <v>828</v>
      </c>
      <c r="S40" s="84">
        <v>150</v>
      </c>
      <c r="T40" s="94">
        <v>1500</v>
      </c>
      <c r="U40" s="52">
        <f>O40*(250*U3)</f>
        <v>0</v>
      </c>
      <c r="V40" s="52">
        <f>O40*T40</f>
        <v>0</v>
      </c>
      <c r="W40" s="52">
        <f>O40*(P40+Q40+R40+S40)*U3+O40*U40</f>
        <v>0</v>
      </c>
      <c r="X40" s="51">
        <f>IF(O40=0,0,(V40+W40)/O40)</f>
        <v>0</v>
      </c>
      <c r="Y40" s="52">
        <f>V40+W40</f>
        <v>0</v>
      </c>
    </row>
    <row r="41" spans="1:25" ht="13.5" thickBot="1">
      <c r="A41" s="80">
        <f t="shared" si="27"/>
        <v>17</v>
      </c>
      <c r="B41" s="52"/>
      <c r="C41" s="79"/>
      <c r="D41" s="52"/>
      <c r="E41" s="81"/>
      <c r="F41" s="52"/>
      <c r="G41" s="3"/>
      <c r="H41" s="52">
        <f t="shared" si="18"/>
        <v>0</v>
      </c>
      <c r="I41" s="52">
        <f t="shared" si="19"/>
        <v>0</v>
      </c>
      <c r="J41" s="52">
        <f t="shared" si="20"/>
        <v>0</v>
      </c>
      <c r="K41" s="51">
        <f t="shared" si="21"/>
        <v>0</v>
      </c>
      <c r="L41" s="52">
        <f t="shared" si="22"/>
        <v>0</v>
      </c>
      <c r="M41" s="37" t="s">
        <v>284</v>
      </c>
      <c r="N41" s="3" t="s">
        <v>286</v>
      </c>
      <c r="O41" s="61"/>
      <c r="P41" s="84">
        <v>452</v>
      </c>
      <c r="Q41" s="84">
        <v>1020</v>
      </c>
      <c r="R41" s="56">
        <v>955</v>
      </c>
      <c r="S41" s="84">
        <v>150</v>
      </c>
      <c r="T41" s="94">
        <v>1500</v>
      </c>
      <c r="U41" s="52">
        <f>O41*(250*U3)</f>
        <v>0</v>
      </c>
      <c r="V41" s="52">
        <f>O41*T41</f>
        <v>0</v>
      </c>
      <c r="W41" s="52">
        <f>O41*(P41+Q41+R41+S41)*U3+O41*U41</f>
        <v>0</v>
      </c>
      <c r="X41" s="51">
        <f>IF(O41=0,0,(V41+W41)/O41)</f>
        <v>0</v>
      </c>
      <c r="Y41" s="52">
        <f>V41+W41</f>
        <v>0</v>
      </c>
    </row>
    <row r="42" spans="1:25" ht="13.5" thickBot="1">
      <c r="A42" s="80">
        <f t="shared" si="27"/>
        <v>18</v>
      </c>
      <c r="B42" s="52"/>
      <c r="C42" s="79"/>
      <c r="D42" s="52"/>
      <c r="E42" s="81"/>
      <c r="F42" s="52"/>
      <c r="G42" s="3"/>
      <c r="H42" s="52">
        <f t="shared" si="18"/>
        <v>0</v>
      </c>
      <c r="I42" s="52">
        <f t="shared" si="19"/>
        <v>0</v>
      </c>
      <c r="J42" s="52">
        <f t="shared" si="20"/>
        <v>0</v>
      </c>
      <c r="K42" s="51">
        <f t="shared" si="21"/>
        <v>0</v>
      </c>
      <c r="L42" s="52">
        <f t="shared" si="22"/>
        <v>0</v>
      </c>
      <c r="M42" s="88"/>
      <c r="N42" s="96" t="s">
        <v>303</v>
      </c>
      <c r="O42" s="67">
        <f>SUM(O35:O41)</f>
        <v>0</v>
      </c>
      <c r="P42" s="66"/>
      <c r="Q42" s="66"/>
      <c r="R42" s="66"/>
      <c r="S42" s="66"/>
      <c r="T42" s="66"/>
      <c r="U42" s="69">
        <f>SUM(U35:U41)</f>
        <v>0</v>
      </c>
      <c r="V42" s="69">
        <f>SUM(V35:V41)</f>
        <v>0</v>
      </c>
      <c r="W42" s="69">
        <f>SUM(W35:W41)</f>
        <v>0</v>
      </c>
      <c r="X42" s="66"/>
      <c r="Y42" s="69">
        <f>SUM(Y35:Y41)</f>
        <v>0</v>
      </c>
    </row>
    <row r="43" spans="1:25" ht="12.75">
      <c r="A43" s="80">
        <f t="shared" si="27"/>
        <v>19</v>
      </c>
      <c r="B43" s="52"/>
      <c r="C43" s="79"/>
      <c r="D43" s="52"/>
      <c r="E43" s="81"/>
      <c r="F43" s="52"/>
      <c r="G43" s="3"/>
      <c r="H43" s="52">
        <f t="shared" si="18"/>
        <v>0</v>
      </c>
      <c r="I43" s="52">
        <f t="shared" si="19"/>
        <v>0</v>
      </c>
      <c r="J43" s="52">
        <f t="shared" si="20"/>
        <v>0</v>
      </c>
      <c r="K43" s="51">
        <f t="shared" si="21"/>
        <v>0</v>
      </c>
      <c r="L43" s="52">
        <f t="shared" si="22"/>
        <v>0</v>
      </c>
      <c r="M43" s="88"/>
      <c r="N43" s="89"/>
      <c r="O43" s="37"/>
      <c r="P43" s="462"/>
      <c r="Q43" s="25"/>
      <c r="R43" s="25"/>
      <c r="S43" s="25"/>
      <c r="T43" s="25"/>
      <c r="U43" s="25"/>
      <c r="V43" s="25"/>
      <c r="W43" s="25"/>
      <c r="X43" s="25"/>
      <c r="Y43" s="3"/>
    </row>
    <row r="44" spans="1:25" ht="12.75">
      <c r="A44" s="80">
        <f t="shared" si="27"/>
        <v>20</v>
      </c>
      <c r="B44" s="52"/>
      <c r="C44" s="79"/>
      <c r="D44" s="52"/>
      <c r="E44" s="81"/>
      <c r="F44" s="52"/>
      <c r="G44" s="3"/>
      <c r="H44" s="52">
        <f t="shared" si="18"/>
        <v>0</v>
      </c>
      <c r="I44" s="52">
        <f t="shared" si="19"/>
        <v>0</v>
      </c>
      <c r="J44" s="52">
        <f t="shared" si="20"/>
        <v>0</v>
      </c>
      <c r="K44" s="51">
        <f t="shared" si="21"/>
        <v>0</v>
      </c>
      <c r="L44" s="52">
        <f t="shared" si="22"/>
        <v>0</v>
      </c>
      <c r="M44" s="88"/>
      <c r="N44" s="89"/>
      <c r="O44" s="37"/>
      <c r="P44" s="462"/>
      <c r="Q44" s="25"/>
      <c r="R44" s="25"/>
      <c r="S44" s="25"/>
      <c r="T44" s="25"/>
      <c r="U44" s="25"/>
      <c r="V44" s="25"/>
      <c r="W44" s="25"/>
      <c r="X44" s="25"/>
      <c r="Y44" s="3"/>
    </row>
    <row r="45" spans="1:25" ht="12.75">
      <c r="A45" s="80">
        <f t="shared" si="27"/>
        <v>21</v>
      </c>
      <c r="B45" s="52"/>
      <c r="C45" s="79"/>
      <c r="D45" s="52"/>
      <c r="E45" s="81"/>
      <c r="F45" s="52"/>
      <c r="G45" s="3"/>
      <c r="H45" s="52">
        <f t="shared" si="18"/>
        <v>0</v>
      </c>
      <c r="I45" s="52">
        <f t="shared" si="19"/>
        <v>0</v>
      </c>
      <c r="J45" s="52">
        <f t="shared" si="20"/>
        <v>0</v>
      </c>
      <c r="K45" s="51">
        <f t="shared" si="21"/>
        <v>0</v>
      </c>
      <c r="L45" s="52">
        <f t="shared" si="22"/>
        <v>0</v>
      </c>
      <c r="M45" s="88"/>
      <c r="N45" s="89"/>
      <c r="O45" s="37"/>
      <c r="P45" s="462"/>
      <c r="Q45" s="25"/>
      <c r="R45" s="25"/>
      <c r="S45" s="25"/>
      <c r="T45" s="25"/>
      <c r="U45" s="25"/>
      <c r="V45" s="25"/>
      <c r="W45" s="25"/>
      <c r="X45" s="25"/>
      <c r="Y45" s="3"/>
    </row>
    <row r="46" spans="1:25" ht="12.75">
      <c r="A46" s="80">
        <f t="shared" si="27"/>
        <v>22</v>
      </c>
      <c r="B46" s="52"/>
      <c r="C46" s="79"/>
      <c r="D46" s="52"/>
      <c r="E46" s="81"/>
      <c r="F46" s="52"/>
      <c r="G46" s="3"/>
      <c r="H46" s="52">
        <f t="shared" si="18"/>
        <v>0</v>
      </c>
      <c r="I46" s="52">
        <f t="shared" si="19"/>
        <v>0</v>
      </c>
      <c r="J46" s="52">
        <f t="shared" si="20"/>
        <v>0</v>
      </c>
      <c r="K46" s="51">
        <f t="shared" si="21"/>
        <v>0</v>
      </c>
      <c r="L46" s="52">
        <f t="shared" si="22"/>
        <v>0</v>
      </c>
      <c r="M46" s="88"/>
      <c r="N46" s="89"/>
      <c r="O46" s="37"/>
      <c r="P46" s="462"/>
      <c r="Q46" s="25"/>
      <c r="R46" s="25"/>
      <c r="S46" s="25"/>
      <c r="T46" s="25"/>
      <c r="U46" s="25"/>
      <c r="V46" s="25"/>
      <c r="W46" s="25"/>
      <c r="X46" s="25"/>
      <c r="Y46" s="3"/>
    </row>
    <row r="47" spans="1:25" ht="12.75">
      <c r="A47" s="80">
        <f t="shared" si="27"/>
        <v>23</v>
      </c>
      <c r="B47" s="52"/>
      <c r="C47" s="79"/>
      <c r="D47" s="52"/>
      <c r="E47" s="81"/>
      <c r="F47" s="52"/>
      <c r="G47" s="3"/>
      <c r="H47" s="52">
        <f t="shared" si="18"/>
        <v>0</v>
      </c>
      <c r="I47" s="52">
        <f t="shared" si="19"/>
        <v>0</v>
      </c>
      <c r="J47" s="52">
        <f t="shared" si="20"/>
        <v>0</v>
      </c>
      <c r="K47" s="51">
        <f t="shared" si="21"/>
        <v>0</v>
      </c>
      <c r="L47" s="52">
        <f t="shared" si="22"/>
        <v>0</v>
      </c>
      <c r="M47" s="88"/>
      <c r="N47" s="89"/>
      <c r="O47" s="37"/>
      <c r="P47" s="462"/>
      <c r="Q47" s="25"/>
      <c r="R47" s="25"/>
      <c r="S47" s="25"/>
      <c r="T47" s="25"/>
      <c r="U47" s="25"/>
      <c r="V47" s="25"/>
      <c r="W47" s="25"/>
      <c r="X47" s="25"/>
      <c r="Y47" s="3"/>
    </row>
    <row r="48" spans="1:25" ht="12.75">
      <c r="A48" s="80">
        <f t="shared" si="27"/>
        <v>24</v>
      </c>
      <c r="B48" s="52"/>
      <c r="C48" s="79"/>
      <c r="D48" s="52"/>
      <c r="E48" s="81"/>
      <c r="F48" s="52"/>
      <c r="G48" s="3"/>
      <c r="H48" s="52">
        <f t="shared" si="18"/>
        <v>0</v>
      </c>
      <c r="I48" s="52">
        <f t="shared" si="19"/>
        <v>0</v>
      </c>
      <c r="J48" s="52">
        <f t="shared" si="20"/>
        <v>0</v>
      </c>
      <c r="K48" s="51">
        <f t="shared" si="21"/>
        <v>0</v>
      </c>
      <c r="L48" s="52">
        <f t="shared" si="22"/>
        <v>0</v>
      </c>
      <c r="M48" s="88"/>
      <c r="N48" s="89"/>
      <c r="O48" s="37"/>
      <c r="P48" s="462"/>
      <c r="Q48" s="25"/>
      <c r="R48" s="25"/>
      <c r="S48" s="25"/>
      <c r="T48" s="25"/>
      <c r="U48" s="25"/>
      <c r="V48" s="25"/>
      <c r="W48" s="25"/>
      <c r="X48" s="25"/>
      <c r="Y48" s="3"/>
    </row>
    <row r="49" spans="1:25" ht="12.75">
      <c r="A49" s="80">
        <f t="shared" si="27"/>
        <v>25</v>
      </c>
      <c r="B49" s="52"/>
      <c r="C49" s="79"/>
      <c r="D49" s="52"/>
      <c r="E49" s="81"/>
      <c r="F49" s="52"/>
      <c r="G49" s="3"/>
      <c r="H49" s="52">
        <f t="shared" si="18"/>
        <v>0</v>
      </c>
      <c r="I49" s="52">
        <f t="shared" si="19"/>
        <v>0</v>
      </c>
      <c r="J49" s="52">
        <f t="shared" si="20"/>
        <v>0</v>
      </c>
      <c r="K49" s="51">
        <f t="shared" si="21"/>
        <v>0</v>
      </c>
      <c r="L49" s="52">
        <f t="shared" si="22"/>
        <v>0</v>
      </c>
      <c r="M49" s="88"/>
      <c r="N49" s="89"/>
      <c r="O49" s="37"/>
      <c r="P49" s="462"/>
      <c r="Q49" s="25"/>
      <c r="R49" s="25"/>
      <c r="S49" s="25"/>
      <c r="T49" s="25"/>
      <c r="U49" s="25"/>
      <c r="V49" s="25"/>
      <c r="W49" s="25"/>
      <c r="X49" s="25"/>
      <c r="Y49" s="3"/>
    </row>
    <row r="50" spans="1:25" ht="12.75">
      <c r="A50" s="80">
        <f t="shared" si="27"/>
        <v>26</v>
      </c>
      <c r="B50" s="52"/>
      <c r="C50" s="79"/>
      <c r="D50" s="52"/>
      <c r="E50" s="81"/>
      <c r="F50" s="52"/>
      <c r="G50" s="3"/>
      <c r="H50" s="52">
        <f t="shared" si="18"/>
        <v>0</v>
      </c>
      <c r="I50" s="52">
        <f t="shared" si="19"/>
        <v>0</v>
      </c>
      <c r="J50" s="52">
        <f t="shared" si="20"/>
        <v>0</v>
      </c>
      <c r="K50" s="51">
        <f t="shared" si="21"/>
        <v>0</v>
      </c>
      <c r="L50" s="52">
        <f t="shared" si="22"/>
        <v>0</v>
      </c>
      <c r="M50" s="88"/>
      <c r="N50" s="89"/>
      <c r="O50" s="37"/>
      <c r="P50" s="462"/>
      <c r="Q50" s="25"/>
      <c r="R50" s="25"/>
      <c r="S50" s="25"/>
      <c r="T50" s="25"/>
      <c r="U50" s="25"/>
      <c r="V50" s="25"/>
      <c r="W50" s="25"/>
      <c r="X50" s="25"/>
      <c r="Y50" s="3"/>
    </row>
    <row r="51" spans="1:25" ht="12.75">
      <c r="A51" s="80">
        <f t="shared" si="27"/>
        <v>27</v>
      </c>
      <c r="B51" s="52"/>
      <c r="C51" s="79"/>
      <c r="D51" s="52"/>
      <c r="E51" s="81"/>
      <c r="F51" s="52"/>
      <c r="G51" s="3"/>
      <c r="H51" s="52">
        <f t="shared" si="18"/>
        <v>0</v>
      </c>
      <c r="I51" s="52">
        <f t="shared" si="19"/>
        <v>0</v>
      </c>
      <c r="J51" s="52">
        <f t="shared" si="20"/>
        <v>0</v>
      </c>
      <c r="K51" s="51">
        <f t="shared" si="21"/>
        <v>0</v>
      </c>
      <c r="L51" s="52">
        <f t="shared" si="22"/>
        <v>0</v>
      </c>
      <c r="M51" s="88"/>
      <c r="N51" s="89"/>
      <c r="O51" s="37"/>
      <c r="P51" s="462"/>
      <c r="Q51" s="25"/>
      <c r="R51" s="25"/>
      <c r="S51" s="25"/>
      <c r="T51" s="25"/>
      <c r="U51" s="25"/>
      <c r="V51" s="25"/>
      <c r="W51" s="25"/>
      <c r="X51" s="25"/>
      <c r="Y51" s="3"/>
    </row>
    <row r="52" spans="1:25" ht="12.75">
      <c r="A52" s="80">
        <f t="shared" si="27"/>
        <v>28</v>
      </c>
      <c r="B52" s="52"/>
      <c r="C52" s="79"/>
      <c r="D52" s="52"/>
      <c r="E52" s="81"/>
      <c r="F52" s="52"/>
      <c r="G52" s="3"/>
      <c r="H52" s="52">
        <f t="shared" si="18"/>
        <v>0</v>
      </c>
      <c r="I52" s="52">
        <f t="shared" si="19"/>
        <v>0</v>
      </c>
      <c r="J52" s="52">
        <f t="shared" si="20"/>
        <v>0</v>
      </c>
      <c r="K52" s="51">
        <f t="shared" si="21"/>
        <v>0</v>
      </c>
      <c r="L52" s="52">
        <f t="shared" si="22"/>
        <v>0</v>
      </c>
      <c r="M52" s="88"/>
      <c r="N52" s="89"/>
      <c r="O52" s="37"/>
      <c r="P52" s="462"/>
      <c r="Q52" s="25"/>
      <c r="R52" s="25"/>
      <c r="S52" s="25"/>
      <c r="T52" s="25"/>
      <c r="U52" s="25"/>
      <c r="V52" s="25"/>
      <c r="W52" s="25"/>
      <c r="X52" s="25"/>
      <c r="Y52" s="3"/>
    </row>
    <row r="53" spans="1:25" ht="12.75">
      <c r="A53" s="80">
        <f t="shared" si="27"/>
        <v>29</v>
      </c>
      <c r="B53" s="52"/>
      <c r="C53" s="79"/>
      <c r="D53" s="52"/>
      <c r="E53" s="81"/>
      <c r="F53" s="52"/>
      <c r="G53" s="3"/>
      <c r="H53" s="52">
        <f t="shared" si="18"/>
        <v>0</v>
      </c>
      <c r="I53" s="52">
        <f t="shared" si="19"/>
        <v>0</v>
      </c>
      <c r="J53" s="52">
        <f t="shared" si="20"/>
        <v>0</v>
      </c>
      <c r="K53" s="51">
        <f t="shared" si="21"/>
        <v>0</v>
      </c>
      <c r="L53" s="52">
        <f t="shared" si="22"/>
        <v>0</v>
      </c>
      <c r="M53" s="88"/>
      <c r="N53" s="89"/>
      <c r="O53" s="37"/>
      <c r="P53" s="462"/>
      <c r="Q53" s="25"/>
      <c r="R53" s="25"/>
      <c r="S53" s="25"/>
      <c r="T53" s="25"/>
      <c r="U53" s="25"/>
      <c r="V53" s="25"/>
      <c r="W53" s="25"/>
      <c r="X53" s="25"/>
      <c r="Y53" s="3"/>
    </row>
    <row r="54" spans="1:25" ht="12.75">
      <c r="A54" s="80">
        <f t="shared" si="27"/>
        <v>30</v>
      </c>
      <c r="B54" s="52"/>
      <c r="C54" s="79"/>
      <c r="D54" s="52"/>
      <c r="E54" s="81"/>
      <c r="F54" s="52"/>
      <c r="G54" s="3"/>
      <c r="H54" s="52">
        <f t="shared" si="18"/>
        <v>0</v>
      </c>
      <c r="I54" s="52">
        <f t="shared" si="19"/>
        <v>0</v>
      </c>
      <c r="J54" s="52">
        <f t="shared" si="20"/>
        <v>0</v>
      </c>
      <c r="K54" s="51">
        <f t="shared" si="21"/>
        <v>0</v>
      </c>
      <c r="L54" s="52">
        <f t="shared" si="22"/>
        <v>0</v>
      </c>
      <c r="M54" s="88"/>
      <c r="N54" s="39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>
      <c r="A55" s="80">
        <f t="shared" si="27"/>
        <v>31</v>
      </c>
      <c r="B55" s="468" t="s">
        <v>388</v>
      </c>
      <c r="C55" s="79"/>
      <c r="D55" s="52">
        <v>267</v>
      </c>
      <c r="E55" s="81"/>
      <c r="F55" s="52">
        <v>100</v>
      </c>
      <c r="G55" s="3"/>
      <c r="H55" s="52">
        <f t="shared" si="18"/>
        <v>0</v>
      </c>
      <c r="I55" s="52">
        <f t="shared" si="19"/>
        <v>0</v>
      </c>
      <c r="J55" s="52">
        <f t="shared" si="20"/>
        <v>0</v>
      </c>
      <c r="K55" s="51">
        <f t="shared" si="21"/>
        <v>0</v>
      </c>
      <c r="L55" s="52">
        <f t="shared" si="22"/>
        <v>0</v>
      </c>
    </row>
    <row r="56" spans="1:25" ht="12.75">
      <c r="A56" s="80">
        <f t="shared" si="27"/>
        <v>32</v>
      </c>
      <c r="B56" s="468" t="s">
        <v>387</v>
      </c>
      <c r="C56" s="79"/>
      <c r="D56" s="52">
        <v>188</v>
      </c>
      <c r="E56" s="81"/>
      <c r="F56" s="52">
        <v>100</v>
      </c>
      <c r="G56" s="3"/>
      <c r="H56" s="52">
        <f t="shared" si="18"/>
        <v>0</v>
      </c>
      <c r="I56" s="52">
        <f t="shared" si="19"/>
        <v>0</v>
      </c>
      <c r="J56" s="52">
        <f t="shared" si="20"/>
        <v>0</v>
      </c>
      <c r="K56" s="51">
        <f t="shared" si="21"/>
        <v>0</v>
      </c>
      <c r="L56" s="52">
        <f t="shared" si="22"/>
        <v>0</v>
      </c>
    </row>
    <row r="57" spans="1:25" ht="12.75">
      <c r="A57" s="80">
        <f t="shared" si="27"/>
        <v>33</v>
      </c>
      <c r="B57" s="468" t="s">
        <v>376</v>
      </c>
      <c r="C57" s="475"/>
      <c r="D57" s="468">
        <v>112</v>
      </c>
      <c r="E57" s="476"/>
      <c r="F57" s="52">
        <v>100</v>
      </c>
      <c r="G57" s="477"/>
      <c r="H57" s="52">
        <f t="shared" si="18"/>
        <v>0</v>
      </c>
      <c r="I57" s="52">
        <f t="shared" si="19"/>
        <v>0</v>
      </c>
      <c r="J57" s="52">
        <f t="shared" si="20"/>
        <v>0</v>
      </c>
      <c r="K57" s="51">
        <f t="shared" si="21"/>
        <v>0</v>
      </c>
      <c r="L57" s="52">
        <f t="shared" si="22"/>
        <v>0</v>
      </c>
    </row>
    <row r="58" spans="1:25" ht="12.75">
      <c r="A58" s="80">
        <f t="shared" si="27"/>
        <v>34</v>
      </c>
      <c r="B58" s="468" t="s">
        <v>377</v>
      </c>
      <c r="C58" s="475"/>
      <c r="D58" s="468">
        <v>85</v>
      </c>
      <c r="E58" s="476"/>
      <c r="F58" s="52">
        <v>100</v>
      </c>
      <c r="G58" s="477"/>
      <c r="H58" s="52">
        <f t="shared" si="18"/>
        <v>0</v>
      </c>
      <c r="I58" s="52">
        <f t="shared" si="19"/>
        <v>0</v>
      </c>
      <c r="J58" s="52">
        <f t="shared" si="20"/>
        <v>0</v>
      </c>
      <c r="K58" s="51">
        <f t="shared" si="21"/>
        <v>0</v>
      </c>
      <c r="L58" s="52">
        <f t="shared" si="22"/>
        <v>0</v>
      </c>
    </row>
    <row r="59" spans="1:25" ht="12.75">
      <c r="A59" s="80">
        <f t="shared" si="27"/>
        <v>35</v>
      </c>
      <c r="B59" s="468" t="s">
        <v>378</v>
      </c>
      <c r="C59" s="475"/>
      <c r="D59" s="468">
        <v>69</v>
      </c>
      <c r="E59" s="476"/>
      <c r="F59" s="52">
        <v>100</v>
      </c>
      <c r="G59" s="477"/>
      <c r="H59" s="52">
        <f t="shared" si="18"/>
        <v>0</v>
      </c>
      <c r="I59" s="52">
        <f t="shared" si="19"/>
        <v>0</v>
      </c>
      <c r="J59" s="52">
        <f t="shared" si="20"/>
        <v>0</v>
      </c>
      <c r="K59" s="51">
        <f t="shared" si="21"/>
        <v>0</v>
      </c>
      <c r="L59" s="52">
        <f t="shared" si="22"/>
        <v>0</v>
      </c>
    </row>
    <row r="60" spans="1:25" ht="12.75">
      <c r="A60" s="80">
        <f t="shared" si="27"/>
        <v>36</v>
      </c>
      <c r="B60" s="468"/>
      <c r="C60" s="478"/>
      <c r="D60" s="468"/>
      <c r="E60" s="476"/>
      <c r="F60" s="468"/>
      <c r="G60" s="477"/>
      <c r="H60" s="52">
        <f t="shared" si="18"/>
        <v>0</v>
      </c>
      <c r="I60" s="52">
        <f t="shared" si="19"/>
        <v>0</v>
      </c>
      <c r="J60" s="52">
        <f t="shared" si="20"/>
        <v>0</v>
      </c>
      <c r="K60" s="51">
        <f t="shared" si="21"/>
        <v>0</v>
      </c>
      <c r="L60" s="52">
        <f t="shared" si="22"/>
        <v>0</v>
      </c>
    </row>
    <row r="61" spans="1:25" ht="12.75">
      <c r="A61" s="80">
        <f t="shared" si="27"/>
        <v>37</v>
      </c>
      <c r="B61" s="468" t="s">
        <v>379</v>
      </c>
      <c r="C61" s="478">
        <v>0</v>
      </c>
      <c r="D61" s="468"/>
      <c r="E61" s="476"/>
      <c r="F61" s="468"/>
      <c r="G61" s="479">
        <v>6500</v>
      </c>
      <c r="H61" s="52">
        <f t="shared" si="18"/>
        <v>0</v>
      </c>
      <c r="I61" s="52">
        <f t="shared" si="19"/>
        <v>0</v>
      </c>
      <c r="J61" s="52">
        <f t="shared" si="20"/>
        <v>0</v>
      </c>
      <c r="K61" s="51">
        <f t="shared" si="21"/>
        <v>0</v>
      </c>
      <c r="L61" s="52">
        <f t="shared" si="22"/>
        <v>0</v>
      </c>
    </row>
    <row r="62" spans="1:25" ht="13.5" thickBot="1">
      <c r="A62" s="39"/>
      <c r="B62" s="64"/>
      <c r="C62" s="79"/>
      <c r="D62" s="64"/>
      <c r="E62" s="64"/>
      <c r="F62" s="64"/>
      <c r="G62" s="3"/>
      <c r="H62" s="52"/>
      <c r="I62" s="52"/>
      <c r="J62" s="52"/>
      <c r="K62" s="63"/>
      <c r="L62" s="52"/>
    </row>
    <row r="63" spans="1:25" s="72" customFormat="1" ht="13.5" thickBot="1">
      <c r="A63" s="65" t="s">
        <v>302</v>
      </c>
      <c r="B63" s="95"/>
      <c r="C63" s="67">
        <f>SUM(C25:C61)</f>
        <v>0</v>
      </c>
      <c r="D63" s="66"/>
      <c r="E63" s="66"/>
      <c r="F63" s="66"/>
      <c r="G63" s="66"/>
      <c r="H63" s="69">
        <f>SUM(H24:H62)</f>
        <v>0</v>
      </c>
      <c r="I63" s="69">
        <f>SUM(I25:I62)</f>
        <v>0</v>
      </c>
      <c r="J63" s="69">
        <f>SUM(J24:J62)</f>
        <v>0</v>
      </c>
      <c r="K63" s="66"/>
      <c r="L63" s="69">
        <f>SUM(L24:L62)</f>
        <v>0</v>
      </c>
    </row>
    <row r="64" spans="1:25" ht="13.5" thickBot="1">
      <c r="A64" s="39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3.5" thickBot="1">
      <c r="A65" s="97"/>
      <c r="B65" s="96" t="s">
        <v>304</v>
      </c>
      <c r="C65" s="93" t="s">
        <v>257</v>
      </c>
      <c r="D65" s="98" t="s">
        <v>305</v>
      </c>
      <c r="E65" s="98" t="s">
        <v>306</v>
      </c>
      <c r="F65" s="73" t="s">
        <v>300</v>
      </c>
      <c r="G65" s="99" t="s">
        <v>51</v>
      </c>
      <c r="H65" s="74" t="s">
        <v>34</v>
      </c>
      <c r="I65" s="74" t="s">
        <v>54</v>
      </c>
      <c r="J65" s="74" t="s">
        <v>307</v>
      </c>
      <c r="K65" s="9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>
      <c r="A66" s="55">
        <v>1</v>
      </c>
      <c r="B66" s="100" t="s">
        <v>308</v>
      </c>
      <c r="C66" s="101">
        <f>C21</f>
        <v>0</v>
      </c>
      <c r="D66" s="35">
        <f t="shared" ref="D66:D73" si="28">U$3</f>
        <v>1</v>
      </c>
      <c r="E66" s="35">
        <f>IF(O$4=1,1.25,1.25/3.28)</f>
        <v>1.25</v>
      </c>
      <c r="F66" s="51"/>
      <c r="G66" s="52">
        <f>C66*D66*IF(O$4=1,E66,E66/3.28)</f>
        <v>0</v>
      </c>
      <c r="H66" s="52">
        <f t="shared" ref="H66:H73" si="29">C66*F66</f>
        <v>0</v>
      </c>
      <c r="I66" s="52">
        <f t="shared" ref="I66:I73" si="30">IF(C66=0,0,(G66+H66)/C66)</f>
        <v>0</v>
      </c>
      <c r="J66" s="52">
        <f t="shared" ref="J66:J73" si="31">G66+H66</f>
        <v>0</v>
      </c>
      <c r="K66" s="9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>
      <c r="A67" s="55">
        <v>2</v>
      </c>
      <c r="B67" s="52"/>
      <c r="C67" s="61">
        <v>0</v>
      </c>
      <c r="D67" s="35">
        <f t="shared" si="28"/>
        <v>1</v>
      </c>
      <c r="E67" s="35">
        <v>0</v>
      </c>
      <c r="F67" s="51"/>
      <c r="G67" s="52">
        <f t="shared" ref="G67:G73" si="32">C67*D67*E67</f>
        <v>0</v>
      </c>
      <c r="H67" s="52">
        <f t="shared" si="29"/>
        <v>0</v>
      </c>
      <c r="I67" s="52">
        <f t="shared" si="30"/>
        <v>0</v>
      </c>
      <c r="J67" s="52">
        <f t="shared" si="31"/>
        <v>0</v>
      </c>
      <c r="K67" s="9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>
      <c r="A68" s="55">
        <v>3</v>
      </c>
      <c r="B68" s="52"/>
      <c r="C68" s="52"/>
      <c r="D68" s="35">
        <f t="shared" si="28"/>
        <v>1</v>
      </c>
      <c r="E68" s="35">
        <v>0</v>
      </c>
      <c r="F68" s="51"/>
      <c r="G68" s="52">
        <f t="shared" si="32"/>
        <v>0</v>
      </c>
      <c r="H68" s="52">
        <f t="shared" si="29"/>
        <v>0</v>
      </c>
      <c r="I68" s="52">
        <f t="shared" si="30"/>
        <v>0</v>
      </c>
      <c r="J68" s="52">
        <f t="shared" si="31"/>
        <v>0</v>
      </c>
      <c r="K68" s="9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>
      <c r="A69" s="55">
        <v>4</v>
      </c>
      <c r="B69" s="52"/>
      <c r="C69" s="52"/>
      <c r="D69" s="35">
        <f t="shared" si="28"/>
        <v>1</v>
      </c>
      <c r="E69" s="35">
        <v>0</v>
      </c>
      <c r="F69" s="51"/>
      <c r="G69" s="52">
        <f t="shared" si="32"/>
        <v>0</v>
      </c>
      <c r="H69" s="52">
        <f t="shared" si="29"/>
        <v>0</v>
      </c>
      <c r="I69" s="52">
        <f t="shared" si="30"/>
        <v>0</v>
      </c>
      <c r="J69" s="52">
        <f t="shared" si="31"/>
        <v>0</v>
      </c>
      <c r="K69" s="9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>
      <c r="A70" s="55">
        <v>5</v>
      </c>
      <c r="B70" s="52"/>
      <c r="C70" s="52"/>
      <c r="D70" s="35">
        <f t="shared" si="28"/>
        <v>1</v>
      </c>
      <c r="E70" s="35">
        <v>0</v>
      </c>
      <c r="F70" s="51"/>
      <c r="G70" s="52">
        <f t="shared" si="32"/>
        <v>0</v>
      </c>
      <c r="H70" s="52">
        <f t="shared" si="29"/>
        <v>0</v>
      </c>
      <c r="I70" s="52">
        <f t="shared" si="30"/>
        <v>0</v>
      </c>
      <c r="J70" s="52">
        <f t="shared" si="31"/>
        <v>0</v>
      </c>
      <c r="K70" s="9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>
      <c r="A71" s="55">
        <v>6</v>
      </c>
      <c r="B71" s="52"/>
      <c r="C71" s="52"/>
      <c r="D71" s="35">
        <f t="shared" si="28"/>
        <v>1</v>
      </c>
      <c r="E71" s="35">
        <v>0</v>
      </c>
      <c r="F71" s="51"/>
      <c r="G71" s="52">
        <f t="shared" si="32"/>
        <v>0</v>
      </c>
      <c r="H71" s="52">
        <f t="shared" si="29"/>
        <v>0</v>
      </c>
      <c r="I71" s="52">
        <f t="shared" si="30"/>
        <v>0</v>
      </c>
      <c r="J71" s="52">
        <f t="shared" si="31"/>
        <v>0</v>
      </c>
      <c r="K71" s="9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>
      <c r="A72" s="55">
        <v>7</v>
      </c>
      <c r="B72" s="52"/>
      <c r="C72" s="52"/>
      <c r="D72" s="35">
        <f t="shared" si="28"/>
        <v>1</v>
      </c>
      <c r="E72" s="35">
        <v>0</v>
      </c>
      <c r="F72" s="51"/>
      <c r="G72" s="52">
        <f t="shared" si="32"/>
        <v>0</v>
      </c>
      <c r="H72" s="52">
        <f t="shared" si="29"/>
        <v>0</v>
      </c>
      <c r="I72" s="52">
        <f t="shared" si="30"/>
        <v>0</v>
      </c>
      <c r="J72" s="52">
        <f t="shared" si="31"/>
        <v>0</v>
      </c>
      <c r="K72" s="9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>
      <c r="A73" s="55">
        <v>8</v>
      </c>
      <c r="B73" s="52"/>
      <c r="C73" s="52"/>
      <c r="D73" s="35">
        <f t="shared" si="28"/>
        <v>1</v>
      </c>
      <c r="E73" s="35">
        <v>0</v>
      </c>
      <c r="F73" s="51"/>
      <c r="G73" s="56">
        <f t="shared" si="32"/>
        <v>0</v>
      </c>
      <c r="H73" s="56">
        <f t="shared" si="29"/>
        <v>0</v>
      </c>
      <c r="I73" s="56">
        <f t="shared" si="30"/>
        <v>0</v>
      </c>
      <c r="J73" s="56">
        <f t="shared" si="31"/>
        <v>0</v>
      </c>
      <c r="K73" s="28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3.5" thickBot="1">
      <c r="A74" s="62"/>
      <c r="B74" s="64"/>
      <c r="C74" s="64"/>
      <c r="D74" s="3"/>
      <c r="E74" s="3"/>
      <c r="F74" s="63"/>
      <c r="G74" s="52"/>
      <c r="H74" s="64"/>
      <c r="I74" s="64"/>
      <c r="J74" s="52"/>
      <c r="K74" s="9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3.5" thickBot="1">
      <c r="A75" s="65" t="s">
        <v>309</v>
      </c>
      <c r="B75" s="102"/>
      <c r="C75" s="102"/>
      <c r="D75" s="102"/>
      <c r="E75" s="102"/>
      <c r="F75" s="102"/>
      <c r="G75" s="69">
        <f>SUM(G66:G74)</f>
        <v>0</v>
      </c>
      <c r="H75" s="69">
        <f>SUM(H66:H74)</f>
        <v>0</v>
      </c>
      <c r="I75" s="69">
        <f>SUM(I66:I74)</f>
        <v>0</v>
      </c>
      <c r="J75" s="69">
        <f>SUM(J66:J74)</f>
        <v>0</v>
      </c>
      <c r="K75" s="9"/>
      <c r="L75" s="3"/>
      <c r="M75" s="3"/>
      <c r="N75" s="3"/>
      <c r="O75" s="3"/>
      <c r="P75" s="3"/>
      <c r="Q75" s="3"/>
      <c r="R75" s="3"/>
      <c r="S75" s="3"/>
      <c r="T75" s="3"/>
      <c r="U75" s="74" t="s">
        <v>310</v>
      </c>
      <c r="V75" s="74" t="s">
        <v>311</v>
      </c>
      <c r="W75" s="74" t="s">
        <v>159</v>
      </c>
      <c r="X75" s="102"/>
      <c r="Y75" s="99" t="s">
        <v>312</v>
      </c>
    </row>
    <row r="76" spans="1:25" ht="13.5" thickBot="1">
      <c r="A76" s="3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50"/>
      <c r="V76" s="103"/>
      <c r="W76" s="52"/>
      <c r="X76" s="3"/>
      <c r="Y76" s="20"/>
    </row>
    <row r="77" spans="1:25" ht="12.75">
      <c r="A77" s="3"/>
      <c r="B77" s="104" t="s">
        <v>313</v>
      </c>
      <c r="C77" s="105">
        <f>R21</f>
        <v>0</v>
      </c>
      <c r="D77" s="106"/>
      <c r="E77" s="9"/>
      <c r="F77" s="107" t="s">
        <v>314</v>
      </c>
      <c r="G77" s="108">
        <f>T34+J63+U42</f>
        <v>75</v>
      </c>
      <c r="H77" s="9"/>
      <c r="I77" s="18" t="s">
        <v>315</v>
      </c>
      <c r="J77" s="109">
        <f>P21</f>
        <v>0</v>
      </c>
      <c r="K77" s="106"/>
      <c r="L77" s="53"/>
      <c r="M77" s="110"/>
      <c r="N77" s="106"/>
      <c r="O77" s="3"/>
      <c r="P77" s="3"/>
      <c r="Q77" s="3"/>
      <c r="R77" s="3"/>
      <c r="S77" s="3"/>
      <c r="T77" s="9"/>
      <c r="U77" s="15" t="s">
        <v>316</v>
      </c>
      <c r="V77" s="130">
        <f>U21+V31+W34+I63+J63+W42+G75</f>
        <v>0</v>
      </c>
      <c r="W77" s="130">
        <f>(O$5-1)*V77</f>
        <v>0</v>
      </c>
      <c r="X77" s="3"/>
      <c r="Y77" s="131">
        <f>V77+W77</f>
        <v>0</v>
      </c>
    </row>
    <row r="78" spans="1:25" ht="12.75">
      <c r="A78" s="3"/>
      <c r="B78" s="111" t="s">
        <v>317</v>
      </c>
      <c r="C78" s="112">
        <f>V31+O34*(Q34+R34)</f>
        <v>0</v>
      </c>
      <c r="D78" s="106"/>
      <c r="E78" s="9"/>
      <c r="F78" s="113" t="s">
        <v>318</v>
      </c>
      <c r="G78" s="114">
        <f>S21</f>
        <v>0</v>
      </c>
      <c r="H78" s="9"/>
      <c r="I78" s="15" t="s">
        <v>319</v>
      </c>
      <c r="J78" s="20">
        <f>(V21+U31+V34+H63+V42+H75)/F6</f>
        <v>0</v>
      </c>
      <c r="K78" s="106"/>
      <c r="L78" s="15" t="s">
        <v>320</v>
      </c>
      <c r="M78" s="115">
        <f>IF(J77=0,0,(V21+U31+V34+H63+V42+H75)/J77)</f>
        <v>0</v>
      </c>
      <c r="N78" s="106"/>
      <c r="O78" s="3"/>
      <c r="P78" s="3"/>
      <c r="Q78" s="3"/>
      <c r="R78" s="3"/>
      <c r="S78" s="3"/>
      <c r="T78" s="9"/>
      <c r="U78" s="15" t="s">
        <v>321</v>
      </c>
      <c r="V78" s="130">
        <f>V21+U31+V34+H63+V42+H75</f>
        <v>0</v>
      </c>
      <c r="W78" s="130">
        <f>(O$5-1)*V78</f>
        <v>0</v>
      </c>
      <c r="X78" s="3"/>
      <c r="Y78" s="131">
        <f>V78+W78</f>
        <v>0</v>
      </c>
    </row>
    <row r="79" spans="1:25" ht="12.75">
      <c r="A79" s="3"/>
      <c r="B79" s="111" t="s">
        <v>322</v>
      </c>
      <c r="C79" s="112">
        <f>O34*P34</f>
        <v>0</v>
      </c>
      <c r="D79" s="106"/>
      <c r="E79" s="9"/>
      <c r="F79" s="113" t="s">
        <v>323</v>
      </c>
      <c r="G79" s="114">
        <f>T21</f>
        <v>0</v>
      </c>
      <c r="H79" s="9"/>
      <c r="I79" s="15" t="s">
        <v>324</v>
      </c>
      <c r="J79" s="116">
        <f>IF(O4=1,C21,C21/3.28)</f>
        <v>0</v>
      </c>
      <c r="K79" s="106"/>
      <c r="L79" s="15" t="s">
        <v>325</v>
      </c>
      <c r="M79" s="115">
        <f>IF(J79=0,0,(V21+U31+V34+H63+V42+H75)/J79)</f>
        <v>0</v>
      </c>
      <c r="N79" s="106"/>
      <c r="O79" s="3"/>
      <c r="P79" s="3"/>
      <c r="Q79" s="3"/>
      <c r="R79" s="3"/>
      <c r="S79" s="3"/>
      <c r="T79" s="9"/>
      <c r="U79" s="15" t="s">
        <v>65</v>
      </c>
      <c r="V79" s="130">
        <f>W21</f>
        <v>0</v>
      </c>
      <c r="W79" s="130">
        <f>(O$5-1)*V79</f>
        <v>0</v>
      </c>
      <c r="X79" s="3"/>
      <c r="Y79" s="131">
        <f>V79+W79</f>
        <v>0</v>
      </c>
    </row>
    <row r="80" spans="1:25" ht="13.5" thickBot="1">
      <c r="A80" s="3"/>
      <c r="B80" s="111" t="s">
        <v>326</v>
      </c>
      <c r="C80" s="112">
        <f>I63+O37*(P37+Q37+S37)+O38*(P38+Q38+S38)+O39*(P39+Q39+S39)+O40*(P40+Q40+S40)</f>
        <v>0</v>
      </c>
      <c r="D80" s="106"/>
      <c r="E80" s="9"/>
      <c r="F80" s="113" t="s">
        <v>327</v>
      </c>
      <c r="G80" s="118">
        <f>IF(G77=0,0,G77/L8)</f>
        <v>0.3</v>
      </c>
      <c r="H80" s="9"/>
      <c r="I80" s="117" t="s">
        <v>328</v>
      </c>
      <c r="J80" s="116">
        <f>J79*3.28</f>
        <v>0</v>
      </c>
      <c r="K80" s="106"/>
      <c r="L80" s="117" t="s">
        <v>329</v>
      </c>
      <c r="M80" s="115">
        <f>M79/3.28</f>
        <v>0</v>
      </c>
      <c r="N80" s="106"/>
      <c r="O80" s="3"/>
      <c r="P80" s="3"/>
      <c r="Q80" s="3"/>
      <c r="R80" s="3"/>
      <c r="S80" s="3"/>
      <c r="T80" s="9"/>
      <c r="U80" s="52"/>
      <c r="V80" s="119"/>
      <c r="W80" s="120"/>
      <c r="X80" s="3"/>
      <c r="Y80" s="121"/>
    </row>
    <row r="81" spans="1:25" ht="13.5" thickBot="1">
      <c r="A81" s="3"/>
      <c r="B81" s="111" t="s">
        <v>330</v>
      </c>
      <c r="C81" s="112">
        <f>SUM(C77:C80)</f>
        <v>0</v>
      </c>
      <c r="D81" s="106"/>
      <c r="E81" s="9"/>
      <c r="F81" s="113" t="s">
        <v>331</v>
      </c>
      <c r="G81" s="118">
        <f>IF(G78=0,0,G78/I3)</f>
        <v>0</v>
      </c>
      <c r="H81" s="9"/>
      <c r="I81" s="117" t="s">
        <v>332</v>
      </c>
      <c r="J81" s="116">
        <f>Q21</f>
        <v>0</v>
      </c>
      <c r="K81" s="106"/>
      <c r="L81" s="117" t="s">
        <v>333</v>
      </c>
      <c r="M81" s="115">
        <f>IF(J81=0,0,(V21+U31+V34+H63+V42+H75)/J81)</f>
        <v>0</v>
      </c>
      <c r="N81" s="106"/>
      <c r="O81" s="3"/>
      <c r="P81" s="42" t="s">
        <v>334</v>
      </c>
      <c r="Q81" s="40" t="s">
        <v>335</v>
      </c>
      <c r="R81" s="122" t="s">
        <v>336</v>
      </c>
      <c r="S81" s="3"/>
      <c r="T81" s="9"/>
      <c r="U81" s="52"/>
      <c r="V81" s="103"/>
      <c r="W81" s="120"/>
      <c r="X81" s="3"/>
      <c r="Y81" s="20"/>
    </row>
    <row r="82" spans="1:25" ht="13.5" thickBot="1">
      <c r="A82" s="3"/>
      <c r="B82" s="111" t="s">
        <v>337</v>
      </c>
      <c r="C82" s="112">
        <f>G75</f>
        <v>0</v>
      </c>
      <c r="D82" s="106"/>
      <c r="E82" s="9"/>
      <c r="F82" s="123" t="s">
        <v>338</v>
      </c>
      <c r="G82" s="124">
        <f>IF(G79=0,0,G79/I5)</f>
        <v>0</v>
      </c>
      <c r="H82" s="9"/>
      <c r="I82" s="32" t="s">
        <v>339</v>
      </c>
      <c r="J82" s="125">
        <f>J81*3.28</f>
        <v>0</v>
      </c>
      <c r="K82" s="106"/>
      <c r="L82" s="32" t="s">
        <v>340</v>
      </c>
      <c r="M82" s="126">
        <f>M81/3.28</f>
        <v>0</v>
      </c>
      <c r="N82" s="106"/>
      <c r="O82" s="3"/>
      <c r="P82" s="46">
        <f>IF(V78=0,0,V78/(V77+V78+V79)*100)</f>
        <v>0</v>
      </c>
      <c r="Q82" s="46">
        <f>IF(V77=0,0,V77/(V77+V78+V79)*100)</f>
        <v>0</v>
      </c>
      <c r="R82" s="127">
        <f>IF(P82=0,0,100-P82-Q82)</f>
        <v>0</v>
      </c>
      <c r="S82" s="3"/>
      <c r="T82" s="9"/>
      <c r="U82" s="96" t="s">
        <v>341</v>
      </c>
      <c r="V82" s="132">
        <f>SUM(V76:V80)</f>
        <v>0</v>
      </c>
      <c r="W82" s="132">
        <f>SUM(W76:W80)</f>
        <v>0</v>
      </c>
      <c r="X82" s="102"/>
      <c r="Y82" s="133">
        <f>SUM(Y76:Y80)</f>
        <v>0</v>
      </c>
    </row>
    <row r="83" spans="1:25" ht="13.5" thickBot="1">
      <c r="A83" s="3"/>
      <c r="B83" s="128" t="s">
        <v>342</v>
      </c>
      <c r="C83" s="129">
        <f>G21+O34*U34+O37*R37+O38*R38+O39*R39+O40*R40</f>
        <v>0</v>
      </c>
      <c r="D83" s="106"/>
      <c r="E83" s="3"/>
      <c r="F83" s="3"/>
      <c r="G83" s="3"/>
      <c r="H83" s="9"/>
      <c r="I83" s="3"/>
      <c r="J83" s="3"/>
      <c r="K83" s="106"/>
      <c r="L83" s="3"/>
      <c r="M83" s="3"/>
      <c r="N83" s="106"/>
      <c r="O83" s="3"/>
      <c r="S83" s="3"/>
      <c r="T83" s="9"/>
    </row>
    <row r="84" spans="1:25" ht="12.75">
      <c r="A84" s="3"/>
      <c r="B84" s="3"/>
      <c r="C84" s="3"/>
      <c r="D84" s="106"/>
      <c r="E84" s="3"/>
      <c r="F84" s="3"/>
      <c r="G84" s="3"/>
      <c r="H84" s="9"/>
      <c r="I84" s="3"/>
      <c r="J84" s="3"/>
      <c r="K84" s="106"/>
      <c r="L84" s="3"/>
      <c r="M84" s="3"/>
      <c r="N84" s="106"/>
      <c r="O84" s="3"/>
      <c r="S84" s="3"/>
      <c r="T84" s="9"/>
    </row>
    <row r="85" spans="1:25" ht="12.75">
      <c r="A85" s="39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</sheetData>
  <mergeCells count="1">
    <mergeCell ref="A1:Y1"/>
  </mergeCells>
  <printOptions horizontalCentered="1" verticalCentered="1" gridLines="1"/>
  <pageMargins left="0.5" right="0.25" top="0.25" bottom="0.25" header="0.25" footer="0.25"/>
  <pageSetup paperSize="3" scale="67" orientation="landscape" horizontalDpi="4294967295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view="pageBreakPreview" topLeftCell="A4" zoomScale="85" zoomScaleNormal="70" zoomScaleSheetLayoutView="85" workbookViewId="0">
      <selection activeCell="N23" sqref="N23"/>
    </sheetView>
  </sheetViews>
  <sheetFormatPr defaultColWidth="10.28515625" defaultRowHeight="12"/>
  <cols>
    <col min="1" max="1" width="8.5703125" style="480" customWidth="1"/>
    <col min="2" max="2" width="4.28515625" style="480" customWidth="1"/>
    <col min="3" max="3" width="5" style="480" customWidth="1"/>
    <col min="4" max="5" width="10.28515625" style="480" customWidth="1"/>
    <col min="6" max="6" width="12.85546875" style="480" customWidth="1"/>
    <col min="7" max="7" width="3.28515625" style="480" customWidth="1"/>
    <col min="8" max="8" width="19.42578125" style="480" customWidth="1"/>
    <col min="9" max="9" width="3.140625" style="480" customWidth="1"/>
    <col min="10" max="10" width="1.5703125" style="480" customWidth="1"/>
    <col min="11" max="11" width="22.140625" style="480" customWidth="1"/>
    <col min="12" max="12" width="6.7109375" style="480" customWidth="1"/>
    <col min="13" max="13" width="9.42578125" style="480" bestFit="1" customWidth="1"/>
    <col min="14" max="14" width="21.140625" style="480" customWidth="1"/>
    <col min="15" max="15" width="3.85546875" style="480" customWidth="1"/>
    <col min="16" max="16" width="6.7109375" style="480" customWidth="1"/>
    <col min="17" max="17" width="20.140625" style="480" customWidth="1"/>
    <col min="18" max="18" width="1.7109375" style="480" customWidth="1"/>
    <col min="19" max="19" width="3.42578125" style="480" customWidth="1"/>
    <col min="20" max="20" width="24.5703125" style="480" customWidth="1"/>
    <col min="21" max="16384" width="10.28515625" style="480"/>
  </cols>
  <sheetData>
    <row r="1" spans="1:21" ht="30">
      <c r="J1" s="481" t="s">
        <v>386</v>
      </c>
      <c r="K1" s="482"/>
      <c r="L1" s="482"/>
      <c r="M1" s="482"/>
      <c r="N1" s="482"/>
    </row>
    <row r="5" spans="1:21" ht="22.5">
      <c r="C5" s="483" t="s">
        <v>343</v>
      </c>
      <c r="E5" s="484">
        <f>'MANHOLES (1)'!B2</f>
        <v>0</v>
      </c>
      <c r="I5" s="485"/>
      <c r="Q5" s="486" t="s">
        <v>6</v>
      </c>
      <c r="T5" s="487"/>
    </row>
    <row r="7" spans="1:21" ht="23.25">
      <c r="C7" s="488"/>
      <c r="D7" s="489"/>
      <c r="E7" s="489"/>
      <c r="F7" s="489"/>
      <c r="G7" s="488"/>
      <c r="H7" s="489"/>
      <c r="I7" s="489"/>
      <c r="J7" s="488"/>
      <c r="K7" s="489"/>
      <c r="L7" s="490"/>
      <c r="M7" s="488"/>
      <c r="N7" s="489"/>
      <c r="O7" s="490"/>
      <c r="P7" s="489"/>
      <c r="Q7" s="489"/>
      <c r="R7" s="490"/>
      <c r="S7" s="491"/>
      <c r="T7" s="492"/>
      <c r="U7" s="493"/>
    </row>
    <row r="8" spans="1:21" ht="23.25">
      <c r="C8" s="494"/>
      <c r="D8" s="493" t="s">
        <v>310</v>
      </c>
      <c r="G8" s="495"/>
      <c r="H8" s="496" t="s">
        <v>344</v>
      </c>
      <c r="I8" s="497"/>
      <c r="J8" s="498" t="s">
        <v>345</v>
      </c>
      <c r="K8" s="497"/>
      <c r="L8" s="499"/>
      <c r="M8" s="495"/>
      <c r="N8" s="496" t="s">
        <v>65</v>
      </c>
      <c r="O8" s="499"/>
      <c r="P8" s="497"/>
      <c r="Q8" s="496" t="s">
        <v>346</v>
      </c>
      <c r="R8" s="499"/>
      <c r="S8" s="500"/>
      <c r="T8" s="501" t="s">
        <v>56</v>
      </c>
      <c r="U8" s="496"/>
    </row>
    <row r="9" spans="1:21" ht="23.25">
      <c r="C9" s="502"/>
      <c r="D9" s="503"/>
      <c r="E9" s="503"/>
      <c r="F9" s="503"/>
      <c r="G9" s="502"/>
      <c r="H9" s="503"/>
      <c r="I9" s="503"/>
      <c r="J9" s="502"/>
      <c r="K9" s="503"/>
      <c r="L9" s="504"/>
      <c r="M9" s="502"/>
      <c r="N9" s="503"/>
      <c r="O9" s="504"/>
      <c r="P9" s="503"/>
      <c r="Q9" s="503"/>
      <c r="R9" s="504"/>
      <c r="S9" s="505"/>
      <c r="T9" s="506"/>
      <c r="U9" s="493"/>
    </row>
    <row r="10" spans="1:21" ht="30" customHeight="1">
      <c r="A10" s="507">
        <f>'SEWERS (1)'!C57</f>
        <v>0</v>
      </c>
      <c r="B10" s="508" t="s">
        <v>138</v>
      </c>
      <c r="C10" s="509"/>
      <c r="D10" s="510" t="s">
        <v>358</v>
      </c>
      <c r="E10" s="511"/>
      <c r="F10" s="512"/>
      <c r="G10" s="513"/>
      <c r="H10" s="535">
        <f>'SEWERS (1)'!Z62</f>
        <v>0</v>
      </c>
      <c r="I10" s="536"/>
      <c r="J10" s="537"/>
      <c r="K10" s="535">
        <f>'SEWERS (1)'!Z63</f>
        <v>0</v>
      </c>
      <c r="L10" s="536"/>
      <c r="M10" s="537"/>
      <c r="N10" s="535">
        <f>'SEWERS (1)'!Z64</f>
        <v>0</v>
      </c>
      <c r="O10" s="536"/>
      <c r="P10" s="537"/>
      <c r="Q10" s="535">
        <f>'SEWERS (1)'!Z67</f>
        <v>0</v>
      </c>
      <c r="R10" s="538"/>
      <c r="S10" s="539"/>
      <c r="T10" s="540">
        <f>'SEWERS (1)'!AB67</f>
        <v>0</v>
      </c>
    </row>
    <row r="11" spans="1:21" ht="30" customHeight="1">
      <c r="A11" s="507">
        <f>'SEWERS (2)'!C57</f>
        <v>0</v>
      </c>
      <c r="B11" s="508" t="s">
        <v>138</v>
      </c>
      <c r="C11" s="509"/>
      <c r="D11" s="510" t="s">
        <v>359</v>
      </c>
      <c r="E11" s="514"/>
      <c r="F11" s="515"/>
      <c r="G11" s="513"/>
      <c r="H11" s="535">
        <f>'SEWERS (2)'!Z62</f>
        <v>0</v>
      </c>
      <c r="I11" s="536"/>
      <c r="J11" s="537"/>
      <c r="K11" s="535">
        <f>'SEWERS (2)'!Z63</f>
        <v>0</v>
      </c>
      <c r="L11" s="536"/>
      <c r="M11" s="537"/>
      <c r="N11" s="535">
        <f>'SEWERS (2)'!Z64</f>
        <v>0</v>
      </c>
      <c r="O11" s="536"/>
      <c r="P11" s="537"/>
      <c r="Q11" s="535">
        <f>'SEWERS (2)'!Z67</f>
        <v>0</v>
      </c>
      <c r="R11" s="538"/>
      <c r="S11" s="539"/>
      <c r="T11" s="540">
        <f>'SEWERS (2)'!AB67</f>
        <v>0</v>
      </c>
    </row>
    <row r="12" spans="1:21" ht="30" customHeight="1">
      <c r="A12" s="507">
        <f>'SEWERS (3)'!C57</f>
        <v>0</v>
      </c>
      <c r="B12" s="508" t="s">
        <v>138</v>
      </c>
      <c r="C12" s="509"/>
      <c r="D12" s="510" t="s">
        <v>360</v>
      </c>
      <c r="E12" s="514"/>
      <c r="F12" s="515"/>
      <c r="G12" s="513"/>
      <c r="H12" s="535">
        <f>'SEWERS (3)'!Z62</f>
        <v>0</v>
      </c>
      <c r="I12" s="536"/>
      <c r="J12" s="537"/>
      <c r="K12" s="535">
        <f>'SEWERS (3)'!Z63</f>
        <v>0</v>
      </c>
      <c r="L12" s="536"/>
      <c r="M12" s="537"/>
      <c r="N12" s="535">
        <f>'SEWERS (3)'!Z64</f>
        <v>0</v>
      </c>
      <c r="O12" s="536"/>
      <c r="P12" s="537"/>
      <c r="Q12" s="535">
        <f>'SEWERS (3)'!Z67</f>
        <v>0</v>
      </c>
      <c r="R12" s="536"/>
      <c r="S12" s="537"/>
      <c r="T12" s="540">
        <f>'SEWERS (3)'!AB67</f>
        <v>0</v>
      </c>
    </row>
    <row r="13" spans="1:21" ht="30" customHeight="1">
      <c r="A13" s="516">
        <f>'SEWERS (4)'!C57</f>
        <v>0</v>
      </c>
      <c r="B13" s="508" t="s">
        <v>138</v>
      </c>
      <c r="C13" s="509"/>
      <c r="D13" s="510" t="s">
        <v>361</v>
      </c>
      <c r="E13" s="514"/>
      <c r="F13" s="515"/>
      <c r="G13" s="513"/>
      <c r="H13" s="535">
        <f>'SEWERS (4)'!Z62</f>
        <v>0</v>
      </c>
      <c r="I13" s="536"/>
      <c r="J13" s="537"/>
      <c r="K13" s="535">
        <f>'SEWERS (4)'!Z63</f>
        <v>0</v>
      </c>
      <c r="L13" s="536"/>
      <c r="M13" s="537"/>
      <c r="N13" s="535">
        <f>'SEWERS (4)'!Z64</f>
        <v>0</v>
      </c>
      <c r="O13" s="536"/>
      <c r="P13" s="537"/>
      <c r="Q13" s="535">
        <f>'SEWERS (4)'!Z67</f>
        <v>0</v>
      </c>
      <c r="R13" s="536"/>
      <c r="S13" s="537"/>
      <c r="T13" s="540">
        <f>'SEWERS (4)'!AB67</f>
        <v>0</v>
      </c>
    </row>
    <row r="14" spans="1:21" ht="30" customHeight="1">
      <c r="C14" s="509"/>
      <c r="D14" s="517" t="s">
        <v>362</v>
      </c>
      <c r="E14" s="514"/>
      <c r="F14" s="515"/>
      <c r="G14" s="513"/>
      <c r="H14" s="535">
        <f>'MANHOLES (1)'!T54</f>
        <v>0</v>
      </c>
      <c r="I14" s="536"/>
      <c r="J14" s="537"/>
      <c r="K14" s="535">
        <f>'MANHOLES (1)'!T55</f>
        <v>0</v>
      </c>
      <c r="L14" s="536"/>
      <c r="M14" s="537"/>
      <c r="N14" s="535">
        <f>'MANHOLES (1)'!T56</f>
        <v>0</v>
      </c>
      <c r="O14" s="536"/>
      <c r="P14" s="537"/>
      <c r="Q14" s="535">
        <f>'MANHOLES (1)'!T57</f>
        <v>0</v>
      </c>
      <c r="R14" s="536"/>
      <c r="S14" s="537"/>
      <c r="T14" s="540">
        <f>'MANHOLES (1)'!V57</f>
        <v>0</v>
      </c>
    </row>
    <row r="15" spans="1:21" ht="30" customHeight="1">
      <c r="C15" s="509"/>
      <c r="D15" s="517" t="s">
        <v>363</v>
      </c>
      <c r="E15" s="514"/>
      <c r="F15" s="515"/>
      <c r="G15" s="513"/>
      <c r="H15" s="535">
        <f>'MANHOLES (2)'!T54</f>
        <v>0</v>
      </c>
      <c r="I15" s="536"/>
      <c r="J15" s="537"/>
      <c r="K15" s="535">
        <f>'MANHOLES (2)'!T55</f>
        <v>0</v>
      </c>
      <c r="L15" s="536"/>
      <c r="M15" s="537"/>
      <c r="N15" s="535">
        <f>'MANHOLES (2)'!T56</f>
        <v>0</v>
      </c>
      <c r="O15" s="536"/>
      <c r="P15" s="537"/>
      <c r="Q15" s="535">
        <f>'MANHOLES (2)'!T57</f>
        <v>0</v>
      </c>
      <c r="R15" s="536"/>
      <c r="S15" s="537"/>
      <c r="T15" s="540">
        <f>'MANHOLES (2)'!V57</f>
        <v>0</v>
      </c>
    </row>
    <row r="16" spans="1:21" ht="30" customHeight="1">
      <c r="C16" s="509"/>
      <c r="D16" s="517" t="s">
        <v>364</v>
      </c>
      <c r="E16" s="514"/>
      <c r="F16" s="515"/>
      <c r="G16" s="513"/>
      <c r="H16" s="535">
        <f>'MANHOLES (3)'!T54</f>
        <v>0</v>
      </c>
      <c r="I16" s="536"/>
      <c r="J16" s="537"/>
      <c r="K16" s="535">
        <f>'MANHOLES (3)'!T55</f>
        <v>0</v>
      </c>
      <c r="L16" s="536"/>
      <c r="M16" s="537"/>
      <c r="N16" s="535">
        <f>'MANHOLES (3)'!T56</f>
        <v>0</v>
      </c>
      <c r="O16" s="536"/>
      <c r="P16" s="537"/>
      <c r="Q16" s="535">
        <f>'MANHOLES (3)'!T57</f>
        <v>0</v>
      </c>
      <c r="R16" s="536"/>
      <c r="S16" s="537"/>
      <c r="T16" s="540">
        <f>'MANHOLES (3)'!V57</f>
        <v>0</v>
      </c>
    </row>
    <row r="17" spans="1:20" ht="30" customHeight="1">
      <c r="A17" s="507">
        <f>'WATERMAIN (1)'!Q21</f>
        <v>0</v>
      </c>
      <c r="B17" s="508" t="s">
        <v>138</v>
      </c>
      <c r="C17" s="509"/>
      <c r="D17" s="517" t="s">
        <v>357</v>
      </c>
      <c r="E17" s="514"/>
      <c r="F17" s="515"/>
      <c r="G17" s="513"/>
      <c r="H17" s="535">
        <f>'WATERMAIN (1)'!V77</f>
        <v>0</v>
      </c>
      <c r="I17" s="536"/>
      <c r="J17" s="537"/>
      <c r="K17" s="535">
        <f>'WATERMAIN (1)'!V78</f>
        <v>6500</v>
      </c>
      <c r="L17" s="536"/>
      <c r="M17" s="537"/>
      <c r="N17" s="535">
        <f>'WATERMAIN (1)'!V79</f>
        <v>0</v>
      </c>
      <c r="O17" s="536"/>
      <c r="P17" s="537"/>
      <c r="Q17" s="535">
        <f>'WATERMAIN (1)'!V82</f>
        <v>6500</v>
      </c>
      <c r="R17" s="536"/>
      <c r="S17" s="537"/>
      <c r="T17" s="540">
        <f>'WATERMAIN (1)'!Y82</f>
        <v>7150.0000000000009</v>
      </c>
    </row>
    <row r="18" spans="1:20" ht="30" customHeight="1">
      <c r="A18" s="507">
        <f>'WATERMAIN (2)'!Q21</f>
        <v>0</v>
      </c>
      <c r="B18" s="508" t="s">
        <v>138</v>
      </c>
      <c r="C18" s="509"/>
      <c r="D18" s="517" t="s">
        <v>356</v>
      </c>
      <c r="E18" s="514"/>
      <c r="F18" s="515"/>
      <c r="G18" s="513"/>
      <c r="H18" s="535">
        <f>'WATERMAIN (2)'!V77</f>
        <v>0</v>
      </c>
      <c r="I18" s="536"/>
      <c r="J18" s="537"/>
      <c r="K18" s="535">
        <f>'WATERMAIN (2)'!V78</f>
        <v>0</v>
      </c>
      <c r="L18" s="536"/>
      <c r="M18" s="537"/>
      <c r="N18" s="535">
        <f>'WATERMAIN (2)'!V79</f>
        <v>0</v>
      </c>
      <c r="O18" s="536"/>
      <c r="P18" s="537"/>
      <c r="Q18" s="535">
        <f>'WATERMAIN (2)'!V82</f>
        <v>0</v>
      </c>
      <c r="R18" s="536"/>
      <c r="S18" s="537"/>
      <c r="T18" s="540">
        <f>'WATERMAIN (2)'!Y82</f>
        <v>0</v>
      </c>
    </row>
    <row r="19" spans="1:20" ht="30" customHeight="1">
      <c r="C19" s="509"/>
      <c r="D19" s="517" t="s">
        <v>56</v>
      </c>
      <c r="E19" s="514"/>
      <c r="F19" s="515"/>
      <c r="G19" s="513"/>
      <c r="H19" s="535">
        <f>SUM(H10:H18)</f>
        <v>0</v>
      </c>
      <c r="I19" s="536"/>
      <c r="J19" s="537"/>
      <c r="K19" s="535">
        <f>SUM(K10:K18)</f>
        <v>6500</v>
      </c>
      <c r="L19" s="536"/>
      <c r="M19" s="537"/>
      <c r="N19" s="535">
        <f>SUM(N10:N18)</f>
        <v>0</v>
      </c>
      <c r="O19" s="536"/>
      <c r="P19" s="537"/>
      <c r="Q19" s="535">
        <f>SUM(Q10:Q18)</f>
        <v>6500</v>
      </c>
      <c r="R19" s="536"/>
      <c r="S19" s="537"/>
      <c r="T19" s="535">
        <f>SUM(T10:T18)</f>
        <v>7150.0000000000009</v>
      </c>
    </row>
    <row r="20" spans="1:20" ht="30" customHeight="1">
      <c r="C20" s="509"/>
      <c r="D20" s="517" t="s">
        <v>347</v>
      </c>
      <c r="E20" s="514"/>
      <c r="F20" s="515"/>
      <c r="G20" s="513"/>
      <c r="H20" s="518">
        <f>ROUND(H19/Q19*100,1)</f>
        <v>0</v>
      </c>
      <c r="I20" s="519" t="s">
        <v>348</v>
      </c>
      <c r="J20" s="520"/>
      <c r="K20" s="518">
        <f>ROUND(K19/Q19*100,1)</f>
        <v>100</v>
      </c>
      <c r="L20" s="519" t="s">
        <v>347</v>
      </c>
      <c r="M20" s="520"/>
      <c r="N20" s="518">
        <f>ROUND(N19/Q19*100,1)</f>
        <v>0</v>
      </c>
      <c r="O20" s="519" t="s">
        <v>347</v>
      </c>
      <c r="P20" s="513"/>
      <c r="Q20" s="521"/>
      <c r="R20" s="512"/>
      <c r="S20" s="513"/>
      <c r="T20" s="512"/>
    </row>
    <row r="21" spans="1:20" ht="12.75">
      <c r="G21" s="522"/>
      <c r="H21" s="522"/>
      <c r="I21" s="522"/>
      <c r="J21" s="522"/>
      <c r="K21" s="522"/>
      <c r="L21" s="522"/>
      <c r="M21" s="522"/>
      <c r="N21" s="522"/>
      <c r="O21" s="522"/>
      <c r="P21" s="522"/>
      <c r="Q21" s="522"/>
      <c r="R21" s="522"/>
      <c r="S21" s="522"/>
      <c r="T21" s="522"/>
    </row>
    <row r="22" spans="1:20" ht="19.5">
      <c r="G22" s="522"/>
      <c r="H22" s="522"/>
      <c r="I22" s="522"/>
      <c r="J22" s="522"/>
      <c r="K22" s="522"/>
      <c r="L22" s="522"/>
      <c r="M22" s="522"/>
      <c r="N22" s="522"/>
      <c r="O22" s="523"/>
      <c r="Q22" s="524"/>
      <c r="R22" s="522"/>
      <c r="S22" s="522"/>
      <c r="T22" s="522"/>
    </row>
    <row r="23" spans="1:20" ht="23.25">
      <c r="D23" s="493" t="s">
        <v>349</v>
      </c>
      <c r="G23" s="522"/>
      <c r="H23" s="525">
        <f>SUM(A10:A18)</f>
        <v>0</v>
      </c>
      <c r="I23" s="526" t="s">
        <v>350</v>
      </c>
      <c r="J23" s="527"/>
      <c r="K23" s="522"/>
      <c r="L23" s="522"/>
      <c r="M23" s="522"/>
      <c r="O23" s="528" t="s">
        <v>131</v>
      </c>
      <c r="P23" s="529"/>
      <c r="Q23" s="524">
        <f>Q19</f>
        <v>6500</v>
      </c>
      <c r="R23" s="522"/>
      <c r="S23" s="522"/>
      <c r="T23" s="522"/>
    </row>
    <row r="24" spans="1:20" ht="20.25">
      <c r="G24" s="522"/>
      <c r="H24" s="527"/>
      <c r="I24" s="527"/>
      <c r="J24" s="527"/>
      <c r="K24" s="522"/>
      <c r="L24" s="522"/>
      <c r="M24" s="522"/>
      <c r="N24" s="522"/>
      <c r="O24" s="530" t="s">
        <v>351</v>
      </c>
      <c r="P24" s="531">
        <v>10</v>
      </c>
      <c r="Q24" s="532">
        <f>ROUND(Q23*(P24/100),2)</f>
        <v>650</v>
      </c>
      <c r="R24" s="522"/>
      <c r="S24" s="522"/>
      <c r="T24" s="522"/>
    </row>
    <row r="25" spans="1:20" ht="23.25">
      <c r="D25" s="493" t="s">
        <v>352</v>
      </c>
      <c r="G25" s="522"/>
      <c r="H25" s="525">
        <f>ROUND(K19/'SEWERS (1)'!F6,2)</f>
        <v>0.72</v>
      </c>
      <c r="I25" s="526" t="s">
        <v>353</v>
      </c>
      <c r="J25" s="527"/>
      <c r="K25" s="522"/>
      <c r="P25" s="522"/>
      <c r="Q25" s="524">
        <f>Q23+Q24</f>
        <v>7150</v>
      </c>
      <c r="R25" s="522"/>
      <c r="S25" s="522"/>
      <c r="T25" s="522"/>
    </row>
    <row r="26" spans="1:20" ht="18.75">
      <c r="G26" s="522"/>
      <c r="H26" s="527"/>
      <c r="I26" s="527"/>
      <c r="J26" s="527"/>
      <c r="K26" s="522"/>
      <c r="L26" s="533" t="s">
        <v>373</v>
      </c>
      <c r="M26" s="534">
        <v>3</v>
      </c>
      <c r="N26" s="527"/>
      <c r="O26" s="522"/>
      <c r="P26" s="522"/>
      <c r="Q26" s="522"/>
      <c r="R26" s="522"/>
      <c r="S26" s="522"/>
      <c r="T26" s="522"/>
    </row>
    <row r="27" spans="1:20" ht="23.25">
      <c r="D27" s="493" t="s">
        <v>354</v>
      </c>
      <c r="G27" s="522"/>
      <c r="H27" s="525">
        <f>ROUND(H23/H25,2)</f>
        <v>0</v>
      </c>
      <c r="I27" s="526" t="s">
        <v>355</v>
      </c>
      <c r="J27" s="527"/>
      <c r="K27" s="522"/>
      <c r="L27" s="533" t="s">
        <v>374</v>
      </c>
      <c r="M27" s="534">
        <v>25</v>
      </c>
      <c r="N27" s="534">
        <f>N19/M26*M27</f>
        <v>0</v>
      </c>
      <c r="O27" s="522"/>
      <c r="P27" s="522"/>
      <c r="Q27" s="522"/>
      <c r="R27" s="522"/>
      <c r="S27" s="522"/>
      <c r="T27" s="522"/>
    </row>
    <row r="28" spans="1:20" ht="12.75">
      <c r="G28" s="522"/>
      <c r="H28" s="522"/>
      <c r="I28" s="522"/>
      <c r="J28" s="522"/>
      <c r="K28" s="522"/>
      <c r="L28" s="522"/>
      <c r="M28" s="522"/>
      <c r="N28" s="522"/>
      <c r="O28" s="522"/>
      <c r="P28" s="522"/>
      <c r="Q28" s="522"/>
      <c r="R28" s="522"/>
      <c r="S28" s="522"/>
      <c r="T28" s="522"/>
    </row>
    <row r="29" spans="1:20" ht="12.75">
      <c r="G29" s="522"/>
      <c r="H29" s="522"/>
      <c r="I29" s="522"/>
      <c r="J29" s="522"/>
      <c r="K29" s="522"/>
      <c r="L29" s="522"/>
      <c r="M29" s="522"/>
      <c r="N29" s="522"/>
      <c r="O29" s="522"/>
      <c r="P29" s="522"/>
      <c r="Q29" s="522"/>
      <c r="R29" s="522"/>
      <c r="S29" s="522"/>
      <c r="T29" s="522"/>
    </row>
    <row r="30" spans="1:20" ht="12.75">
      <c r="G30" s="522"/>
      <c r="H30" s="522"/>
      <c r="I30" s="522"/>
      <c r="J30" s="522"/>
      <c r="K30" s="522"/>
      <c r="L30" s="522"/>
      <c r="M30" s="522"/>
      <c r="N30" s="522"/>
      <c r="O30" s="522"/>
      <c r="P30" s="522"/>
      <c r="Q30" s="522"/>
      <c r="R30" s="522"/>
      <c r="S30" s="522"/>
      <c r="T30" s="522"/>
    </row>
  </sheetData>
  <phoneticPr fontId="2" type="noConversion"/>
  <printOptions horizontalCentered="1" verticalCentered="1" gridLines="1"/>
  <pageMargins left="0.5" right="0.25" top="0.25" bottom="0.25" header="0.25" footer="0.25"/>
  <pageSetup paperSize="3" orientation="landscape" horizontalDpi="4294967295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27</vt:i4>
      </vt:variant>
    </vt:vector>
  </HeadingPairs>
  <TitlesOfParts>
    <vt:vector size="37" baseType="lpstr">
      <vt:lpstr>MANHOLES (1)</vt:lpstr>
      <vt:lpstr>MANHOLES (2)</vt:lpstr>
      <vt:lpstr>MANHOLES (3)</vt:lpstr>
      <vt:lpstr>SEWERS (1)</vt:lpstr>
      <vt:lpstr>SEWERS (2)</vt:lpstr>
      <vt:lpstr>SEWERS (3)</vt:lpstr>
      <vt:lpstr>SEWERS (4)</vt:lpstr>
      <vt:lpstr>WATERMAIN (1)</vt:lpstr>
      <vt:lpstr>WATERMAIN (2)</vt:lpstr>
      <vt:lpstr>SUMMARY OF ESTIMATE</vt:lpstr>
      <vt:lpstr>'MANHOLES (1)'!Print_Area</vt:lpstr>
      <vt:lpstr>'MANHOLES (2)'!Print_Area</vt:lpstr>
      <vt:lpstr>'MANHOLES (3)'!Print_Area</vt:lpstr>
      <vt:lpstr>'SEWERS (1)'!Print_Area</vt:lpstr>
      <vt:lpstr>'SEWERS (2)'!Print_Area</vt:lpstr>
      <vt:lpstr>'SEWERS (3)'!Print_Area</vt:lpstr>
      <vt:lpstr>'SEWERS (4)'!Print_Area</vt:lpstr>
      <vt:lpstr>'SUMMARY OF ESTIMATE'!Print_Area</vt:lpstr>
      <vt:lpstr>'MANHOLES (1)'!Print_Area_MI</vt:lpstr>
      <vt:lpstr>'MANHOLES (2)'!Print_Area_MI</vt:lpstr>
      <vt:lpstr>'MANHOLES (3)'!Print_Area_MI</vt:lpstr>
      <vt:lpstr>'SEWERS (1)'!Print_Area_MI</vt:lpstr>
      <vt:lpstr>'SEWERS (2)'!Print_Area_MI</vt:lpstr>
      <vt:lpstr>'SEWERS (3)'!Print_Area_MI</vt:lpstr>
      <vt:lpstr>'SEWERS (4)'!Print_Area_MI</vt:lpstr>
      <vt:lpstr>'WATERMAIN (1)'!Print_Area_MI</vt:lpstr>
      <vt:lpstr>'WATERMAIN (2)'!Print_Area_MI</vt:lpstr>
      <vt:lpstr>'MANHOLES (1)'!Print_Titles</vt:lpstr>
      <vt:lpstr>'MANHOLES (2)'!Print_Titles</vt:lpstr>
      <vt:lpstr>'MANHOLES (3)'!Print_Titles</vt:lpstr>
      <vt:lpstr>'WATERMAIN (1)'!Print_Titles</vt:lpstr>
      <vt:lpstr>'WATERMAIN (2)'!Print_Titles</vt:lpstr>
      <vt:lpstr>'MANHOLES (1)'!Print_Titles_MI</vt:lpstr>
      <vt:lpstr>'MANHOLES (2)'!Print_Titles_MI</vt:lpstr>
      <vt:lpstr>'MANHOLES (3)'!Print_Titles_MI</vt:lpstr>
      <vt:lpstr>'WATERMAIN (1)'!Print_Titles_MI</vt:lpstr>
      <vt:lpstr>'WATERMAIN (2)'!Print_Titles_MI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mdipucchio</dc:creator>
  <cp:lastModifiedBy>Hazem Michael</cp:lastModifiedBy>
  <cp:lastPrinted>2023-11-24T16:18:09Z</cp:lastPrinted>
  <dcterms:created xsi:type="dcterms:W3CDTF">2006-01-06T18:14:58Z</dcterms:created>
  <dcterms:modified xsi:type="dcterms:W3CDTF">2026-05-01T12:17:50Z</dcterms:modified>
</cp:coreProperties>
</file>