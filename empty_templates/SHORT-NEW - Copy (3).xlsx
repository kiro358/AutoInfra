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13_ncr:1_{0A97A4F1-6ADE-425F-903A-C6680EA87FE5}" xr6:coauthVersionLast="47" xr6:coauthVersionMax="47" xr10:uidLastSave="{00000000-0000-0000-0000-000000000000}"/>
  <bookViews>
    <workbookView xWindow="0" yWindow="615" windowWidth="22095" windowHeight="14715" tabRatio="705" activeTab="1" xr2:uid="{00000000-000D-0000-FFFF-FFFF00000000}"/>
  </bookViews>
  <sheets>
    <sheet name="MANHOLES (1)" sheetId="41" r:id="rId1"/>
    <sheet name="SEWERS (1)" sheetId="44" r:id="rId2"/>
    <sheet name="WATERMAIN (1)" sheetId="39" r:id="rId3"/>
    <sheet name="SUMMARY OF ESTIMATE" sheetId="12" r:id="rId4"/>
  </sheets>
  <definedNames>
    <definedName name="_xlnm.Print_Area" localSheetId="0">'MANHOLES (1)'!$A$1:$V$62</definedName>
    <definedName name="_xlnm.Print_Area" localSheetId="1">'SEWERS (1)'!$A$1:$AE$70</definedName>
    <definedName name="_xlnm.Print_Area" localSheetId="3">'SUMMARY OF ESTIMATE'!$A$1:$M$26</definedName>
    <definedName name="_xlnm.Print_Area" localSheetId="2">'WATERMAIN (1)'!$A$1:$Y$82</definedName>
    <definedName name="Print_Area_MI" localSheetId="0">'MANHOLES (1)'!$V$53:$IU$1804</definedName>
    <definedName name="Print_Area_MI" localSheetId="1">'SEWERS (1)'!$A$3:$AB$69</definedName>
    <definedName name="Print_Area_MI" localSheetId="2">'WATERMAIN (1)'!$Y$84:$IU$1816</definedName>
    <definedName name="_xlnm.Print_Titles" localSheetId="0">'MANHOLES (1)'!$1804:$65536</definedName>
    <definedName name="_xlnm.Print_Titles" localSheetId="2">'WATERMAIN (1)'!$3:$1816</definedName>
    <definedName name="Print_Titles_MI" localSheetId="0">'MANHOLES (1)'!$1804:$65536</definedName>
    <definedName name="Print_Titles_MI" localSheetId="2">'WATERMAIN (1)'!$3:$1816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39" l="1"/>
  <c r="I7" i="44"/>
  <c r="M9" i="44"/>
  <c r="M8" i="44"/>
  <c r="M7" i="44"/>
  <c r="M6" i="44"/>
  <c r="M5" i="44"/>
  <c r="M4" i="44"/>
  <c r="M3" i="44"/>
  <c r="X2" i="39" l="1"/>
  <c r="AB2" i="44"/>
  <c r="U2" i="41"/>
  <c r="A3" i="12" l="1"/>
  <c r="B3" i="12"/>
  <c r="L2" i="12" s="1"/>
  <c r="B4" i="12"/>
  <c r="A2" i="39"/>
  <c r="B2" i="39"/>
  <c r="X1" i="39" s="1"/>
  <c r="B3" i="39"/>
  <c r="U1" i="41"/>
  <c r="B2" i="44"/>
  <c r="AB1" i="44" s="1"/>
  <c r="A2" i="44"/>
  <c r="A6" i="12" l="1"/>
  <c r="B6" i="12"/>
  <c r="A5" i="39"/>
  <c r="B5" i="39"/>
  <c r="A5" i="44"/>
  <c r="B5" i="44"/>
  <c r="T46" i="44" l="1"/>
  <c r="T15" i="44"/>
  <c r="T16" i="44"/>
  <c r="U16" i="44" s="1"/>
  <c r="T17" i="44"/>
  <c r="T18" i="44"/>
  <c r="U18" i="44" s="1"/>
  <c r="T19" i="44"/>
  <c r="U19" i="44" s="1"/>
  <c r="T20" i="44"/>
  <c r="T21" i="44"/>
  <c r="T22" i="44"/>
  <c r="T23" i="44"/>
  <c r="T24" i="44"/>
  <c r="U24" i="44" s="1"/>
  <c r="T25" i="44"/>
  <c r="T26" i="44"/>
  <c r="U26" i="44" s="1"/>
  <c r="T27" i="44"/>
  <c r="U27" i="44" s="1"/>
  <c r="T28" i="44"/>
  <c r="T29" i="44"/>
  <c r="T30" i="44"/>
  <c r="T31" i="44"/>
  <c r="T32" i="44"/>
  <c r="T33" i="44"/>
  <c r="T34" i="44"/>
  <c r="T35" i="44"/>
  <c r="T36" i="44"/>
  <c r="T37" i="44"/>
  <c r="T38" i="44"/>
  <c r="T39" i="44"/>
  <c r="T40" i="44"/>
  <c r="T41" i="44"/>
  <c r="T42" i="44"/>
  <c r="T43" i="44"/>
  <c r="T44" i="44"/>
  <c r="T45" i="44"/>
  <c r="T47" i="44"/>
  <c r="T48" i="44"/>
  <c r="T49" i="44"/>
  <c r="T50" i="44"/>
  <c r="T51" i="44"/>
  <c r="T52" i="44"/>
  <c r="T53" i="44"/>
  <c r="T54" i="44"/>
  <c r="T14" i="44"/>
  <c r="J12" i="41"/>
  <c r="M12" i="41" s="1"/>
  <c r="J13" i="41"/>
  <c r="J14" i="41"/>
  <c r="M14" i="41" s="1"/>
  <c r="J15" i="41"/>
  <c r="M15" i="41" s="1"/>
  <c r="J16" i="41"/>
  <c r="M16" i="41" s="1"/>
  <c r="J17" i="41"/>
  <c r="M17" i="41" s="1"/>
  <c r="J18" i="41"/>
  <c r="J19" i="41"/>
  <c r="M19" i="41" s="1"/>
  <c r="J20" i="41"/>
  <c r="M20" i="41" s="1"/>
  <c r="J21" i="41"/>
  <c r="M21" i="41" s="1"/>
  <c r="J22" i="41"/>
  <c r="J23" i="41"/>
  <c r="J24" i="41"/>
  <c r="M24" i="41" s="1"/>
  <c r="J25" i="41"/>
  <c r="M25" i="41" s="1"/>
  <c r="J26" i="41"/>
  <c r="J27" i="41"/>
  <c r="J28" i="41"/>
  <c r="M28" i="41" s="1"/>
  <c r="J29" i="41"/>
  <c r="J30" i="41"/>
  <c r="M30" i="41" s="1"/>
  <c r="J31" i="41"/>
  <c r="M31" i="41" s="1"/>
  <c r="J32" i="41"/>
  <c r="M32" i="41" s="1"/>
  <c r="J33" i="41"/>
  <c r="M33" i="41" s="1"/>
  <c r="J34" i="41"/>
  <c r="J35" i="41"/>
  <c r="M35" i="41" s="1"/>
  <c r="J36" i="41"/>
  <c r="J37" i="41"/>
  <c r="J38" i="41"/>
  <c r="M38" i="41" s="1"/>
  <c r="J39" i="41"/>
  <c r="M39" i="41" s="1"/>
  <c r="J40" i="41"/>
  <c r="J41" i="41"/>
  <c r="M41" i="41" s="1"/>
  <c r="J42" i="41"/>
  <c r="M42" i="41" s="1"/>
  <c r="J43" i="41"/>
  <c r="M43" i="41" s="1"/>
  <c r="J44" i="41"/>
  <c r="M44" i="41" s="1"/>
  <c r="J45" i="41"/>
  <c r="M45" i="41" s="1"/>
  <c r="L12" i="41"/>
  <c r="L13" i="41"/>
  <c r="L14" i="41"/>
  <c r="L15" i="41"/>
  <c r="N15" i="41" s="1"/>
  <c r="L16" i="41"/>
  <c r="N16" i="41" s="1"/>
  <c r="L17" i="41"/>
  <c r="L18" i="41"/>
  <c r="L19" i="41"/>
  <c r="N19" i="41" s="1"/>
  <c r="L20" i="41"/>
  <c r="L21" i="41"/>
  <c r="N21" i="41" s="1"/>
  <c r="L22" i="41"/>
  <c r="N22" i="41" s="1"/>
  <c r="L11" i="41"/>
  <c r="N11" i="41" s="1"/>
  <c r="S13" i="39"/>
  <c r="U21" i="44"/>
  <c r="N13" i="39"/>
  <c r="O13" i="39" s="1"/>
  <c r="P13" i="39" s="1"/>
  <c r="E13" i="39"/>
  <c r="R13" i="39" s="1"/>
  <c r="O5" i="39"/>
  <c r="L6" i="41"/>
  <c r="I53" i="41" s="1"/>
  <c r="J37" i="44"/>
  <c r="K37" i="44"/>
  <c r="N37" i="44"/>
  <c r="O37" i="44"/>
  <c r="Q37" i="44"/>
  <c r="R37" i="44" s="1"/>
  <c r="S37" i="44"/>
  <c r="Y37" i="44" s="1"/>
  <c r="U37" i="44"/>
  <c r="AA37" i="44"/>
  <c r="AD37" i="44"/>
  <c r="J38" i="44"/>
  <c r="K38" i="44"/>
  <c r="N38" i="44"/>
  <c r="O38" i="44"/>
  <c r="Q38" i="44"/>
  <c r="R38" i="44" s="1"/>
  <c r="S38" i="44"/>
  <c r="Y38" i="44" s="1"/>
  <c r="U38" i="44"/>
  <c r="AA38" i="44"/>
  <c r="AD38" i="44"/>
  <c r="J39" i="44"/>
  <c r="K39" i="44"/>
  <c r="N39" i="44"/>
  <c r="O39" i="44"/>
  <c r="Q39" i="44"/>
  <c r="R39" i="44" s="1"/>
  <c r="S39" i="44"/>
  <c r="Y39" i="44" s="1"/>
  <c r="U39" i="44"/>
  <c r="AA39" i="44"/>
  <c r="AD39" i="44"/>
  <c r="J40" i="44"/>
  <c r="L40" i="44" s="1"/>
  <c r="K40" i="44"/>
  <c r="N40" i="44"/>
  <c r="O40" i="44"/>
  <c r="Q40" i="44"/>
  <c r="R40" i="44" s="1"/>
  <c r="S40" i="44"/>
  <c r="Y40" i="44" s="1"/>
  <c r="U40" i="44"/>
  <c r="AA40" i="44"/>
  <c r="AD40" i="44"/>
  <c r="J41" i="44"/>
  <c r="K41" i="44"/>
  <c r="N41" i="44"/>
  <c r="O41" i="44"/>
  <c r="Q41" i="44"/>
  <c r="R41" i="44" s="1"/>
  <c r="S41" i="44"/>
  <c r="Y41" i="44" s="1"/>
  <c r="U41" i="44"/>
  <c r="AA41" i="44"/>
  <c r="AD41" i="44"/>
  <c r="J42" i="44"/>
  <c r="L42" i="44" s="1"/>
  <c r="K42" i="44"/>
  <c r="N42" i="44"/>
  <c r="O42" i="44"/>
  <c r="Q42" i="44"/>
  <c r="R42" i="44" s="1"/>
  <c r="S42" i="44"/>
  <c r="Y42" i="44" s="1"/>
  <c r="U42" i="44"/>
  <c r="AA42" i="44"/>
  <c r="AD42" i="44"/>
  <c r="J43" i="44"/>
  <c r="K43" i="44"/>
  <c r="N43" i="44"/>
  <c r="O43" i="44"/>
  <c r="Q43" i="44"/>
  <c r="R43" i="44" s="1"/>
  <c r="S43" i="44"/>
  <c r="Y43" i="44" s="1"/>
  <c r="U43" i="44"/>
  <c r="AA43" i="44"/>
  <c r="AD43" i="44"/>
  <c r="J44" i="44"/>
  <c r="L44" i="44" s="1"/>
  <c r="K44" i="44"/>
  <c r="N44" i="44"/>
  <c r="O44" i="44"/>
  <c r="Q44" i="44"/>
  <c r="R44" i="44" s="1"/>
  <c r="S44" i="44"/>
  <c r="Y44" i="44" s="1"/>
  <c r="U44" i="44"/>
  <c r="AA44" i="44"/>
  <c r="AD44" i="44"/>
  <c r="J45" i="44"/>
  <c r="K45" i="44"/>
  <c r="N45" i="44"/>
  <c r="O45" i="44"/>
  <c r="Q45" i="44"/>
  <c r="R45" i="44" s="1"/>
  <c r="S45" i="44"/>
  <c r="Y45" i="44" s="1"/>
  <c r="U45" i="44"/>
  <c r="AA45" i="44"/>
  <c r="AD45" i="44"/>
  <c r="J46" i="44"/>
  <c r="L46" i="44" s="1"/>
  <c r="M46" i="44" s="1"/>
  <c r="K46" i="44"/>
  <c r="N46" i="44"/>
  <c r="O46" i="44"/>
  <c r="U46" i="44"/>
  <c r="AD46" i="44"/>
  <c r="J47" i="44"/>
  <c r="L47" i="44" s="1"/>
  <c r="K47" i="44"/>
  <c r="N47" i="44"/>
  <c r="O47" i="44"/>
  <c r="U47" i="44"/>
  <c r="AD47" i="44"/>
  <c r="V33" i="39"/>
  <c r="W33" i="39"/>
  <c r="L66" i="41"/>
  <c r="F66" i="41"/>
  <c r="H57" i="41"/>
  <c r="G57" i="41"/>
  <c r="C57" i="41"/>
  <c r="O56" i="41"/>
  <c r="Q56" i="41" s="1"/>
  <c r="N56" i="41"/>
  <c r="M56" i="41"/>
  <c r="J56" i="41"/>
  <c r="O55" i="41"/>
  <c r="Q55" i="41" s="1"/>
  <c r="N55" i="41"/>
  <c r="M55" i="41"/>
  <c r="J55" i="41"/>
  <c r="O54" i="41"/>
  <c r="Q54" i="41" s="1"/>
  <c r="N54" i="41"/>
  <c r="M54" i="41"/>
  <c r="K54" i="41"/>
  <c r="J54" i="41"/>
  <c r="N53" i="41"/>
  <c r="M53" i="41"/>
  <c r="K53" i="41"/>
  <c r="J53" i="41"/>
  <c r="I48" i="41"/>
  <c r="H48" i="41"/>
  <c r="L46" i="41"/>
  <c r="N46" i="41" s="1"/>
  <c r="K46" i="41"/>
  <c r="J46" i="41"/>
  <c r="M46" i="41" s="1"/>
  <c r="L45" i="41"/>
  <c r="T45" i="41" s="1"/>
  <c r="K45" i="41"/>
  <c r="L44" i="41"/>
  <c r="N44" i="41" s="1"/>
  <c r="K44" i="41"/>
  <c r="L43" i="41"/>
  <c r="N43" i="41" s="1"/>
  <c r="K43" i="41"/>
  <c r="L42" i="41"/>
  <c r="K42" i="41"/>
  <c r="L41" i="41"/>
  <c r="N41" i="41" s="1"/>
  <c r="K41" i="41"/>
  <c r="L40" i="41"/>
  <c r="K40" i="41"/>
  <c r="L39" i="41"/>
  <c r="T39" i="41" s="1"/>
  <c r="K39" i="41"/>
  <c r="L38" i="41"/>
  <c r="K38" i="41"/>
  <c r="L37" i="41"/>
  <c r="K37" i="41"/>
  <c r="L36" i="41"/>
  <c r="K36" i="41"/>
  <c r="L35" i="41"/>
  <c r="N35" i="41" s="1"/>
  <c r="K35" i="41"/>
  <c r="L34" i="41"/>
  <c r="N34" i="41" s="1"/>
  <c r="K34" i="41"/>
  <c r="L33" i="41"/>
  <c r="N33" i="41" s="1"/>
  <c r="K33" i="41"/>
  <c r="L32" i="41"/>
  <c r="N32" i="41" s="1"/>
  <c r="K32" i="41"/>
  <c r="L31" i="41"/>
  <c r="N31" i="41" s="1"/>
  <c r="K31" i="41"/>
  <c r="L30" i="41"/>
  <c r="N30" i="41" s="1"/>
  <c r="K30" i="41"/>
  <c r="L29" i="41"/>
  <c r="N29" i="41" s="1"/>
  <c r="K29" i="41"/>
  <c r="L28" i="41"/>
  <c r="O28" i="41" s="1"/>
  <c r="K28" i="41"/>
  <c r="L27" i="41"/>
  <c r="N27" i="41" s="1"/>
  <c r="K27" i="41"/>
  <c r="L26" i="41"/>
  <c r="K26" i="41"/>
  <c r="L25" i="41"/>
  <c r="K25" i="41"/>
  <c r="L24" i="41"/>
  <c r="N24" i="41" s="1"/>
  <c r="K24" i="41"/>
  <c r="L23" i="41"/>
  <c r="N23" i="41" s="1"/>
  <c r="K23" i="41"/>
  <c r="K22" i="41"/>
  <c r="K21" i="41"/>
  <c r="K20" i="41"/>
  <c r="K19" i="41"/>
  <c r="K18" i="41"/>
  <c r="K17" i="41"/>
  <c r="K16" i="41"/>
  <c r="K15" i="41"/>
  <c r="K14" i="41"/>
  <c r="K13" i="41"/>
  <c r="K12" i="41"/>
  <c r="A12" i="41"/>
  <c r="A13" i="41" s="1"/>
  <c r="A14" i="41" s="1"/>
  <c r="A15" i="41" s="1"/>
  <c r="A16" i="41" s="1"/>
  <c r="A17" i="41" s="1"/>
  <c r="A18" i="41" s="1"/>
  <c r="A19" i="41" s="1"/>
  <c r="A20" i="41" s="1"/>
  <c r="A21" i="41" s="1"/>
  <c r="A22" i="41" s="1"/>
  <c r="A23" i="41" s="1"/>
  <c r="A24" i="41" s="1"/>
  <c r="A25" i="41" s="1"/>
  <c r="A26" i="41" s="1"/>
  <c r="A27" i="41" s="1"/>
  <c r="A28" i="41" s="1"/>
  <c r="A29" i="41" s="1"/>
  <c r="A30" i="41" s="1"/>
  <c r="A31" i="41" s="1"/>
  <c r="A32" i="41" s="1"/>
  <c r="A33" i="41" s="1"/>
  <c r="A34" i="41" s="1"/>
  <c r="A35" i="41" s="1"/>
  <c r="A36" i="41" s="1"/>
  <c r="A37" i="41" s="1"/>
  <c r="A38" i="41" s="1"/>
  <c r="A39" i="41" s="1"/>
  <c r="A40" i="41" s="1"/>
  <c r="A41" i="41" s="1"/>
  <c r="A42" i="41" s="1"/>
  <c r="A43" i="41" s="1"/>
  <c r="A44" i="41" s="1"/>
  <c r="A45" i="41" s="1"/>
  <c r="A46" i="41" s="1"/>
  <c r="K11" i="41"/>
  <c r="J11" i="41"/>
  <c r="O4" i="41"/>
  <c r="P4" i="41" s="1"/>
  <c r="H33" i="39"/>
  <c r="I33" i="39"/>
  <c r="J33" i="39"/>
  <c r="K33" i="39"/>
  <c r="H34" i="39"/>
  <c r="I34" i="39"/>
  <c r="J34" i="39"/>
  <c r="K34" i="39"/>
  <c r="H35" i="39"/>
  <c r="I35" i="39"/>
  <c r="J35" i="39"/>
  <c r="K35" i="39"/>
  <c r="H36" i="39"/>
  <c r="I36" i="39"/>
  <c r="J36" i="39"/>
  <c r="K36" i="39"/>
  <c r="H37" i="39"/>
  <c r="I37" i="39"/>
  <c r="J37" i="39"/>
  <c r="K37" i="39"/>
  <c r="H38" i="39"/>
  <c r="I38" i="39"/>
  <c r="J38" i="39"/>
  <c r="K38" i="39"/>
  <c r="H39" i="39"/>
  <c r="I39" i="39"/>
  <c r="J39" i="39"/>
  <c r="K39" i="39"/>
  <c r="H40" i="39"/>
  <c r="I40" i="39"/>
  <c r="J40" i="39"/>
  <c r="K40" i="39"/>
  <c r="H41" i="39"/>
  <c r="I41" i="39"/>
  <c r="J41" i="39"/>
  <c r="K41" i="39"/>
  <c r="H42" i="39"/>
  <c r="I42" i="39"/>
  <c r="J42" i="39"/>
  <c r="K42" i="39"/>
  <c r="H43" i="39"/>
  <c r="I43" i="39"/>
  <c r="J43" i="39"/>
  <c r="K43" i="39"/>
  <c r="H44" i="39"/>
  <c r="I44" i="39"/>
  <c r="J44" i="39"/>
  <c r="K44" i="39"/>
  <c r="H45" i="39"/>
  <c r="I45" i="39"/>
  <c r="J45" i="39"/>
  <c r="K45" i="39"/>
  <c r="H46" i="39"/>
  <c r="I46" i="39"/>
  <c r="J46" i="39"/>
  <c r="K46" i="39"/>
  <c r="H47" i="39"/>
  <c r="I47" i="39"/>
  <c r="K47" i="39"/>
  <c r="J47" i="39"/>
  <c r="J32" i="39"/>
  <c r="J28" i="39"/>
  <c r="H31" i="39"/>
  <c r="I31" i="39"/>
  <c r="J31" i="39"/>
  <c r="K31" i="39"/>
  <c r="H32" i="39"/>
  <c r="I32" i="39"/>
  <c r="K32" i="39"/>
  <c r="H48" i="39"/>
  <c r="I48" i="39"/>
  <c r="J48" i="39"/>
  <c r="K48" i="39"/>
  <c r="H49" i="39"/>
  <c r="I49" i="39"/>
  <c r="J49" i="39"/>
  <c r="K49" i="39"/>
  <c r="H50" i="39"/>
  <c r="I50" i="39"/>
  <c r="J50" i="39"/>
  <c r="K50" i="39"/>
  <c r="H51" i="39"/>
  <c r="I51" i="39"/>
  <c r="J51" i="39"/>
  <c r="K51" i="39"/>
  <c r="H52" i="39"/>
  <c r="I52" i="39"/>
  <c r="J52" i="39"/>
  <c r="K52" i="39"/>
  <c r="J51" i="44"/>
  <c r="K51" i="44"/>
  <c r="N51" i="44"/>
  <c r="O51" i="44"/>
  <c r="Q51" i="44"/>
  <c r="R51" i="44" s="1"/>
  <c r="S51" i="44"/>
  <c r="Y51" i="44" s="1"/>
  <c r="U51" i="44"/>
  <c r="AA51" i="44"/>
  <c r="AD51" i="44"/>
  <c r="J52" i="44"/>
  <c r="L52" i="44" s="1"/>
  <c r="K52" i="44"/>
  <c r="N52" i="44"/>
  <c r="O52" i="44"/>
  <c r="Q52" i="44"/>
  <c r="R52" i="44"/>
  <c r="S52" i="44"/>
  <c r="Y52" i="44" s="1"/>
  <c r="U52" i="44"/>
  <c r="AA52" i="44"/>
  <c r="AD52" i="44"/>
  <c r="J53" i="44"/>
  <c r="L53" i="44"/>
  <c r="K53" i="44"/>
  <c r="N53" i="44"/>
  <c r="O53" i="44"/>
  <c r="Q53" i="44"/>
  <c r="R53" i="44" s="1"/>
  <c r="S53" i="44"/>
  <c r="Y53" i="44" s="1"/>
  <c r="U53" i="44"/>
  <c r="AA53" i="44"/>
  <c r="AD53" i="44"/>
  <c r="J15" i="44"/>
  <c r="K15" i="44"/>
  <c r="N15" i="44"/>
  <c r="O15" i="44"/>
  <c r="AD15" i="44"/>
  <c r="J16" i="44"/>
  <c r="L16" i="44" s="1"/>
  <c r="M16" i="44" s="1"/>
  <c r="K16" i="44"/>
  <c r="N16" i="44"/>
  <c r="O16" i="44"/>
  <c r="AD16" i="44"/>
  <c r="J17" i="44"/>
  <c r="L17" i="44" s="1"/>
  <c r="K17" i="44"/>
  <c r="N17" i="44"/>
  <c r="O17" i="44"/>
  <c r="U17" i="44"/>
  <c r="AD17" i="44"/>
  <c r="J18" i="44"/>
  <c r="K18" i="44"/>
  <c r="N18" i="44"/>
  <c r="O18" i="44"/>
  <c r="AD18" i="44"/>
  <c r="J19" i="44"/>
  <c r="L19" i="44" s="1"/>
  <c r="M19" i="44" s="1"/>
  <c r="K19" i="44"/>
  <c r="N19" i="44"/>
  <c r="O19" i="44"/>
  <c r="AD19" i="44"/>
  <c r="J20" i="44"/>
  <c r="L20" i="44"/>
  <c r="K20" i="44"/>
  <c r="N20" i="44"/>
  <c r="O20" i="44"/>
  <c r="U20" i="44"/>
  <c r="AD20" i="44"/>
  <c r="J21" i="44"/>
  <c r="L21" i="44" s="1"/>
  <c r="M21" i="44" s="1"/>
  <c r="K21" i="44"/>
  <c r="N21" i="44"/>
  <c r="O21" i="44"/>
  <c r="AD21" i="44"/>
  <c r="J22" i="44"/>
  <c r="L22" i="44"/>
  <c r="K22" i="44"/>
  <c r="N22" i="44"/>
  <c r="O22" i="44"/>
  <c r="U22" i="44"/>
  <c r="AD22" i="44"/>
  <c r="J23" i="44"/>
  <c r="L23" i="44" s="1"/>
  <c r="K23" i="44"/>
  <c r="N23" i="44"/>
  <c r="O23" i="44"/>
  <c r="U23" i="44"/>
  <c r="AD23" i="44"/>
  <c r="J24" i="44"/>
  <c r="L24" i="44" s="1"/>
  <c r="K24" i="44"/>
  <c r="N24" i="44"/>
  <c r="O24" i="44"/>
  <c r="AD24" i="44"/>
  <c r="J25" i="44"/>
  <c r="L25" i="44" s="1"/>
  <c r="K25" i="44"/>
  <c r="N25" i="44"/>
  <c r="O25" i="44"/>
  <c r="U25" i="44"/>
  <c r="AD25" i="44"/>
  <c r="J26" i="44"/>
  <c r="L26" i="44" s="1"/>
  <c r="K26" i="44"/>
  <c r="N26" i="44"/>
  <c r="O26" i="44"/>
  <c r="AD26" i="44"/>
  <c r="J27" i="44"/>
  <c r="L27" i="44" s="1"/>
  <c r="M27" i="44" s="1"/>
  <c r="V27" i="44" s="1"/>
  <c r="K27" i="44"/>
  <c r="N27" i="44"/>
  <c r="O27" i="44"/>
  <c r="AD27" i="44"/>
  <c r="J28" i="44"/>
  <c r="K28" i="44"/>
  <c r="N28" i="44"/>
  <c r="O28" i="44"/>
  <c r="Q28" i="44"/>
  <c r="R28" i="44" s="1"/>
  <c r="S28" i="44"/>
  <c r="Y28" i="44" s="1"/>
  <c r="U28" i="44"/>
  <c r="AA28" i="44"/>
  <c r="AD28" i="44"/>
  <c r="J29" i="44"/>
  <c r="K29" i="44"/>
  <c r="N29" i="44"/>
  <c r="O29" i="44"/>
  <c r="Q29" i="44"/>
  <c r="R29" i="44" s="1"/>
  <c r="S29" i="44"/>
  <c r="Y29" i="44" s="1"/>
  <c r="U29" i="44"/>
  <c r="AA29" i="44"/>
  <c r="AD29" i="44"/>
  <c r="J30" i="44"/>
  <c r="L30" i="44" s="1"/>
  <c r="K30" i="44"/>
  <c r="N30" i="44"/>
  <c r="O30" i="44"/>
  <c r="Q30" i="44"/>
  <c r="R30" i="44" s="1"/>
  <c r="S30" i="44"/>
  <c r="Y30" i="44" s="1"/>
  <c r="U30" i="44"/>
  <c r="AA30" i="44"/>
  <c r="AD30" i="44"/>
  <c r="J31" i="44"/>
  <c r="L31" i="44" s="1"/>
  <c r="K31" i="44"/>
  <c r="N31" i="44"/>
  <c r="O31" i="44"/>
  <c r="Q31" i="44"/>
  <c r="R31" i="44" s="1"/>
  <c r="S31" i="44"/>
  <c r="Y31" i="44" s="1"/>
  <c r="U31" i="44"/>
  <c r="AA31" i="44"/>
  <c r="AD31" i="44"/>
  <c r="J32" i="44"/>
  <c r="L32" i="44" s="1"/>
  <c r="K32" i="44"/>
  <c r="N32" i="44"/>
  <c r="O32" i="44"/>
  <c r="Q32" i="44"/>
  <c r="R32" i="44" s="1"/>
  <c r="S32" i="44"/>
  <c r="Y32" i="44" s="1"/>
  <c r="U32" i="44"/>
  <c r="AA32" i="44"/>
  <c r="AD32" i="44"/>
  <c r="J33" i="44"/>
  <c r="L33" i="44" s="1"/>
  <c r="M33" i="44" s="1"/>
  <c r="K33" i="44"/>
  <c r="N33" i="44"/>
  <c r="O33" i="44"/>
  <c r="Q33" i="44"/>
  <c r="R33" i="44" s="1"/>
  <c r="S33" i="44"/>
  <c r="Y33" i="44" s="1"/>
  <c r="U33" i="44"/>
  <c r="AA33" i="44"/>
  <c r="AD33" i="44"/>
  <c r="J34" i="44"/>
  <c r="L34" i="44" s="1"/>
  <c r="M34" i="44" s="1"/>
  <c r="K34" i="44"/>
  <c r="N34" i="44"/>
  <c r="O34" i="44"/>
  <c r="Q34" i="44"/>
  <c r="R34" i="44" s="1"/>
  <c r="S34" i="44"/>
  <c r="Y34" i="44" s="1"/>
  <c r="U34" i="44"/>
  <c r="AA34" i="44"/>
  <c r="AD34" i="44"/>
  <c r="A15" i="44"/>
  <c r="A16" i="44" s="1"/>
  <c r="A17" i="44" s="1"/>
  <c r="A18" i="44" s="1"/>
  <c r="A19" i="44" s="1"/>
  <c r="A20" i="44" s="1"/>
  <c r="A21" i="44" s="1"/>
  <c r="A22" i="44" s="1"/>
  <c r="A23" i="44" s="1"/>
  <c r="A24" i="44" s="1"/>
  <c r="A25" i="44" s="1"/>
  <c r="A26" i="44" s="1"/>
  <c r="A27" i="44" s="1"/>
  <c r="A28" i="44" s="1"/>
  <c r="A29" i="44" s="1"/>
  <c r="A30" i="44" s="1"/>
  <c r="A31" i="44" s="1"/>
  <c r="A32" i="44" s="1"/>
  <c r="A33" i="44" s="1"/>
  <c r="A34" i="44" s="1"/>
  <c r="A35" i="44" s="1"/>
  <c r="A36" i="44" s="1"/>
  <c r="A37" i="44" s="1"/>
  <c r="A38" i="44" s="1"/>
  <c r="A39" i="44" s="1"/>
  <c r="A40" i="44" s="1"/>
  <c r="A41" i="44" s="1"/>
  <c r="A42" i="44" s="1"/>
  <c r="A43" i="44" s="1"/>
  <c r="A44" i="44" s="1"/>
  <c r="A45" i="44" s="1"/>
  <c r="A46" i="44" s="1"/>
  <c r="A47" i="44" s="1"/>
  <c r="A48" i="44" s="1"/>
  <c r="A49" i="44" s="1"/>
  <c r="A50" i="44" s="1"/>
  <c r="A51" i="44" s="1"/>
  <c r="A52" i="44" s="1"/>
  <c r="A53" i="44" s="1"/>
  <c r="A54" i="44" s="1"/>
  <c r="D57" i="44"/>
  <c r="C57" i="44"/>
  <c r="I56" i="44"/>
  <c r="AD54" i="44"/>
  <c r="AA54" i="44"/>
  <c r="U54" i="44"/>
  <c r="S54" i="44"/>
  <c r="Y54" i="44" s="1"/>
  <c r="Q54" i="44"/>
  <c r="R54" i="44" s="1"/>
  <c r="O54" i="44"/>
  <c r="N54" i="44"/>
  <c r="K54" i="44"/>
  <c r="J54" i="44"/>
  <c r="L54" i="44" s="1"/>
  <c r="M54" i="44" s="1"/>
  <c r="AD50" i="44"/>
  <c r="AA50" i="44"/>
  <c r="U50" i="44"/>
  <c r="S50" i="44"/>
  <c r="Y50" i="44" s="1"/>
  <c r="Q50" i="44"/>
  <c r="R50" i="44" s="1"/>
  <c r="O50" i="44"/>
  <c r="N50" i="44"/>
  <c r="K50" i="44"/>
  <c r="J50" i="44"/>
  <c r="AD49" i="44"/>
  <c r="AA49" i="44"/>
  <c r="U49" i="44"/>
  <c r="S49" i="44"/>
  <c r="Y49" i="44" s="1"/>
  <c r="Q49" i="44"/>
  <c r="R49" i="44" s="1"/>
  <c r="O49" i="44"/>
  <c r="N49" i="44"/>
  <c r="K49" i="44"/>
  <c r="J49" i="44"/>
  <c r="L49" i="44" s="1"/>
  <c r="M49" i="44" s="1"/>
  <c r="P49" i="44" s="1"/>
  <c r="AC49" i="44" s="1"/>
  <c r="AD48" i="44"/>
  <c r="U48" i="44"/>
  <c r="O48" i="44"/>
  <c r="N48" i="44"/>
  <c r="K48" i="44"/>
  <c r="J48" i="44"/>
  <c r="AD36" i="44"/>
  <c r="AA36" i="44"/>
  <c r="U36" i="44"/>
  <c r="S36" i="44"/>
  <c r="Y36" i="44" s="1"/>
  <c r="Q36" i="44"/>
  <c r="R36" i="44" s="1"/>
  <c r="O36" i="44"/>
  <c r="N36" i="44"/>
  <c r="K36" i="44"/>
  <c r="J36" i="44"/>
  <c r="AD35" i="44"/>
  <c r="AA35" i="44"/>
  <c r="U35" i="44"/>
  <c r="S35" i="44"/>
  <c r="Y35" i="44" s="1"/>
  <c r="Q35" i="44"/>
  <c r="R35" i="44" s="1"/>
  <c r="O35" i="44"/>
  <c r="N35" i="44"/>
  <c r="K35" i="44"/>
  <c r="J35" i="44"/>
  <c r="AD14" i="44"/>
  <c r="U14" i="44"/>
  <c r="O14" i="44"/>
  <c r="N14" i="44"/>
  <c r="K14" i="44"/>
  <c r="J14" i="44"/>
  <c r="L14" i="44" s="1"/>
  <c r="AA12" i="44"/>
  <c r="C12" i="44"/>
  <c r="V6" i="44"/>
  <c r="V5" i="44"/>
  <c r="C11" i="39"/>
  <c r="X11" i="39"/>
  <c r="I13" i="39"/>
  <c r="K13" i="39"/>
  <c r="L13" i="39"/>
  <c r="Q13" i="39"/>
  <c r="E14" i="39"/>
  <c r="R14" i="39" s="1"/>
  <c r="I14" i="39"/>
  <c r="K14" i="39"/>
  <c r="L14" i="39"/>
  <c r="N14" i="39"/>
  <c r="O14" i="39" s="1"/>
  <c r="P14" i="39" s="1"/>
  <c r="Q14" i="39"/>
  <c r="S14" i="39"/>
  <c r="X14" i="39"/>
  <c r="E15" i="39"/>
  <c r="R15" i="39" s="1"/>
  <c r="I15" i="39"/>
  <c r="K15" i="39"/>
  <c r="L15" i="39"/>
  <c r="N15" i="39"/>
  <c r="Q15" i="39"/>
  <c r="X15" i="39"/>
  <c r="E16" i="39"/>
  <c r="R16" i="39" s="1"/>
  <c r="I16" i="39"/>
  <c r="K16" i="39"/>
  <c r="L16" i="39"/>
  <c r="M16" i="39" s="1"/>
  <c r="V16" i="39" s="1"/>
  <c r="N16" i="39"/>
  <c r="O16" i="39" s="1"/>
  <c r="P16" i="39" s="1"/>
  <c r="Q16" i="39"/>
  <c r="S16" i="39"/>
  <c r="X16" i="39"/>
  <c r="E17" i="39"/>
  <c r="R17" i="39" s="1"/>
  <c r="I17" i="39"/>
  <c r="K17" i="39"/>
  <c r="L17" i="39"/>
  <c r="N17" i="39"/>
  <c r="O17" i="39" s="1"/>
  <c r="P17" i="39" s="1"/>
  <c r="Q17" i="39"/>
  <c r="S17" i="39"/>
  <c r="X17" i="39"/>
  <c r="E18" i="39"/>
  <c r="R18" i="39" s="1"/>
  <c r="I18" i="39"/>
  <c r="K18" i="39"/>
  <c r="L18" i="39"/>
  <c r="N18" i="39"/>
  <c r="O18" i="39" s="1"/>
  <c r="P18" i="39" s="1"/>
  <c r="Q18" i="39"/>
  <c r="S18" i="39"/>
  <c r="X18" i="39"/>
  <c r="C20" i="39"/>
  <c r="J78" i="39" s="1"/>
  <c r="D20" i="39"/>
  <c r="G20" i="39"/>
  <c r="C82" i="39" s="1"/>
  <c r="H20" i="39"/>
  <c r="H24" i="39"/>
  <c r="I24" i="39"/>
  <c r="J24" i="39"/>
  <c r="K24" i="39"/>
  <c r="U24" i="39"/>
  <c r="V24" i="39"/>
  <c r="W24" i="39"/>
  <c r="A25" i="39"/>
  <c r="A26" i="39" s="1"/>
  <c r="A27" i="39" s="1"/>
  <c r="A28" i="39" s="1"/>
  <c r="A29" i="39" s="1"/>
  <c r="A30" i="39" s="1"/>
  <c r="A31" i="39" s="1"/>
  <c r="A32" i="39" s="1"/>
  <c r="A33" i="39" s="1"/>
  <c r="A34" i="39" s="1"/>
  <c r="A35" i="39" s="1"/>
  <c r="A36" i="39" s="1"/>
  <c r="A37" i="39" s="1"/>
  <c r="A38" i="39" s="1"/>
  <c r="A39" i="39" s="1"/>
  <c r="A40" i="39" s="1"/>
  <c r="A41" i="39" s="1"/>
  <c r="A42" i="39" s="1"/>
  <c r="A43" i="39" s="1"/>
  <c r="A44" i="39" s="1"/>
  <c r="A45" i="39" s="1"/>
  <c r="A46" i="39" s="1"/>
  <c r="A47" i="39" s="1"/>
  <c r="A48" i="39" s="1"/>
  <c r="A49" i="39" s="1"/>
  <c r="A50" i="39" s="1"/>
  <c r="A51" i="39" s="1"/>
  <c r="A52" i="39" s="1"/>
  <c r="A53" i="39" s="1"/>
  <c r="A54" i="39" s="1"/>
  <c r="A55" i="39" s="1"/>
  <c r="A56" i="39" s="1"/>
  <c r="A57" i="39" s="1"/>
  <c r="A58" i="39" s="1"/>
  <c r="A59" i="39" s="1"/>
  <c r="A60" i="39" s="1"/>
  <c r="H25" i="39"/>
  <c r="I25" i="39"/>
  <c r="J25" i="39"/>
  <c r="K25" i="39"/>
  <c r="U25" i="39"/>
  <c r="V25" i="39"/>
  <c r="W25" i="39"/>
  <c r="H26" i="39"/>
  <c r="I26" i="39"/>
  <c r="J26" i="39"/>
  <c r="K26" i="39"/>
  <c r="U26" i="39"/>
  <c r="V26" i="39"/>
  <c r="W26" i="39"/>
  <c r="H27" i="39"/>
  <c r="I27" i="39"/>
  <c r="J27" i="39"/>
  <c r="K27" i="39"/>
  <c r="U27" i="39"/>
  <c r="V27" i="39"/>
  <c r="W27" i="39"/>
  <c r="H28" i="39"/>
  <c r="I28" i="39"/>
  <c r="K28" i="39"/>
  <c r="U28" i="39"/>
  <c r="V28" i="39"/>
  <c r="W28" i="39"/>
  <c r="H29" i="39"/>
  <c r="I29" i="39"/>
  <c r="J29" i="39"/>
  <c r="K29" i="39"/>
  <c r="U29" i="39"/>
  <c r="V29" i="39"/>
  <c r="W29" i="39"/>
  <c r="H30" i="39"/>
  <c r="I30" i="39"/>
  <c r="J30" i="39"/>
  <c r="K30" i="39"/>
  <c r="P30" i="39"/>
  <c r="H53" i="39"/>
  <c r="I53" i="39"/>
  <c r="J53" i="39"/>
  <c r="K53" i="39"/>
  <c r="H54" i="39"/>
  <c r="I54" i="39"/>
  <c r="J54" i="39"/>
  <c r="K54" i="39"/>
  <c r="H55" i="39"/>
  <c r="I55" i="39"/>
  <c r="J55" i="39"/>
  <c r="K55" i="39"/>
  <c r="H56" i="39"/>
  <c r="I56" i="39"/>
  <c r="J56" i="39"/>
  <c r="K56" i="39"/>
  <c r="H57" i="39"/>
  <c r="I57" i="39"/>
  <c r="J57" i="39"/>
  <c r="K57" i="39"/>
  <c r="H58" i="39"/>
  <c r="I58" i="39"/>
  <c r="J58" i="39"/>
  <c r="K58" i="39"/>
  <c r="U36" i="39"/>
  <c r="V36" i="39"/>
  <c r="X36" i="39"/>
  <c r="H59" i="39"/>
  <c r="I59" i="39"/>
  <c r="J59" i="39"/>
  <c r="K59" i="39"/>
  <c r="U37" i="39"/>
  <c r="W37" i="39" s="1"/>
  <c r="V37" i="39"/>
  <c r="X37" i="39"/>
  <c r="H60" i="39"/>
  <c r="I60" i="39"/>
  <c r="J60" i="39"/>
  <c r="W38" i="39"/>
  <c r="V38" i="39"/>
  <c r="U39" i="39"/>
  <c r="W39" i="39" s="1"/>
  <c r="V39" i="39"/>
  <c r="X39" i="39"/>
  <c r="U40" i="39"/>
  <c r="W40" i="39" s="1"/>
  <c r="V40" i="39"/>
  <c r="X40" i="39"/>
  <c r="C62" i="39"/>
  <c r="O41" i="39"/>
  <c r="D65" i="39"/>
  <c r="E65" i="39"/>
  <c r="D66" i="39"/>
  <c r="G66" i="39" s="1"/>
  <c r="H66" i="39"/>
  <c r="I66" i="39"/>
  <c r="D67" i="39"/>
  <c r="G67" i="39" s="1"/>
  <c r="H67" i="39"/>
  <c r="I67" i="39"/>
  <c r="D68" i="39"/>
  <c r="G68" i="39" s="1"/>
  <c r="H68" i="39"/>
  <c r="I68" i="39"/>
  <c r="D69" i="39"/>
  <c r="G69" i="39"/>
  <c r="H69" i="39"/>
  <c r="I69" i="39"/>
  <c r="D70" i="39"/>
  <c r="G70" i="39" s="1"/>
  <c r="H70" i="39"/>
  <c r="J70" i="39" s="1"/>
  <c r="I70" i="39"/>
  <c r="D71" i="39"/>
  <c r="G71" i="39" s="1"/>
  <c r="H71" i="39"/>
  <c r="I71" i="39"/>
  <c r="D72" i="39"/>
  <c r="G72" i="39"/>
  <c r="H72" i="39"/>
  <c r="I72" i="39"/>
  <c r="C78" i="39"/>
  <c r="T32" i="41"/>
  <c r="P27" i="41"/>
  <c r="L39" i="44"/>
  <c r="L28" i="44"/>
  <c r="M28" i="44" s="1"/>
  <c r="P28" i="44" s="1"/>
  <c r="AC28" i="44" s="1"/>
  <c r="L51" i="44"/>
  <c r="M51" i="44" s="1"/>
  <c r="S15" i="39"/>
  <c r="O29" i="41"/>
  <c r="T29" i="41"/>
  <c r="T33" i="41"/>
  <c r="Q4" i="41"/>
  <c r="O27" i="41"/>
  <c r="X38" i="39"/>
  <c r="U15" i="44"/>
  <c r="P24" i="41"/>
  <c r="M22" i="41"/>
  <c r="M23" i="41"/>
  <c r="T24" i="41"/>
  <c r="L38" i="44"/>
  <c r="L43" i="44"/>
  <c r="O53" i="41"/>
  <c r="Q53" i="41" s="1"/>
  <c r="W51" i="44" l="1"/>
  <c r="O46" i="41"/>
  <c r="T46" i="41"/>
  <c r="P46" i="41"/>
  <c r="R33" i="41"/>
  <c r="T44" i="41"/>
  <c r="Y33" i="39"/>
  <c r="I54" i="41"/>
  <c r="L54" i="41" s="1"/>
  <c r="P54" i="41" s="1"/>
  <c r="T17" i="39"/>
  <c r="U17" i="39" s="1"/>
  <c r="T31" i="41"/>
  <c r="P41" i="41"/>
  <c r="T43" i="41"/>
  <c r="P23" i="41"/>
  <c r="P44" i="41"/>
  <c r="O33" i="41"/>
  <c r="T34" i="41"/>
  <c r="L48" i="39"/>
  <c r="R46" i="41"/>
  <c r="R30" i="41"/>
  <c r="S29" i="41"/>
  <c r="S23" i="41"/>
  <c r="S34" i="41"/>
  <c r="L32" i="39"/>
  <c r="T23" i="41"/>
  <c r="L29" i="39"/>
  <c r="V28" i="44"/>
  <c r="P31" i="41"/>
  <c r="L24" i="39"/>
  <c r="U41" i="39"/>
  <c r="P20" i="41"/>
  <c r="N20" i="41"/>
  <c r="L41" i="39"/>
  <c r="P13" i="41"/>
  <c r="N13" i="41"/>
  <c r="L60" i="39"/>
  <c r="P18" i="41"/>
  <c r="N18" i="41"/>
  <c r="P12" i="41"/>
  <c r="N12" i="41"/>
  <c r="S40" i="41"/>
  <c r="M40" i="41"/>
  <c r="R40" i="41" s="1"/>
  <c r="P30" i="41"/>
  <c r="L33" i="39"/>
  <c r="O24" i="41"/>
  <c r="Q24" i="41" s="1"/>
  <c r="R31" i="41"/>
  <c r="T36" i="41"/>
  <c r="N36" i="41"/>
  <c r="O41" i="41"/>
  <c r="O17" i="41"/>
  <c r="N17" i="41"/>
  <c r="R39" i="41"/>
  <c r="P40" i="41"/>
  <c r="N40" i="41"/>
  <c r="P14" i="41"/>
  <c r="N14" i="41"/>
  <c r="L31" i="39"/>
  <c r="O30" i="41"/>
  <c r="O23" i="41"/>
  <c r="S46" i="41"/>
  <c r="T18" i="39"/>
  <c r="W18" i="39" s="1"/>
  <c r="L45" i="39"/>
  <c r="L42" i="39"/>
  <c r="T27" i="41"/>
  <c r="O39" i="41"/>
  <c r="N39" i="41"/>
  <c r="S38" i="41"/>
  <c r="R32" i="41"/>
  <c r="O25" i="41"/>
  <c r="N25" i="41"/>
  <c r="O38" i="41"/>
  <c r="N38" i="41"/>
  <c r="P45" i="41"/>
  <c r="N45" i="41"/>
  <c r="S24" i="41"/>
  <c r="T30" i="41"/>
  <c r="T26" i="41"/>
  <c r="N26" i="41"/>
  <c r="P28" i="41"/>
  <c r="N28" i="41"/>
  <c r="T40" i="41"/>
  <c r="J71" i="39"/>
  <c r="R23" i="41"/>
  <c r="P38" i="41"/>
  <c r="J66" i="39"/>
  <c r="L37" i="39"/>
  <c r="C7" i="41"/>
  <c r="P37" i="41"/>
  <c r="N37" i="41"/>
  <c r="O42" i="41"/>
  <c r="N42" i="41"/>
  <c r="S43" i="41"/>
  <c r="L53" i="41"/>
  <c r="P53" i="41" s="1"/>
  <c r="I63" i="44"/>
  <c r="H52" i="44"/>
  <c r="H56" i="44" s="1"/>
  <c r="C63" i="44" s="1"/>
  <c r="I56" i="41"/>
  <c r="M18" i="39"/>
  <c r="V18" i="39" s="1"/>
  <c r="T20" i="41"/>
  <c r="P21" i="41"/>
  <c r="R21" i="41"/>
  <c r="S13" i="41"/>
  <c r="R20" i="41"/>
  <c r="O21" i="41"/>
  <c r="O12" i="41"/>
  <c r="T21" i="41"/>
  <c r="O20" i="41"/>
  <c r="R15" i="41"/>
  <c r="W27" i="44"/>
  <c r="X27" i="44" s="1"/>
  <c r="M20" i="44"/>
  <c r="V20" i="44" s="1"/>
  <c r="C61" i="44"/>
  <c r="I64" i="44"/>
  <c r="A11" i="12"/>
  <c r="Q27" i="41"/>
  <c r="R17" i="41"/>
  <c r="R19" i="41"/>
  <c r="O18" i="41"/>
  <c r="S18" i="41"/>
  <c r="S17" i="41"/>
  <c r="P17" i="41"/>
  <c r="M18" i="41"/>
  <c r="R18" i="41" s="1"/>
  <c r="S14" i="41"/>
  <c r="R12" i="41"/>
  <c r="X28" i="39"/>
  <c r="Y39" i="39"/>
  <c r="L57" i="39"/>
  <c r="L55" i="39"/>
  <c r="X29" i="39"/>
  <c r="W36" i="39"/>
  <c r="Y36" i="39" s="1"/>
  <c r="Y38" i="39"/>
  <c r="L27" i="39"/>
  <c r="T15" i="39"/>
  <c r="W15" i="39" s="1"/>
  <c r="L47" i="39"/>
  <c r="J72" i="39"/>
  <c r="V30" i="39"/>
  <c r="C77" i="39" s="1"/>
  <c r="J67" i="39"/>
  <c r="U30" i="39"/>
  <c r="K60" i="39"/>
  <c r="X26" i="39"/>
  <c r="T14" i="39"/>
  <c r="W14" i="39" s="1"/>
  <c r="J68" i="39"/>
  <c r="J69" i="39"/>
  <c r="T16" i="39"/>
  <c r="W16" i="39" s="1"/>
  <c r="L36" i="39"/>
  <c r="L34" i="39"/>
  <c r="X33" i="39"/>
  <c r="Y37" i="39"/>
  <c r="J79" i="39"/>
  <c r="P16" i="44"/>
  <c r="V16" i="44"/>
  <c r="V19" i="44"/>
  <c r="P19" i="44"/>
  <c r="W19" i="44"/>
  <c r="L40" i="39"/>
  <c r="O14" i="41"/>
  <c r="M53" i="44"/>
  <c r="W53" i="44" s="1"/>
  <c r="S33" i="41"/>
  <c r="M14" i="44"/>
  <c r="V14" i="44" s="1"/>
  <c r="T25" i="41"/>
  <c r="O15" i="39"/>
  <c r="P15" i="39" s="1"/>
  <c r="P20" i="39" s="1"/>
  <c r="J76" i="39" s="1"/>
  <c r="P39" i="41"/>
  <c r="L59" i="39"/>
  <c r="X25" i="39"/>
  <c r="J57" i="41"/>
  <c r="L45" i="44"/>
  <c r="M45" i="44" s="1"/>
  <c r="S39" i="41"/>
  <c r="C65" i="39"/>
  <c r="M13" i="41"/>
  <c r="R13" i="41" s="1"/>
  <c r="L56" i="39"/>
  <c r="M15" i="39"/>
  <c r="V15" i="39" s="1"/>
  <c r="S19" i="41"/>
  <c r="O13" i="41"/>
  <c r="P33" i="41"/>
  <c r="Q33" i="41" s="1"/>
  <c r="X27" i="39"/>
  <c r="L46" i="39"/>
  <c r="L39" i="39"/>
  <c r="S12" i="41"/>
  <c r="O31" i="41"/>
  <c r="M38" i="44"/>
  <c r="W38" i="44" s="1"/>
  <c r="M23" i="44"/>
  <c r="P23" i="44" s="1"/>
  <c r="S31" i="41"/>
  <c r="P36" i="41"/>
  <c r="S25" i="41"/>
  <c r="L58" i="39"/>
  <c r="S45" i="41"/>
  <c r="M34" i="41"/>
  <c r="R34" i="41" s="1"/>
  <c r="P42" i="41"/>
  <c r="Q42" i="41" s="1"/>
  <c r="L54" i="39"/>
  <c r="M26" i="44"/>
  <c r="V26" i="44" s="1"/>
  <c r="M24" i="44"/>
  <c r="M32" i="44"/>
  <c r="P32" i="44" s="1"/>
  <c r="AC32" i="44" s="1"/>
  <c r="I55" i="41"/>
  <c r="P27" i="44"/>
  <c r="P29" i="41"/>
  <c r="Q29" i="41" s="1"/>
  <c r="R43" i="41"/>
  <c r="O40" i="41"/>
  <c r="X24" i="39"/>
  <c r="W16" i="44"/>
  <c r="L38" i="39"/>
  <c r="M30" i="44"/>
  <c r="L50" i="39"/>
  <c r="S42" i="41"/>
  <c r="T13" i="39"/>
  <c r="U13" i="39" s="1"/>
  <c r="M29" i="41"/>
  <c r="R29" i="41" s="1"/>
  <c r="Q20" i="39"/>
  <c r="M13" i="39"/>
  <c r="V13" i="39" s="1"/>
  <c r="K55" i="41"/>
  <c r="S20" i="41"/>
  <c r="L29" i="44"/>
  <c r="M29" i="44" s="1"/>
  <c r="P43" i="41"/>
  <c r="K56" i="41"/>
  <c r="L53" i="39"/>
  <c r="L25" i="39"/>
  <c r="M17" i="39"/>
  <c r="V17" i="39" s="1"/>
  <c r="L44" i="39"/>
  <c r="S21" i="41"/>
  <c r="O36" i="41"/>
  <c r="S30" i="41"/>
  <c r="P21" i="44"/>
  <c r="W21" i="44"/>
  <c r="V21" i="44"/>
  <c r="L41" i="44"/>
  <c r="M41" i="44" s="1"/>
  <c r="W41" i="44" s="1"/>
  <c r="U56" i="44"/>
  <c r="V34" i="44"/>
  <c r="P34" i="44"/>
  <c r="AC34" i="44" s="1"/>
  <c r="M36" i="41"/>
  <c r="R36" i="41" s="1"/>
  <c r="S36" i="41"/>
  <c r="W34" i="44"/>
  <c r="V54" i="44"/>
  <c r="W54" i="44"/>
  <c r="P54" i="44"/>
  <c r="AC54" i="44" s="1"/>
  <c r="O11" i="41"/>
  <c r="P11" i="41"/>
  <c r="W20" i="44"/>
  <c r="X20" i="44" s="1"/>
  <c r="P20" i="44"/>
  <c r="L26" i="39"/>
  <c r="H62" i="39"/>
  <c r="V33" i="44"/>
  <c r="P33" i="44"/>
  <c r="AC33" i="44" s="1"/>
  <c r="W33" i="44"/>
  <c r="L18" i="44"/>
  <c r="M18" i="44" s="1"/>
  <c r="V46" i="44"/>
  <c r="P46" i="44"/>
  <c r="W46" i="44"/>
  <c r="J62" i="39"/>
  <c r="P16" i="41"/>
  <c r="O16" i="41"/>
  <c r="R16" i="41"/>
  <c r="S16" i="41"/>
  <c r="L48" i="44"/>
  <c r="M48" i="44" s="1"/>
  <c r="Q57" i="41"/>
  <c r="I62" i="39"/>
  <c r="C79" i="39" s="1"/>
  <c r="N57" i="41"/>
  <c r="S27" i="41"/>
  <c r="M27" i="41"/>
  <c r="R27" i="41" s="1"/>
  <c r="O37" i="41"/>
  <c r="W28" i="44"/>
  <c r="M17" i="44"/>
  <c r="P34" i="41"/>
  <c r="O34" i="41"/>
  <c r="C60" i="44"/>
  <c r="S11" i="41"/>
  <c r="R35" i="41"/>
  <c r="T35" i="41"/>
  <c r="S35" i="41"/>
  <c r="O19" i="41"/>
  <c r="P19" i="41"/>
  <c r="P35" i="41"/>
  <c r="P51" i="44"/>
  <c r="AC51" i="44" s="1"/>
  <c r="V51" i="44"/>
  <c r="O32" i="41"/>
  <c r="P32" i="41"/>
  <c r="V49" i="44"/>
  <c r="W49" i="44"/>
  <c r="M25" i="44"/>
  <c r="M11" i="41"/>
  <c r="R11" i="41" s="1"/>
  <c r="T37" i="41"/>
  <c r="O35" i="41"/>
  <c r="AD57" i="44"/>
  <c r="R25" i="41"/>
  <c r="P25" i="41"/>
  <c r="S32" i="41"/>
  <c r="O22" i="41"/>
  <c r="S22" i="41"/>
  <c r="T22" i="41"/>
  <c r="R22" i="41"/>
  <c r="P15" i="41"/>
  <c r="O15" i="41"/>
  <c r="T15" i="41"/>
  <c r="Y40" i="39"/>
  <c r="S20" i="39"/>
  <c r="G77" i="39" s="1"/>
  <c r="G80" i="39" s="1"/>
  <c r="L36" i="44"/>
  <c r="M36" i="44" s="1"/>
  <c r="W36" i="44" s="1"/>
  <c r="T42" i="41"/>
  <c r="R42" i="41"/>
  <c r="O45" i="41"/>
  <c r="R45" i="41"/>
  <c r="M39" i="44"/>
  <c r="S41" i="41"/>
  <c r="S15" i="41"/>
  <c r="O26" i="41"/>
  <c r="P26" i="41"/>
  <c r="L28" i="39"/>
  <c r="M14" i="39"/>
  <c r="V14" i="39" s="1"/>
  <c r="L35" i="44"/>
  <c r="M35" i="44" s="1"/>
  <c r="L52" i="39"/>
  <c r="Q30" i="41"/>
  <c r="M44" i="44"/>
  <c r="P22" i="41"/>
  <c r="R20" i="39"/>
  <c r="C76" i="39" s="1"/>
  <c r="M31" i="44"/>
  <c r="L15" i="44"/>
  <c r="M15" i="44" s="1"/>
  <c r="L43" i="39"/>
  <c r="T41" i="41"/>
  <c r="R41" i="41"/>
  <c r="R44" i="41"/>
  <c r="O44" i="41"/>
  <c r="Q44" i="41" s="1"/>
  <c r="S44" i="41"/>
  <c r="L37" i="44"/>
  <c r="M37" i="44" s="1"/>
  <c r="M40" i="44"/>
  <c r="M37" i="41"/>
  <c r="R37" i="41" s="1"/>
  <c r="S37" i="41"/>
  <c r="L50" i="44"/>
  <c r="M50" i="44" s="1"/>
  <c r="M22" i="44"/>
  <c r="M52" i="44"/>
  <c r="L35" i="39"/>
  <c r="R24" i="41"/>
  <c r="R38" i="41"/>
  <c r="T38" i="41"/>
  <c r="Q46" i="41"/>
  <c r="M57" i="41"/>
  <c r="M42" i="44"/>
  <c r="M26" i="41"/>
  <c r="R26" i="41" s="1"/>
  <c r="S26" i="41"/>
  <c r="V41" i="39"/>
  <c r="L30" i="39"/>
  <c r="L51" i="39"/>
  <c r="L49" i="39"/>
  <c r="R28" i="41"/>
  <c r="T28" i="41"/>
  <c r="M47" i="44"/>
  <c r="R14" i="41"/>
  <c r="S28" i="41"/>
  <c r="O43" i="41"/>
  <c r="M43" i="44"/>
  <c r="W17" i="39" l="1"/>
  <c r="U18" i="39"/>
  <c r="Y18" i="39" s="1"/>
  <c r="U46" i="41"/>
  <c r="V46" i="41" s="1"/>
  <c r="X30" i="39"/>
  <c r="Q21" i="41"/>
  <c r="U21" i="41" s="1"/>
  <c r="V21" i="41" s="1"/>
  <c r="Z28" i="44"/>
  <c r="G76" i="39"/>
  <c r="G79" i="39" s="1"/>
  <c r="V38" i="44"/>
  <c r="Z38" i="44" s="1"/>
  <c r="I57" i="41"/>
  <c r="Q41" i="41"/>
  <c r="U41" i="41" s="1"/>
  <c r="V41" i="41" s="1"/>
  <c r="Q23" i="41"/>
  <c r="U23" i="41" s="1"/>
  <c r="V23" i="41" s="1"/>
  <c r="Q31" i="41"/>
  <c r="U31" i="41" s="1"/>
  <c r="V31" i="41" s="1"/>
  <c r="Q28" i="41"/>
  <c r="Q25" i="41"/>
  <c r="U25" i="41" s="1"/>
  <c r="V25" i="41" s="1"/>
  <c r="Y41" i="39"/>
  <c r="Q40" i="41"/>
  <c r="U40" i="41" s="1"/>
  <c r="V40" i="41" s="1"/>
  <c r="Q38" i="41"/>
  <c r="U38" i="41" s="1"/>
  <c r="V38" i="41" s="1"/>
  <c r="U15" i="39"/>
  <c r="Y15" i="39" s="1"/>
  <c r="Z34" i="44"/>
  <c r="U42" i="41"/>
  <c r="V42" i="41" s="1"/>
  <c r="U14" i="39"/>
  <c r="Y14" i="39" s="1"/>
  <c r="Q22" i="41"/>
  <c r="U22" i="41" s="1"/>
  <c r="V22" i="41" s="1"/>
  <c r="U30" i="41"/>
  <c r="V30" i="41" s="1"/>
  <c r="U33" i="41"/>
  <c r="V33" i="41" s="1"/>
  <c r="AC46" i="44"/>
  <c r="Q46" i="44"/>
  <c r="R46" i="44" s="1"/>
  <c r="S46" i="44" s="1"/>
  <c r="Y46" i="44" s="1"/>
  <c r="L56" i="41"/>
  <c r="P56" i="41" s="1"/>
  <c r="Q36" i="41"/>
  <c r="U36" i="41" s="1"/>
  <c r="V36" i="41" s="1"/>
  <c r="Q39" i="41"/>
  <c r="U39" i="41" s="1"/>
  <c r="V39" i="41" s="1"/>
  <c r="Q17" i="41"/>
  <c r="U17" i="41" s="1"/>
  <c r="V17" i="41" s="1"/>
  <c r="Q20" i="41"/>
  <c r="U20" i="41" s="1"/>
  <c r="V20" i="41" s="1"/>
  <c r="Q12" i="41"/>
  <c r="U12" i="41" s="1"/>
  <c r="V12" i="41" s="1"/>
  <c r="Q14" i="41"/>
  <c r="U14" i="41" s="1"/>
  <c r="V14" i="41" s="1"/>
  <c r="Q13" i="41"/>
  <c r="Q18" i="41"/>
  <c r="T18" i="41" s="1"/>
  <c r="X21" i="44"/>
  <c r="P38" i="44"/>
  <c r="AC38" i="44" s="1"/>
  <c r="Z27" i="44"/>
  <c r="X13" i="39"/>
  <c r="P26" i="44"/>
  <c r="AC26" i="44" s="1"/>
  <c r="W26" i="44"/>
  <c r="X26" i="44" s="1"/>
  <c r="AC27" i="44"/>
  <c r="Q27" i="44"/>
  <c r="R27" i="44" s="1"/>
  <c r="S27" i="44" s="1"/>
  <c r="Y27" i="44" s="1"/>
  <c r="AC20" i="44"/>
  <c r="Q20" i="44"/>
  <c r="R20" i="44" s="1"/>
  <c r="S20" i="44" s="1"/>
  <c r="Y20" i="44" s="1"/>
  <c r="X19" i="44"/>
  <c r="AC19" i="44"/>
  <c r="Q19" i="44"/>
  <c r="R19" i="44" s="1"/>
  <c r="S19" i="44" s="1"/>
  <c r="Y19" i="44" s="1"/>
  <c r="AC23" i="44"/>
  <c r="Q23" i="44"/>
  <c r="AC21" i="44"/>
  <c r="Q21" i="44"/>
  <c r="R21" i="44" s="1"/>
  <c r="S21" i="44" s="1"/>
  <c r="Y21" i="44" s="1"/>
  <c r="AA21" i="44" s="1"/>
  <c r="X16" i="44"/>
  <c r="AC16" i="44"/>
  <c r="Q16" i="44"/>
  <c r="R16" i="44" s="1"/>
  <c r="S16" i="44" s="1"/>
  <c r="Y16" i="44" s="1"/>
  <c r="K57" i="41"/>
  <c r="U27" i="41"/>
  <c r="V27" i="41" s="1"/>
  <c r="T17" i="41"/>
  <c r="T12" i="41"/>
  <c r="T14" i="41"/>
  <c r="Q11" i="41"/>
  <c r="T11" i="41" s="1"/>
  <c r="Y17" i="39"/>
  <c r="W41" i="39"/>
  <c r="C80" i="39"/>
  <c r="W13" i="39"/>
  <c r="Y13" i="39" s="1"/>
  <c r="T20" i="39"/>
  <c r="G78" i="39" s="1"/>
  <c r="G81" i="39" s="1"/>
  <c r="U16" i="39"/>
  <c r="Y16" i="39" s="1"/>
  <c r="W29" i="44"/>
  <c r="V29" i="44"/>
  <c r="P29" i="44"/>
  <c r="AC29" i="44" s="1"/>
  <c r="H65" i="39"/>
  <c r="H74" i="39" s="1"/>
  <c r="Z54" i="44"/>
  <c r="P53" i="44"/>
  <c r="AC53" i="44" s="1"/>
  <c r="V53" i="44"/>
  <c r="R48" i="41"/>
  <c r="T55" i="41" s="1"/>
  <c r="U55" i="41" s="1"/>
  <c r="V24" i="44"/>
  <c r="P24" i="44"/>
  <c r="G65" i="39"/>
  <c r="J65" i="39" s="1"/>
  <c r="J74" i="39" s="1"/>
  <c r="V20" i="39"/>
  <c r="M77" i="39" s="1"/>
  <c r="P14" i="44"/>
  <c r="P30" i="44"/>
  <c r="AC30" i="44" s="1"/>
  <c r="W30" i="44"/>
  <c r="V30" i="44"/>
  <c r="V32" i="44"/>
  <c r="W32" i="44"/>
  <c r="U29" i="41"/>
  <c r="V29" i="41" s="1"/>
  <c r="W14" i="44"/>
  <c r="X14" i="44" s="1"/>
  <c r="W23" i="44"/>
  <c r="L55" i="41"/>
  <c r="Z19" i="44"/>
  <c r="V45" i="44"/>
  <c r="P45" i="44"/>
  <c r="AC45" i="44" s="1"/>
  <c r="W45" i="44"/>
  <c r="Q43" i="41"/>
  <c r="U43" i="41" s="1"/>
  <c r="V43" i="41" s="1"/>
  <c r="V23" i="44"/>
  <c r="Q19" i="41"/>
  <c r="Z46" i="44"/>
  <c r="A13" i="12"/>
  <c r="D18" i="12" s="1"/>
  <c r="J80" i="39"/>
  <c r="W24" i="44"/>
  <c r="Z16" i="44"/>
  <c r="P50" i="44"/>
  <c r="AC50" i="44" s="1"/>
  <c r="V50" i="44"/>
  <c r="W50" i="44"/>
  <c r="V18" i="44"/>
  <c r="P18" i="44"/>
  <c r="W18" i="44"/>
  <c r="V37" i="44"/>
  <c r="P37" i="44"/>
  <c r="AC37" i="44" s="1"/>
  <c r="W37" i="44"/>
  <c r="P48" i="44"/>
  <c r="V48" i="44"/>
  <c r="W48" i="44"/>
  <c r="P35" i="44"/>
  <c r="AC35" i="44" s="1"/>
  <c r="V35" i="44"/>
  <c r="W35" i="44"/>
  <c r="U28" i="41"/>
  <c r="V28" i="41" s="1"/>
  <c r="P42" i="44"/>
  <c r="AC42" i="44" s="1"/>
  <c r="V42" i="44"/>
  <c r="I62" i="44"/>
  <c r="I61" i="44"/>
  <c r="X33" i="44"/>
  <c r="Z33" i="44"/>
  <c r="X54" i="44"/>
  <c r="U24" i="41"/>
  <c r="V24" i="41" s="1"/>
  <c r="X46" i="44"/>
  <c r="P52" i="44"/>
  <c r="AC52" i="44" s="1"/>
  <c r="V52" i="44"/>
  <c r="W52" i="44"/>
  <c r="Q26" i="41"/>
  <c r="U26" i="41" s="1"/>
  <c r="V26" i="41" s="1"/>
  <c r="Q45" i="41"/>
  <c r="U45" i="41" s="1"/>
  <c r="V45" i="41" s="1"/>
  <c r="X28" i="44"/>
  <c r="AB28" i="44" s="1"/>
  <c r="AE28" i="44" s="1"/>
  <c r="Q35" i="41"/>
  <c r="U35" i="41" s="1"/>
  <c r="V35" i="41" s="1"/>
  <c r="P40" i="44"/>
  <c r="AC40" i="44" s="1"/>
  <c r="W40" i="44"/>
  <c r="V40" i="44"/>
  <c r="L62" i="39"/>
  <c r="P44" i="44"/>
  <c r="AC44" i="44" s="1"/>
  <c r="V44" i="44"/>
  <c r="Q16" i="41"/>
  <c r="V47" i="44"/>
  <c r="P47" i="44"/>
  <c r="W47" i="44"/>
  <c r="W44" i="44"/>
  <c r="Q32" i="41"/>
  <c r="U32" i="41" s="1"/>
  <c r="V32" i="41" s="1"/>
  <c r="Q37" i="41"/>
  <c r="U37" i="41" s="1"/>
  <c r="V37" i="41" s="1"/>
  <c r="W42" i="44"/>
  <c r="Z20" i="44"/>
  <c r="X49" i="44"/>
  <c r="Z49" i="44"/>
  <c r="S48" i="41"/>
  <c r="T56" i="41" s="1"/>
  <c r="V17" i="44"/>
  <c r="P17" i="44"/>
  <c r="W17" i="44"/>
  <c r="P41" i="44"/>
  <c r="AC41" i="44" s="1"/>
  <c r="V41" i="44"/>
  <c r="V43" i="44"/>
  <c r="P43" i="44"/>
  <c r="AC43" i="44" s="1"/>
  <c r="W43" i="44"/>
  <c r="P22" i="44"/>
  <c r="V22" i="44"/>
  <c r="P48" i="41"/>
  <c r="X34" i="44"/>
  <c r="P25" i="44"/>
  <c r="V25" i="44"/>
  <c r="W25" i="44"/>
  <c r="Z51" i="44"/>
  <c r="X51" i="44"/>
  <c r="O48" i="41"/>
  <c r="V15" i="44"/>
  <c r="W15" i="44"/>
  <c r="P15" i="44"/>
  <c r="U44" i="41"/>
  <c r="V44" i="41" s="1"/>
  <c r="W31" i="44"/>
  <c r="P31" i="44"/>
  <c r="AC31" i="44" s="1"/>
  <c r="V31" i="44"/>
  <c r="P39" i="44"/>
  <c r="AC39" i="44" s="1"/>
  <c r="V39" i="44"/>
  <c r="W39" i="44"/>
  <c r="P36" i="44"/>
  <c r="AC36" i="44" s="1"/>
  <c r="V36" i="44"/>
  <c r="Q15" i="41"/>
  <c r="U15" i="41" s="1"/>
  <c r="V15" i="41" s="1"/>
  <c r="Q34" i="41"/>
  <c r="U34" i="41" s="1"/>
  <c r="V34" i="41" s="1"/>
  <c r="W22" i="44"/>
  <c r="Z21" i="44"/>
  <c r="X38" i="44" l="1"/>
  <c r="AB38" i="44" s="1"/>
  <c r="AE38" i="44" s="1"/>
  <c r="S23" i="44"/>
  <c r="Y23" i="44" s="1"/>
  <c r="R23" i="44"/>
  <c r="AB34" i="44"/>
  <c r="AE34" i="44" s="1"/>
  <c r="Z30" i="44"/>
  <c r="AB51" i="44"/>
  <c r="AE51" i="44" s="1"/>
  <c r="AB54" i="44"/>
  <c r="AE54" i="44" s="1"/>
  <c r="AA46" i="44"/>
  <c r="AC48" i="44"/>
  <c r="Q48" i="44"/>
  <c r="R48" i="44" s="1"/>
  <c r="S48" i="44" s="1"/>
  <c r="Y48" i="44" s="1"/>
  <c r="AC47" i="44"/>
  <c r="Q47" i="44"/>
  <c r="R47" i="44" s="1"/>
  <c r="S47" i="44" s="1"/>
  <c r="Y47" i="44" s="1"/>
  <c r="U18" i="41"/>
  <c r="V18" i="41" s="1"/>
  <c r="AB46" i="44"/>
  <c r="AE46" i="44" s="1"/>
  <c r="AB27" i="44"/>
  <c r="AE27" i="44" s="1"/>
  <c r="Z23" i="44"/>
  <c r="W20" i="39"/>
  <c r="V78" i="39" s="1"/>
  <c r="W78" i="39" s="1"/>
  <c r="Y78" i="39" s="1"/>
  <c r="I65" i="39"/>
  <c r="I74" i="39" s="1"/>
  <c r="G74" i="39"/>
  <c r="C81" i="39" s="1"/>
  <c r="M78" i="39"/>
  <c r="M79" i="39" s="1"/>
  <c r="Z26" i="44"/>
  <c r="Q26" i="44"/>
  <c r="R26" i="44" s="1"/>
  <c r="S26" i="44" s="1"/>
  <c r="Y26" i="44" s="1"/>
  <c r="AA27" i="44"/>
  <c r="AB20" i="44"/>
  <c r="AE20" i="44" s="1"/>
  <c r="AA20" i="44"/>
  <c r="AB19" i="44"/>
  <c r="AE19" i="44" s="1"/>
  <c r="AA19" i="44"/>
  <c r="AB21" i="44"/>
  <c r="AE21" i="44" s="1"/>
  <c r="AC25" i="44"/>
  <c r="Q25" i="44"/>
  <c r="R25" i="44" s="1"/>
  <c r="S25" i="44" s="1"/>
  <c r="Y25" i="44" s="1"/>
  <c r="AC24" i="44"/>
  <c r="Q24" i="44"/>
  <c r="R24" i="44" s="1"/>
  <c r="S24" i="44" s="1"/>
  <c r="Y24" i="44" s="1"/>
  <c r="AC22" i="44"/>
  <c r="Q22" i="44"/>
  <c r="X23" i="44"/>
  <c r="AA23" i="44" s="1"/>
  <c r="Z14" i="44"/>
  <c r="AC18" i="44"/>
  <c r="Q18" i="44"/>
  <c r="R18" i="44" s="1"/>
  <c r="S18" i="44" s="1"/>
  <c r="Y18" i="44" s="1"/>
  <c r="AC17" i="44"/>
  <c r="Q17" i="44"/>
  <c r="R17" i="44" s="1"/>
  <c r="S17" i="44" s="1"/>
  <c r="Y17" i="44" s="1"/>
  <c r="AB16" i="44"/>
  <c r="AE16" i="44" s="1"/>
  <c r="AA16" i="44"/>
  <c r="AC15" i="44"/>
  <c r="Q15" i="44"/>
  <c r="AC14" i="44"/>
  <c r="Q14" i="44"/>
  <c r="N48" i="41"/>
  <c r="U19" i="41"/>
  <c r="V19" i="41" s="1"/>
  <c r="T19" i="41"/>
  <c r="U16" i="41"/>
  <c r="V16" i="41" s="1"/>
  <c r="T16" i="41"/>
  <c r="U13" i="41"/>
  <c r="V13" i="41" s="1"/>
  <c r="T13" i="41"/>
  <c r="J77" i="39"/>
  <c r="U20" i="39"/>
  <c r="V76" i="39" s="1"/>
  <c r="F12" i="12"/>
  <c r="V55" i="41"/>
  <c r="P55" i="41"/>
  <c r="P57" i="41" s="1"/>
  <c r="L57" i="41"/>
  <c r="X30" i="44"/>
  <c r="AB30" i="44" s="1"/>
  <c r="AE30" i="44" s="1"/>
  <c r="X45" i="44"/>
  <c r="Z45" i="44"/>
  <c r="Y20" i="39"/>
  <c r="X53" i="44"/>
  <c r="Z53" i="44"/>
  <c r="M80" i="39"/>
  <c r="M81" i="39" s="1"/>
  <c r="J81" i="39"/>
  <c r="X24" i="44"/>
  <c r="Z24" i="44"/>
  <c r="X29" i="44"/>
  <c r="Z29" i="44"/>
  <c r="V56" i="44"/>
  <c r="C62" i="44" s="1"/>
  <c r="V77" i="39"/>
  <c r="Z32" i="44"/>
  <c r="X32" i="44"/>
  <c r="W56" i="44"/>
  <c r="W57" i="44" s="1"/>
  <c r="U11" i="41"/>
  <c r="Q48" i="41"/>
  <c r="Z47" i="44"/>
  <c r="X47" i="44"/>
  <c r="Z25" i="44"/>
  <c r="X25" i="44"/>
  <c r="Z52" i="44"/>
  <c r="X52" i="44"/>
  <c r="Z40" i="44"/>
  <c r="X40" i="44"/>
  <c r="X22" i="44"/>
  <c r="Z22" i="44"/>
  <c r="I13" i="12"/>
  <c r="Z37" i="44"/>
  <c r="X37" i="44"/>
  <c r="Z39" i="44"/>
  <c r="X39" i="44"/>
  <c r="Z17" i="44"/>
  <c r="X17" i="44"/>
  <c r="Z44" i="44"/>
  <c r="X44" i="44"/>
  <c r="Z18" i="44"/>
  <c r="X18" i="44"/>
  <c r="Z43" i="44"/>
  <c r="X43" i="44"/>
  <c r="Z42" i="44"/>
  <c r="X42" i="44"/>
  <c r="AB33" i="44"/>
  <c r="AE33" i="44" s="1"/>
  <c r="Z50" i="44"/>
  <c r="X50" i="44"/>
  <c r="Z36" i="44"/>
  <c r="X36" i="44"/>
  <c r="Z15" i="44"/>
  <c r="X15" i="44"/>
  <c r="I12" i="12"/>
  <c r="U56" i="41"/>
  <c r="V56" i="41" s="1"/>
  <c r="Z48" i="44"/>
  <c r="X48" i="44"/>
  <c r="Z31" i="44"/>
  <c r="X31" i="44"/>
  <c r="Z41" i="44"/>
  <c r="X41" i="44"/>
  <c r="AB49" i="44"/>
  <c r="AE49" i="44" s="1"/>
  <c r="Z35" i="44"/>
  <c r="X35" i="44"/>
  <c r="S14" i="44" l="1"/>
  <c r="Y14" i="44" s="1"/>
  <c r="R14" i="44"/>
  <c r="S22" i="44"/>
  <c r="Y22" i="44" s="1"/>
  <c r="AB22" i="44" s="1"/>
  <c r="AE22" i="44" s="1"/>
  <c r="R22" i="44"/>
  <c r="S15" i="44"/>
  <c r="Y15" i="44" s="1"/>
  <c r="Y56" i="44" s="1"/>
  <c r="O68" i="44" s="1"/>
  <c r="R15" i="44"/>
  <c r="AB37" i="44"/>
  <c r="AE37" i="44" s="1"/>
  <c r="AB36" i="44"/>
  <c r="AE36" i="44" s="1"/>
  <c r="AB35" i="44"/>
  <c r="AE35" i="44" s="1"/>
  <c r="AB45" i="44"/>
  <c r="AE45" i="44" s="1"/>
  <c r="AB41" i="44"/>
  <c r="AE41" i="44" s="1"/>
  <c r="AA48" i="44"/>
  <c r="AB47" i="44"/>
  <c r="AE47" i="44" s="1"/>
  <c r="AA47" i="44"/>
  <c r="P81" i="39"/>
  <c r="W77" i="39"/>
  <c r="Y77" i="39" s="1"/>
  <c r="AB53" i="44"/>
  <c r="AE53" i="44" s="1"/>
  <c r="AB31" i="44"/>
  <c r="AE31" i="44" s="1"/>
  <c r="AB39" i="44"/>
  <c r="AE39" i="44" s="1"/>
  <c r="AB40" i="44"/>
  <c r="AE40" i="44" s="1"/>
  <c r="AB26" i="44"/>
  <c r="AE26" i="44" s="1"/>
  <c r="F13" i="12"/>
  <c r="AA26" i="44"/>
  <c r="AA25" i="44"/>
  <c r="AB23" i="44"/>
  <c r="AE23" i="44" s="1"/>
  <c r="AA24" i="44"/>
  <c r="AA22" i="44"/>
  <c r="AC57" i="44"/>
  <c r="I60" i="44" s="1"/>
  <c r="AA18" i="44"/>
  <c r="AA17" i="44"/>
  <c r="AB15" i="44"/>
  <c r="AE15" i="44" s="1"/>
  <c r="AA15" i="44"/>
  <c r="AA14" i="44"/>
  <c r="AB14" i="44"/>
  <c r="AE14" i="44" s="1"/>
  <c r="T54" i="41"/>
  <c r="U54" i="41" s="1"/>
  <c r="V54" i="41" s="1"/>
  <c r="AB50" i="44"/>
  <c r="AE50" i="44" s="1"/>
  <c r="AB18" i="44"/>
  <c r="AE18" i="44" s="1"/>
  <c r="AB29" i="44"/>
  <c r="AE29" i="44" s="1"/>
  <c r="V57" i="44"/>
  <c r="AB24" i="44"/>
  <c r="AE24" i="44" s="1"/>
  <c r="AB48" i="44"/>
  <c r="AE48" i="44" s="1"/>
  <c r="AB44" i="44"/>
  <c r="AE44" i="44" s="1"/>
  <c r="AB32" i="44"/>
  <c r="AE32" i="44" s="1"/>
  <c r="Z56" i="44"/>
  <c r="C68" i="44" s="1"/>
  <c r="AB43" i="44"/>
  <c r="AE43" i="44" s="1"/>
  <c r="AB17" i="44"/>
  <c r="AE17" i="44" s="1"/>
  <c r="AB52" i="44"/>
  <c r="AE52" i="44" s="1"/>
  <c r="D13" i="12"/>
  <c r="V81" i="39"/>
  <c r="L13" i="12" s="1"/>
  <c r="W76" i="39"/>
  <c r="Q81" i="39"/>
  <c r="V11" i="41"/>
  <c r="V48" i="41" s="1"/>
  <c r="U48" i="41"/>
  <c r="X56" i="44"/>
  <c r="AB25" i="44"/>
  <c r="AE25" i="44" s="1"/>
  <c r="AB42" i="44"/>
  <c r="AE42" i="44" s="1"/>
  <c r="W81" i="39" l="1"/>
  <c r="R81" i="39"/>
  <c r="C67" i="44"/>
  <c r="Z63" i="44"/>
  <c r="F11" i="12" s="1"/>
  <c r="F14" i="12" s="1"/>
  <c r="D20" i="12" s="1"/>
  <c r="D22" i="12" s="1"/>
  <c r="O67" i="44"/>
  <c r="C66" i="44"/>
  <c r="O61" i="44"/>
  <c r="O63" i="44" s="1"/>
  <c r="O64" i="44" s="1"/>
  <c r="C65" i="44"/>
  <c r="O60" i="44"/>
  <c r="Z64" i="44"/>
  <c r="I11" i="12" s="1"/>
  <c r="I14" i="12" s="1"/>
  <c r="I21" i="12" s="1"/>
  <c r="Z57" i="44"/>
  <c r="T57" i="41"/>
  <c r="U57" i="41" s="1"/>
  <c r="V57" i="41" s="1"/>
  <c r="M12" i="12" s="1"/>
  <c r="D12" i="12"/>
  <c r="C64" i="44"/>
  <c r="Z62" i="44"/>
  <c r="Y76" i="39"/>
  <c r="Y81" i="39" s="1"/>
  <c r="M13" i="12" s="1"/>
  <c r="AB56" i="44"/>
  <c r="AE56" i="44"/>
  <c r="AA63" i="44" l="1"/>
  <c r="AB63" i="44" s="1"/>
  <c r="O66" i="44"/>
  <c r="O62" i="44"/>
  <c r="O65" i="44"/>
  <c r="AA64" i="44"/>
  <c r="AB64" i="44" s="1"/>
  <c r="L12" i="12"/>
  <c r="I65" i="44"/>
  <c r="I66" i="44"/>
  <c r="D11" i="12"/>
  <c r="D14" i="12" s="1"/>
  <c r="AA62" i="44"/>
  <c r="Z67" i="44"/>
  <c r="L11" i="12" s="1"/>
  <c r="AA67" i="44" l="1"/>
  <c r="I67" i="44"/>
  <c r="L14" i="12"/>
  <c r="D15" i="12" s="1"/>
  <c r="AB62" i="44"/>
  <c r="AB67" i="44" s="1"/>
  <c r="M11" i="12" s="1"/>
  <c r="M14" i="12" s="1"/>
  <c r="I15" i="12" l="1"/>
  <c r="F15" i="12"/>
  <c r="L18" i="12"/>
  <c r="L19" i="12" s="1"/>
  <c r="L20" i="12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<sst xmlns="http://schemas.openxmlformats.org/spreadsheetml/2006/main" count="515" uniqueCount="387">
  <si>
    <t>$/CM TRUCKING</t>
  </si>
  <si>
    <t/>
  </si>
  <si>
    <t>FSTfctr</t>
  </si>
  <si>
    <t>$/CM CONCRETE</t>
  </si>
  <si>
    <t>PSTfct</t>
  </si>
  <si>
    <t>LABOR/HR</t>
  </si>
  <si>
    <t>%DISCOUNT</t>
  </si>
  <si>
    <t>Mod$/m</t>
  </si>
  <si>
    <t>MARGIN FACTOR</t>
  </si>
  <si>
    <t>MH F&amp;C $</t>
  </si>
  <si>
    <t>DSC/TX FCTR</t>
  </si>
  <si>
    <t>METRIC 1/ IMPER 0</t>
  </si>
  <si>
    <t>CB F&amp;C $</t>
  </si>
  <si>
    <t>FR+CVR m</t>
  </si>
  <si>
    <t>Item</t>
  </si>
  <si>
    <t>MH Description</t>
  </si>
  <si>
    <t>Top El.</t>
  </si>
  <si>
    <t>Low Inv</t>
  </si>
  <si>
    <t>Hi Inv</t>
  </si>
  <si>
    <t>Pipe Out</t>
  </si>
  <si>
    <t>ST1/L2</t>
  </si>
  <si>
    <t>Add$Mtrls</t>
  </si>
  <si>
    <t>Add$L&amp;E</t>
  </si>
  <si>
    <t>Depth m</t>
  </si>
  <si>
    <t>Drop m</t>
  </si>
  <si>
    <t>MHdia-mm</t>
  </si>
  <si>
    <t>PCovrall</t>
  </si>
  <si>
    <t>$Precast</t>
  </si>
  <si>
    <t>$Conc</t>
  </si>
  <si>
    <t>$Fr&amp;Cov</t>
  </si>
  <si>
    <t>$Matrl</t>
  </si>
  <si>
    <t>$L&amp;E</t>
  </si>
  <si>
    <t>$Trkng</t>
  </si>
  <si>
    <t>$/VM</t>
  </si>
  <si>
    <t>TOTAL $</t>
  </si>
  <si>
    <t>SALE$</t>
  </si>
  <si>
    <t>MANHOLE TOTALS</t>
  </si>
  <si>
    <t>CATCHBASINS</t>
  </si>
  <si>
    <t>ITEMS</t>
  </si>
  <si>
    <t xml:space="preserve"> QNTY</t>
  </si>
  <si>
    <t>WALL"</t>
  </si>
  <si>
    <t>DPTHm</t>
  </si>
  <si>
    <t>$GT ea</t>
  </si>
  <si>
    <t>$/ADDMAT</t>
  </si>
  <si>
    <t>$/AD L&amp;E</t>
  </si>
  <si>
    <t>$PRECST</t>
  </si>
  <si>
    <t>$CONC</t>
  </si>
  <si>
    <t>$FR&amp;CV</t>
  </si>
  <si>
    <t>$MATRL</t>
  </si>
  <si>
    <t>$LAB&amp;EQ</t>
  </si>
  <si>
    <t>$TRKNG</t>
  </si>
  <si>
    <t>$ EACH</t>
  </si>
  <si>
    <t>$ SALE/</t>
  </si>
  <si>
    <t>TOTALS</t>
  </si>
  <si>
    <t>$COST</t>
  </si>
  <si>
    <t>$MARGIN</t>
  </si>
  <si>
    <t>$SALE</t>
  </si>
  <si>
    <t>SINGLE C.B.'S</t>
  </si>
  <si>
    <t>DOUBLE C.B.'S</t>
  </si>
  <si>
    <t>DITCH INLT CB'S</t>
  </si>
  <si>
    <t>TRUCKING</t>
  </si>
  <si>
    <t>CATCHBASIN TOTALS</t>
  </si>
  <si>
    <t>BID PRICE</t>
  </si>
  <si>
    <t>LABOR SCB</t>
  </si>
  <si>
    <t>LABOR DCB</t>
  </si>
  <si>
    <t>LABOR DICB</t>
  </si>
  <si>
    <t>LOOKUP TABLE FOR MANHOLE SIZE</t>
  </si>
  <si>
    <t>PipeIDstr</t>
  </si>
  <si>
    <t xml:space="preserve"> PipeIDang</t>
  </si>
  <si>
    <t>MH dia</t>
  </si>
  <si>
    <t xml:space="preserve">  MHdia mm</t>
  </si>
  <si>
    <t xml:space="preserve">LOOKUP TABLE </t>
  </si>
  <si>
    <t>NOTE: Paste copy in boxed area of MH Pricer</t>
  </si>
  <si>
    <t>to this boxed area. USING "PASTE SPECIAL"</t>
  </si>
  <si>
    <t>AND OPTING FOR TEXT ONLY.</t>
  </si>
  <si>
    <t>Std.CB 4.5"</t>
  </si>
  <si>
    <t>Std.CB 6.0"</t>
  </si>
  <si>
    <t>Dinlet 24x24</t>
  </si>
  <si>
    <t>Dinlet 24x48</t>
  </si>
  <si>
    <t>DCB</t>
  </si>
  <si>
    <t>Min Trench Width m</t>
  </si>
  <si>
    <t xml:space="preserve">  $/ImpT Stone</t>
  </si>
  <si>
    <t xml:space="preserve">   100PVC$/m</t>
  </si>
  <si>
    <t xml:space="preserve">    %Efficiency</t>
  </si>
  <si>
    <t xml:space="preserve">ProvTax </t>
  </si>
  <si>
    <t>Pipe Cover  m</t>
  </si>
  <si>
    <t xml:space="preserve">    $/Mt Stone</t>
  </si>
  <si>
    <t xml:space="preserve">   150PVC$/m</t>
  </si>
  <si>
    <t xml:space="preserve">    M/Imp (1/0)</t>
  </si>
  <si>
    <t xml:space="preserve">FedTax  </t>
  </si>
  <si>
    <t xml:space="preserve">M-Fin Grade </t>
  </si>
  <si>
    <t xml:space="preserve">  $/ImpTn Gran</t>
  </si>
  <si>
    <t xml:space="preserve">   200PVC$/m</t>
  </si>
  <si>
    <t xml:space="preserve">    Margin Fctr</t>
  </si>
  <si>
    <t xml:space="preserve">CP Fctr </t>
  </si>
  <si>
    <t>Daycost $/Day</t>
  </si>
  <si>
    <t xml:space="preserve">     $/Mt Gran</t>
  </si>
  <si>
    <t xml:space="preserve">   250PVC$/m</t>
  </si>
  <si>
    <t xml:space="preserve">    OpenCutFctr</t>
  </si>
  <si>
    <t xml:space="preserve">PC Fctr </t>
  </si>
  <si>
    <t xml:space="preserve">$Xtra/Day  </t>
  </si>
  <si>
    <t xml:space="preserve">  $Trucking/cm</t>
  </si>
  <si>
    <t xml:space="preserve">   300PVC$/m</t>
  </si>
  <si>
    <t xml:space="preserve">    DualTrSep m</t>
  </si>
  <si>
    <t>Prdtn M/Day</t>
  </si>
  <si>
    <t xml:space="preserve">   375PVC$/m</t>
  </si>
  <si>
    <t xml:space="preserve">   ConcPipe%</t>
  </si>
  <si>
    <t xml:space="preserve">   450PVC$/m</t>
  </si>
  <si>
    <t xml:space="preserve">   TrenchClear m</t>
  </si>
  <si>
    <t xml:space="preserve">      RUN</t>
  </si>
  <si>
    <t>Length</t>
  </si>
  <si>
    <t>PIPE</t>
  </si>
  <si>
    <t>TYPE</t>
  </si>
  <si>
    <t>V/||</t>
  </si>
  <si>
    <t>Depth</t>
  </si>
  <si>
    <t>Add</t>
  </si>
  <si>
    <t>OD</t>
  </si>
  <si>
    <t>Ground</t>
  </si>
  <si>
    <t>Trench</t>
  </si>
  <si>
    <t>%Prdtn</t>
  </si>
  <si>
    <t>DAY</t>
  </si>
  <si>
    <t>EXCAV</t>
  </si>
  <si>
    <t>CALC</t>
  </si>
  <si>
    <t>PROD</t>
  </si>
  <si>
    <t>LAB&amp;EQ</t>
  </si>
  <si>
    <t>TOTAL</t>
  </si>
  <si>
    <t>COST</t>
  </si>
  <si>
    <t>Excav</t>
  </si>
  <si>
    <t xml:space="preserve">  #</t>
  </si>
  <si>
    <t>mm</t>
  </si>
  <si>
    <t>Class</t>
  </si>
  <si>
    <t>O/OO</t>
  </si>
  <si>
    <t>m</t>
  </si>
  <si>
    <t>Matrls $</t>
  </si>
  <si>
    <t>L&amp;E $</t>
  </si>
  <si>
    <t>Cover m</t>
  </si>
  <si>
    <t>Effcnt</t>
  </si>
  <si>
    <t>cm/m</t>
  </si>
  <si>
    <t>m/day</t>
  </si>
  <si>
    <t>$/m</t>
  </si>
  <si>
    <t>$ PIPE</t>
  </si>
  <si>
    <t>Crshd St</t>
  </si>
  <si>
    <t>Granular</t>
  </si>
  <si>
    <t>Materials</t>
  </si>
  <si>
    <t>Lab&amp;Eq</t>
  </si>
  <si>
    <t>tcm</t>
  </si>
  <si>
    <t>Lngth m</t>
  </si>
  <si>
    <t>TOTAL COSTS</t>
  </si>
  <si>
    <t>TOTAL QUANTITIES</t>
  </si>
  <si>
    <t>Total cm Excavation</t>
  </si>
  <si>
    <t>Avg L&amp;E $/cm</t>
  </si>
  <si>
    <t>MARGIN</t>
  </si>
  <si>
    <t>TOTAL SALE $</t>
  </si>
  <si>
    <t>Total Meters Trench</t>
  </si>
  <si>
    <t>Days @ AvDCst</t>
  </si>
  <si>
    <t>$Crushed Stone (cst)</t>
  </si>
  <si>
    <t>Total Feet Trench</t>
  </si>
  <si>
    <t>Avg DR cm/day</t>
  </si>
  <si>
    <t>MATERIALS:</t>
  </si>
  <si>
    <t>$ Additional Materials</t>
  </si>
  <si>
    <t>Total Meters Pipe</t>
  </si>
  <si>
    <t>Trench m/day</t>
  </si>
  <si>
    <t>LAB&amp;EQUIP:</t>
  </si>
  <si>
    <t>$ Total Materials</t>
  </si>
  <si>
    <t>Total Feet Pipe</t>
  </si>
  <si>
    <t>Trench ft/day</t>
  </si>
  <si>
    <t>TRUCKING:</t>
  </si>
  <si>
    <t>$ Labour @ 70%</t>
  </si>
  <si>
    <t>PerCent Materials</t>
  </si>
  <si>
    <t>Pipe m/day</t>
  </si>
  <si>
    <t>$ Equipment  30%</t>
  </si>
  <si>
    <t>PerCent Lab &amp; Equ</t>
  </si>
  <si>
    <t>Pipe ft/day</t>
  </si>
  <si>
    <t>$ Total L &amp; E</t>
  </si>
  <si>
    <t>PerCent Trucking</t>
  </si>
  <si>
    <t>$ m pipe/day</t>
  </si>
  <si>
    <t xml:space="preserve">BID  PRICE </t>
  </si>
  <si>
    <t>$ Trucking</t>
  </si>
  <si>
    <t>$ m trench/day</t>
  </si>
  <si>
    <t>C.P.</t>
  </si>
  <si>
    <t>$/M</t>
  </si>
  <si>
    <t>LKUP</t>
  </si>
  <si>
    <t>LOOKUP TABLE FOR DIG RATES</t>
  </si>
  <si>
    <t>Open Cut  Depth m</t>
  </si>
  <si>
    <t>LU Table  DigRate cm/min</t>
  </si>
  <si>
    <t>Str Cut  Depth m</t>
  </si>
  <si>
    <t>LU Table DigRate cm/min</t>
  </si>
  <si>
    <t>LOOKUP TABLE FOR PVC PIPES</t>
  </si>
  <si>
    <t>Non CP</t>
  </si>
  <si>
    <t>DR28</t>
  </si>
  <si>
    <t xml:space="preserve">        Min Trench W</t>
  </si>
  <si>
    <t xml:space="preserve">          $/ImpTonScrng</t>
  </si>
  <si>
    <t>100 C900</t>
  </si>
  <si>
    <t xml:space="preserve">   ProvTax</t>
  </si>
  <si>
    <t xml:space="preserve">            Pipe Cover</t>
  </si>
  <si>
    <t xml:space="preserve">              $/MtneStone</t>
  </si>
  <si>
    <t>150 C900</t>
  </si>
  <si>
    <t>Precast %</t>
  </si>
  <si>
    <t xml:space="preserve">    FedTax</t>
  </si>
  <si>
    <t xml:space="preserve">         M-Fin Grade</t>
  </si>
  <si>
    <t xml:space="preserve">          $/ImpTon Gran</t>
  </si>
  <si>
    <t>200 C900</t>
  </si>
  <si>
    <t>CP Factor</t>
  </si>
  <si>
    <t xml:space="preserve">       Daycost$/Day</t>
  </si>
  <si>
    <t xml:space="preserve">               $/MtneGran</t>
  </si>
  <si>
    <t>250 C900</t>
  </si>
  <si>
    <t xml:space="preserve">    OpnCtFctr</t>
  </si>
  <si>
    <t xml:space="preserve">              $Xtra/Day</t>
  </si>
  <si>
    <t xml:space="preserve">           $Trucking/cm </t>
  </si>
  <si>
    <t>300 C900</t>
  </si>
  <si>
    <t xml:space="preserve">    DualTrSep M</t>
  </si>
  <si>
    <t>$Moduloc/m</t>
  </si>
  <si>
    <t>* Trench Width dual 1/2 actual</t>
  </si>
  <si>
    <t xml:space="preserve">       Prdctn M/Day</t>
  </si>
  <si>
    <t xml:space="preserve">         PeelRegionCvr</t>
  </si>
  <si>
    <t>Conc$/CM</t>
  </si>
  <si>
    <t xml:space="preserve">    TrenClear M</t>
  </si>
  <si>
    <t>ITM</t>
  </si>
  <si>
    <t xml:space="preserve">   WATERMAIN</t>
  </si>
  <si>
    <t>LENGTH</t>
  </si>
  <si>
    <t>PIPE D</t>
  </si>
  <si>
    <t>PIPE$/m</t>
  </si>
  <si>
    <t>OC/SC</t>
  </si>
  <si>
    <t>ADDTNL</t>
  </si>
  <si>
    <t>AVERAGE</t>
  </si>
  <si>
    <t>GRNLR</t>
  </si>
  <si>
    <t>$/DAY</t>
  </si>
  <si>
    <t>LAB&amp;EQP</t>
  </si>
  <si>
    <t>TRENCH*</t>
  </si>
  <si>
    <t>UNITCOST</t>
  </si>
  <si>
    <t xml:space="preserve"> #</t>
  </si>
  <si>
    <t xml:space="preserve">  SIZE &amp; TYPE</t>
  </si>
  <si>
    <t xml:space="preserve">    mm</t>
  </si>
  <si>
    <t>cw FedX</t>
  </si>
  <si>
    <t>S/D</t>
  </si>
  <si>
    <t>MATRL $</t>
  </si>
  <si>
    <t>m/DAY</t>
  </si>
  <si>
    <t>COVER m</t>
  </si>
  <si>
    <t>WIDTH m</t>
  </si>
  <si>
    <t>EXC cm</t>
  </si>
  <si>
    <t>TRNCH m</t>
  </si>
  <si>
    <t>$ SCRNGS</t>
  </si>
  <si>
    <t>$ GRANLR</t>
  </si>
  <si>
    <t>$ MATRL</t>
  </si>
  <si>
    <t>Pipe Totals =</t>
  </si>
  <si>
    <t>ITM#</t>
  </si>
  <si>
    <t xml:space="preserve">    SPECIALS</t>
  </si>
  <si>
    <t>QNTY</t>
  </si>
  <si>
    <t>TB?y/n</t>
  </si>
  <si>
    <t>$/ANODE</t>
  </si>
  <si>
    <t>$LABech</t>
  </si>
  <si>
    <t>$ LABOR</t>
  </si>
  <si>
    <t>$ FTNGS</t>
  </si>
  <si>
    <t>$ CONC</t>
  </si>
  <si>
    <t>ITEM#</t>
  </si>
  <si>
    <t>VALVES</t>
  </si>
  <si>
    <t>$/VALVE</t>
  </si>
  <si>
    <t>$/BOX</t>
  </si>
  <si>
    <t>$LAB/V</t>
  </si>
  <si>
    <t>TTL CST</t>
  </si>
  <si>
    <t>V</t>
  </si>
  <si>
    <t>1</t>
  </si>
  <si>
    <t>50 mm</t>
  </si>
  <si>
    <t>A</t>
  </si>
  <si>
    <t>2</t>
  </si>
  <si>
    <t>100mm</t>
  </si>
  <si>
    <t>L</t>
  </si>
  <si>
    <t>3</t>
  </si>
  <si>
    <t>150mm</t>
  </si>
  <si>
    <t>4</t>
  </si>
  <si>
    <t>200mm</t>
  </si>
  <si>
    <t>E</t>
  </si>
  <si>
    <t>5</t>
  </si>
  <si>
    <t>250mm</t>
  </si>
  <si>
    <t>S</t>
  </si>
  <si>
    <t>6</t>
  </si>
  <si>
    <t>300mm</t>
  </si>
  <si>
    <t xml:space="preserve">  Totals</t>
  </si>
  <si>
    <t>HYDRANTS</t>
  </si>
  <si>
    <t>$/HYDR.</t>
  </si>
  <si>
    <t>$/LAB ea</t>
  </si>
  <si>
    <t>$CONC TB</t>
  </si>
  <si>
    <t>$/X MATRL</t>
  </si>
  <si>
    <t>$/SET</t>
  </si>
  <si>
    <t>R</t>
  </si>
  <si>
    <t>RISERS</t>
  </si>
  <si>
    <t>$/BEND</t>
  </si>
  <si>
    <t>$/FL-PE</t>
  </si>
  <si>
    <t>$/X MTRL</t>
  </si>
  <si>
    <t>$/RODDING</t>
  </si>
  <si>
    <t>$/L&amp;E</t>
  </si>
  <si>
    <t>I</t>
  </si>
  <si>
    <t>Specials Totals =</t>
  </si>
  <si>
    <t>TTL RISER</t>
  </si>
  <si>
    <t>MISCELLANEOUS</t>
  </si>
  <si>
    <t>TAXFCT</t>
  </si>
  <si>
    <t>$/MATRL</t>
  </si>
  <si>
    <t>TOTAL$</t>
  </si>
  <si>
    <t>TRACER</t>
  </si>
  <si>
    <t>Totals Miscellaneous =</t>
  </si>
  <si>
    <t>ITEM</t>
  </si>
  <si>
    <t>$ COST</t>
  </si>
  <si>
    <t>SALE $</t>
  </si>
  <si>
    <t>$ Pipe</t>
  </si>
  <si>
    <t xml:space="preserve">    $Concrete </t>
  </si>
  <si>
    <t>CMExca</t>
  </si>
  <si>
    <t>MATERIAL</t>
  </si>
  <si>
    <t>$ Valves &amp; Boxes</t>
  </si>
  <si>
    <t xml:space="preserve">  $Crush Stone</t>
  </si>
  <si>
    <t xml:space="preserve">Days   </t>
  </si>
  <si>
    <t>$/CM Exc=</t>
  </si>
  <si>
    <t>LAB&amp;EQ.</t>
  </si>
  <si>
    <t>$ Hydrants</t>
  </si>
  <si>
    <t xml:space="preserve">    $Granular </t>
  </si>
  <si>
    <t xml:space="preserve">M Pipe </t>
  </si>
  <si>
    <t>$/M Pipe=</t>
  </si>
  <si>
    <t>$Fittings</t>
  </si>
  <si>
    <t xml:space="preserve">   CM Conc</t>
  </si>
  <si>
    <t>Ft Pipe</t>
  </si>
  <si>
    <t>$/FtPipe=</t>
  </si>
  <si>
    <t>$ WATERMAIN MATRL</t>
  </si>
  <si>
    <t>ImpTons Stone</t>
  </si>
  <si>
    <t>M Trnch</t>
  </si>
  <si>
    <t>$/M Trnch=</t>
  </si>
  <si>
    <t>% Lab&amp;Eqp</t>
  </si>
  <si>
    <t>%Matrl</t>
  </si>
  <si>
    <t>%Trkng</t>
  </si>
  <si>
    <t>$ Miscellaneous</t>
  </si>
  <si>
    <t xml:space="preserve">   ImpTonsGran</t>
  </si>
  <si>
    <t>FtTrnch</t>
  </si>
  <si>
    <t>$/FtTrnch=</t>
  </si>
  <si>
    <t xml:space="preserve">BID </t>
  </si>
  <si>
    <t>$ Xtra Materials</t>
  </si>
  <si>
    <t>MATERIALS</t>
  </si>
  <si>
    <t>SUB TOTAL</t>
  </si>
  <si>
    <t>%</t>
  </si>
  <si>
    <t xml:space="preserve">% </t>
  </si>
  <si>
    <t>QUANTITY OF PIPE  :</t>
  </si>
  <si>
    <t>meters</t>
  </si>
  <si>
    <t>M.U. %</t>
  </si>
  <si>
    <t>PRODUCTION DAYS :</t>
  </si>
  <si>
    <t>day's</t>
  </si>
  <si>
    <t>DAILY AVG. PROD    :</t>
  </si>
  <si>
    <t>m / day</t>
  </si>
  <si>
    <t>WATERMAIN (1)</t>
  </si>
  <si>
    <t>SEWER (1)</t>
  </si>
  <si>
    <t>MANHOLES (1)</t>
  </si>
  <si>
    <t>DDITCH INLT CB'S</t>
  </si>
  <si>
    <t>DICB F&amp;C $</t>
  </si>
  <si>
    <t>DDICB F&amp;C $</t>
  </si>
  <si>
    <t>LABOR DDICB</t>
  </si>
  <si>
    <t>DR35</t>
  </si>
  <si>
    <t>pvc-April/2011</t>
  </si>
  <si>
    <t>calc.</t>
  </si>
  <si>
    <t>ONSITE</t>
  </si>
  <si>
    <t>OFFSITE ADDER</t>
  </si>
  <si>
    <t>SALE</t>
  </si>
  <si>
    <t>TESTING</t>
  </si>
  <si>
    <t>200 One Locks</t>
  </si>
  <si>
    <t>150 One Locks</t>
  </si>
  <si>
    <t>100 One Locks</t>
  </si>
  <si>
    <t>Width m</t>
  </si>
  <si>
    <t>STORM:</t>
  </si>
  <si>
    <t>³³</t>
  </si>
  <si>
    <t xml:space="preserve">SUMMARY OF ESTIMATE </t>
  </si>
  <si>
    <t xml:space="preserve"> </t>
  </si>
  <si>
    <r>
      <t>m</t>
    </r>
    <r>
      <rPr>
        <vertAlign val="superscript"/>
        <sz val="11"/>
        <rFont val="Calibri"/>
        <family val="2"/>
      </rPr>
      <t>3</t>
    </r>
  </si>
  <si>
    <t>Date:</t>
  </si>
  <si>
    <t>PROJECT</t>
  </si>
  <si>
    <t>$ Concrete Pipe</t>
  </si>
  <si>
    <t>$ Plastic Pipe</t>
  </si>
  <si>
    <t>MAERIALS</t>
  </si>
  <si>
    <t>LAB &amp; EQ.</t>
  </si>
  <si>
    <t xml:space="preserve">TOPSITE CONTRACTING LIMITED  </t>
  </si>
  <si>
    <t>SEWER RUNS ESTIMATE</t>
  </si>
  <si>
    <t>WATERMAIN ESTIMATE</t>
  </si>
  <si>
    <t xml:space="preserve">TOPSITE CONTRACTING </t>
  </si>
  <si>
    <t>MANHOLE &amp; CATCHBASIN ESTIMATE</t>
  </si>
  <si>
    <t>JOB #NO</t>
  </si>
  <si>
    <t>LAYOUT</t>
  </si>
  <si>
    <t>Labour &amp; Equipment</t>
  </si>
  <si>
    <t>MH Prices Feb 2020</t>
  </si>
  <si>
    <t>LOOKUP TABLES FOR CONCRETE PIPE FEB 2020</t>
  </si>
  <si>
    <t>VIDEO ($25/m)</t>
  </si>
  <si>
    <t>AS BUILT</t>
  </si>
  <si>
    <t>250 One Locks</t>
  </si>
  <si>
    <t>300 One Locks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</si>
</sst>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0.00_)"/>
    <numFmt numFmtId="165" formatCode="0.0_)"/>
    <numFmt numFmtId="166" formatCode="dd\-mmm\-yy_)"/>
    <numFmt numFmtId="167" formatCode="0_)"/>
    <numFmt numFmtId="168" formatCode="mmmm\-yy"/>
    <numFmt numFmtId="169" formatCode="mmmm\ d\,\ yyyy"/>
  </numFmts>
  <fonts count="30" x14ac:knownFonts="1">
    <font>
      <sz val="10"/>
      <name val="Arial"/>
    </font>
    <font>
      <sz val="10"/>
      <name val="Arial"/>
      <family val="2"/>
    </font>
    <font>
      <sz val="10"/>
      <name val="Courier"/>
      <family val="3"/>
    </font>
    <font>
      <sz val="10"/>
      <name val="Times New Roman"/>
      <family val="1"/>
    </font>
    <font>
      <sz val="11"/>
      <name val="Calibri"/>
      <family val="2"/>
    </font>
    <font>
      <b/>
      <sz val="11"/>
      <name val="Calibri"/>
      <family val="2"/>
    </font>
    <font>
      <u/>
      <sz val="11"/>
      <name val="Calibri"/>
      <family val="2"/>
    </font>
    <font>
      <vertAlign val="superscript"/>
      <sz val="11"/>
      <name val="Calibri"/>
      <family val="2"/>
    </font>
    <font>
      <b/>
      <sz val="11"/>
      <color indexed="10"/>
      <name val="Calibri"/>
      <family val="2"/>
    </font>
    <font>
      <sz val="11"/>
      <color indexed="12"/>
      <name val="Calibri"/>
      <family val="2"/>
    </font>
    <font>
      <b/>
      <i/>
      <sz val="11"/>
      <name val="Calibri"/>
      <family val="2"/>
    </font>
    <font>
      <b/>
      <i/>
      <sz val="11"/>
      <color indexed="10"/>
      <name val="Calibri"/>
      <family val="2"/>
    </font>
    <font>
      <b/>
      <i/>
      <sz val="11"/>
      <color indexed="12"/>
      <name val="Calibri"/>
      <family val="2"/>
    </font>
    <font>
      <sz val="11"/>
      <color indexed="10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color indexed="10"/>
      <name val="Calibri"/>
      <family val="2"/>
      <scheme val="minor"/>
    </font>
    <font>
      <b/>
      <sz val="11"/>
      <color indexed="10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indexed="13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rgb="FF00B050"/>
      <name val="Calibri"/>
      <family val="2"/>
      <scheme val="minor"/>
    </font>
    <font>
      <sz val="10"/>
      <name val="Arial"/>
      <family val="2"/>
    </font>
    <font>
      <b/>
      <sz val="11"/>
      <color indexed="14"/>
      <name val="Calibri"/>
      <family val="2"/>
    </font>
    <font>
      <b/>
      <u/>
      <sz val="11"/>
      <name val="Calibri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4" fontId="2" fillId="0" borderId="0"/>
    <xf numFmtId="0" fontId="2" fillId="0" borderId="0"/>
    <xf numFmtId="9" fontId="25" fillId="0" borderId="0" applyFont="0" applyFill="0" applyBorder="0" applyAlignment="0" applyProtection="0"/>
  </cellStyleXfs>
  <cellXfs count="542">
    <xf numFmtId="0" fontId="0" fillId="0" borderId="0" xfId="0"/>
    <xf numFmtId="0" fontId="4" fillId="0" borderId="0" xfId="4" applyFont="1"/>
    <xf numFmtId="0" fontId="5" fillId="0" borderId="0" xfId="4" applyFont="1"/>
    <xf numFmtId="49" fontId="5" fillId="0" borderId="0" xfId="4" applyNumberFormat="1" applyFont="1"/>
    <xf numFmtId="0" fontId="4" fillId="0" borderId="0" xfId="4" applyFont="1" applyAlignment="1">
      <alignment horizontal="left"/>
    </xf>
    <xf numFmtId="0" fontId="4" fillId="0" borderId="0" xfId="4" applyFont="1" applyAlignment="1">
      <alignment horizontal="right"/>
    </xf>
    <xf numFmtId="169" fontId="6" fillId="0" borderId="0" xfId="4" applyNumberFormat="1" applyFont="1" applyAlignment="1">
      <alignment horizontal="center"/>
    </xf>
    <xf numFmtId="0" fontId="4" fillId="0" borderId="27" xfId="4" applyFont="1" applyBorder="1"/>
    <xf numFmtId="0" fontId="4" fillId="0" borderId="30" xfId="4" applyFont="1" applyBorder="1"/>
    <xf numFmtId="9" fontId="4" fillId="0" borderId="0" xfId="4" applyNumberFormat="1" applyFont="1" applyAlignment="1">
      <alignment horizontal="center"/>
    </xf>
    <xf numFmtId="44" fontId="4" fillId="0" borderId="0" xfId="4" applyNumberFormat="1" applyFont="1"/>
    <xf numFmtId="0" fontId="4" fillId="0" borderId="27" xfId="4" applyFont="1" applyBorder="1" applyAlignment="1">
      <alignment horizontal="center"/>
    </xf>
    <xf numFmtId="9" fontId="4" fillId="0" borderId="0" xfId="4" applyNumberFormat="1" applyFont="1"/>
    <xf numFmtId="8" fontId="4" fillId="0" borderId="0" xfId="4" applyNumberFormat="1" applyFont="1"/>
    <xf numFmtId="2" fontId="4" fillId="0" borderId="0" xfId="4" applyNumberFormat="1" applyFont="1"/>
    <xf numFmtId="0" fontId="4" fillId="0" borderId="30" xfId="4" applyFont="1" applyBorder="1" applyAlignment="1">
      <alignment horizontal="left"/>
    </xf>
    <xf numFmtId="0" fontId="4" fillId="0" borderId="33" xfId="4" applyFont="1" applyBorder="1"/>
    <xf numFmtId="0" fontId="5" fillId="0" borderId="0" xfId="3" applyFont="1"/>
    <xf numFmtId="0" fontId="4" fillId="0" borderId="0" xfId="3" applyFont="1"/>
    <xf numFmtId="0" fontId="5" fillId="0" borderId="0" xfId="3" applyFont="1" applyAlignment="1" applyProtection="1">
      <alignment horizontal="right"/>
      <protection locked="0"/>
    </xf>
    <xf numFmtId="0" fontId="5" fillId="0" borderId="1" xfId="3" applyFont="1" applyBorder="1" applyAlignment="1">
      <alignment horizontal="left"/>
    </xf>
    <xf numFmtId="0" fontId="9" fillId="0" borderId="0" xfId="3" applyFont="1" applyAlignment="1" applyProtection="1">
      <alignment horizontal="left"/>
      <protection locked="0"/>
    </xf>
    <xf numFmtId="0" fontId="5" fillId="0" borderId="0" xfId="3" applyFont="1" applyAlignment="1">
      <alignment horizontal="right"/>
    </xf>
    <xf numFmtId="0" fontId="5" fillId="0" borderId="4" xfId="3" applyFont="1" applyBorder="1"/>
    <xf numFmtId="0" fontId="5" fillId="0" borderId="0" xfId="3" applyFont="1" applyAlignment="1">
      <alignment horizontal="left"/>
    </xf>
    <xf numFmtId="164" fontId="5" fillId="0" borderId="12" xfId="3" applyNumberFormat="1" applyFont="1" applyBorder="1" applyAlignment="1" applyProtection="1">
      <alignment horizontal="left"/>
      <protection locked="0"/>
    </xf>
    <xf numFmtId="0" fontId="5" fillId="0" borderId="13" xfId="3" applyFont="1" applyBorder="1" applyAlignment="1">
      <alignment horizontal="left"/>
    </xf>
    <xf numFmtId="164" fontId="5" fillId="0" borderId="15" xfId="3" applyNumberFormat="1" applyFont="1" applyBorder="1"/>
    <xf numFmtId="14" fontId="5" fillId="0" borderId="0" xfId="3" applyNumberFormat="1" applyFont="1" applyAlignment="1">
      <alignment horizontal="right"/>
    </xf>
    <xf numFmtId="0" fontId="4" fillId="0" borderId="4" xfId="3" applyFont="1" applyBorder="1"/>
    <xf numFmtId="7" fontId="5" fillId="0" borderId="0" xfId="3" applyNumberFormat="1" applyFont="1" applyAlignment="1">
      <alignment horizontal="left"/>
    </xf>
    <xf numFmtId="166" fontId="5" fillId="0" borderId="0" xfId="3" applyNumberFormat="1" applyFont="1" applyAlignment="1" applyProtection="1">
      <alignment horizontal="left"/>
      <protection locked="0"/>
    </xf>
    <xf numFmtId="164" fontId="5" fillId="0" borderId="0" xfId="3" applyNumberFormat="1" applyFont="1"/>
    <xf numFmtId="7" fontId="5" fillId="0" borderId="0" xfId="3" applyNumberFormat="1" applyFont="1" applyAlignment="1">
      <alignment horizontal="right"/>
    </xf>
    <xf numFmtId="15" fontId="5" fillId="0" borderId="0" xfId="3" applyNumberFormat="1" applyFont="1" applyAlignment="1">
      <alignment horizontal="left"/>
    </xf>
    <xf numFmtId="164" fontId="5" fillId="0" borderId="0" xfId="3" applyNumberFormat="1" applyFont="1" applyAlignment="1" applyProtection="1">
      <alignment horizontal="left"/>
      <protection locked="0"/>
    </xf>
    <xf numFmtId="0" fontId="5" fillId="0" borderId="8" xfId="3" applyFont="1" applyBorder="1"/>
    <xf numFmtId="0" fontId="5" fillId="0" borderId="8" xfId="3" applyFont="1" applyBorder="1" applyAlignment="1">
      <alignment horizontal="left"/>
    </xf>
    <xf numFmtId="164" fontId="5" fillId="0" borderId="8" xfId="3" applyNumberFormat="1" applyFont="1" applyBorder="1" applyAlignment="1">
      <alignment horizontal="right"/>
    </xf>
    <xf numFmtId="169" fontId="4" fillId="0" borderId="0" xfId="3" applyNumberFormat="1" applyFont="1" applyAlignment="1">
      <alignment horizontal="right"/>
    </xf>
    <xf numFmtId="18" fontId="4" fillId="0" borderId="0" xfId="3" applyNumberFormat="1" applyFont="1"/>
    <xf numFmtId="0" fontId="5" fillId="0" borderId="14" xfId="3" applyFont="1" applyBorder="1" applyAlignment="1">
      <alignment horizontal="center"/>
    </xf>
    <xf numFmtId="164" fontId="5" fillId="0" borderId="14" xfId="3" applyNumberFormat="1" applyFont="1" applyBorder="1" applyAlignment="1">
      <alignment horizontal="center"/>
    </xf>
    <xf numFmtId="165" fontId="5" fillId="0" borderId="14" xfId="3" applyNumberFormat="1" applyFont="1" applyBorder="1" applyAlignment="1">
      <alignment horizontal="center"/>
    </xf>
    <xf numFmtId="164" fontId="5" fillId="0" borderId="15" xfId="3" applyNumberFormat="1" applyFont="1" applyBorder="1" applyAlignment="1">
      <alignment horizontal="center"/>
    </xf>
    <xf numFmtId="164" fontId="5" fillId="0" borderId="12" xfId="3" applyNumberFormat="1" applyFont="1" applyBorder="1" applyAlignment="1">
      <alignment horizontal="center"/>
    </xf>
    <xf numFmtId="7" fontId="5" fillId="0" borderId="14" xfId="3" applyNumberFormat="1" applyFont="1" applyBorder="1" applyAlignment="1">
      <alignment horizontal="center"/>
    </xf>
    <xf numFmtId="0" fontId="5" fillId="0" borderId="0" xfId="3" applyFont="1" applyAlignment="1">
      <alignment horizontal="center"/>
    </xf>
    <xf numFmtId="49" fontId="5" fillId="0" borderId="5" xfId="3" applyNumberFormat="1" applyFont="1" applyBorder="1"/>
    <xf numFmtId="0" fontId="4" fillId="0" borderId="5" xfId="3" applyFont="1" applyBorder="1"/>
    <xf numFmtId="0" fontId="4" fillId="0" borderId="3" xfId="3" applyFont="1" applyBorder="1"/>
    <xf numFmtId="44" fontId="4" fillId="0" borderId="5" xfId="2" applyFont="1" applyBorder="1"/>
    <xf numFmtId="49" fontId="4" fillId="0" borderId="5" xfId="3" applyNumberFormat="1" applyFont="1" applyBorder="1"/>
    <xf numFmtId="2" fontId="4" fillId="0" borderId="5" xfId="3" applyNumberFormat="1" applyFont="1" applyBorder="1" applyAlignment="1">
      <alignment horizontal="left" indent="1"/>
    </xf>
    <xf numFmtId="2" fontId="4" fillId="0" borderId="5" xfId="3" applyNumberFormat="1" applyFont="1" applyBorder="1"/>
    <xf numFmtId="0" fontId="4" fillId="0" borderId="5" xfId="3" applyFont="1" applyBorder="1" applyAlignment="1">
      <alignment horizontal="right"/>
    </xf>
    <xf numFmtId="4" fontId="4" fillId="0" borderId="5" xfId="2" applyNumberFormat="1" applyFont="1" applyBorder="1" applyProtection="1">
      <protection locked="0"/>
    </xf>
    <xf numFmtId="164" fontId="4" fillId="0" borderId="5" xfId="3" applyNumberFormat="1" applyFont="1" applyBorder="1"/>
    <xf numFmtId="167" fontId="4" fillId="0" borderId="5" xfId="3" applyNumberFormat="1" applyFont="1" applyBorder="1"/>
    <xf numFmtId="4" fontId="4" fillId="5" borderId="5" xfId="3" applyNumberFormat="1" applyFont="1" applyFill="1" applyBorder="1"/>
    <xf numFmtId="4" fontId="4" fillId="0" borderId="7" xfId="3" applyNumberFormat="1" applyFont="1" applyBorder="1"/>
    <xf numFmtId="4" fontId="4" fillId="0" borderId="5" xfId="3" applyNumberFormat="1" applyFont="1" applyBorder="1"/>
    <xf numFmtId="4" fontId="4" fillId="0" borderId="4" xfId="3" applyNumberFormat="1" applyFont="1" applyBorder="1"/>
    <xf numFmtId="7" fontId="4" fillId="0" borderId="5" xfId="3" applyNumberFormat="1" applyFont="1" applyBorder="1" applyProtection="1">
      <protection locked="0"/>
    </xf>
    <xf numFmtId="4" fontId="4" fillId="0" borderId="5" xfId="2" applyNumberFormat="1" applyFont="1" applyBorder="1"/>
    <xf numFmtId="0" fontId="4" fillId="0" borderId="5" xfId="3" applyFont="1" applyBorder="1" applyAlignment="1" applyProtection="1">
      <alignment horizontal="right"/>
      <protection locked="0"/>
    </xf>
    <xf numFmtId="49" fontId="4" fillId="0" borderId="9" xfId="3" applyNumberFormat="1" applyFont="1" applyBorder="1"/>
    <xf numFmtId="2" fontId="4" fillId="0" borderId="9" xfId="3" applyNumberFormat="1" applyFont="1" applyBorder="1" applyAlignment="1">
      <alignment horizontal="left" indent="1"/>
    </xf>
    <xf numFmtId="2" fontId="4" fillId="0" borderId="9" xfId="3" applyNumberFormat="1" applyFont="1" applyBorder="1"/>
    <xf numFmtId="0" fontId="4" fillId="0" borderId="9" xfId="3" applyFont="1" applyBorder="1"/>
    <xf numFmtId="0" fontId="4" fillId="0" borderId="9" xfId="3" applyFont="1" applyBorder="1" applyAlignment="1" applyProtection="1">
      <alignment horizontal="left"/>
      <protection locked="0"/>
    </xf>
    <xf numFmtId="4" fontId="4" fillId="0" borderId="9" xfId="2" applyNumberFormat="1" applyFont="1" applyBorder="1"/>
    <xf numFmtId="164" fontId="4" fillId="0" borderId="9" xfId="3" applyNumberFormat="1" applyFont="1" applyBorder="1"/>
    <xf numFmtId="167" fontId="4" fillId="0" borderId="9" xfId="3" applyNumberFormat="1" applyFont="1" applyBorder="1"/>
    <xf numFmtId="0" fontId="4" fillId="0" borderId="0" xfId="3" applyFont="1" applyAlignment="1">
      <alignment horizontal="left"/>
    </xf>
    <xf numFmtId="4" fontId="4" fillId="0" borderId="3" xfId="3" applyNumberFormat="1" applyFont="1" applyBorder="1"/>
    <xf numFmtId="164" fontId="4" fillId="0" borderId="7" xfId="3" applyNumberFormat="1" applyFont="1" applyBorder="1"/>
    <xf numFmtId="164" fontId="9" fillId="0" borderId="5" xfId="3" applyNumberFormat="1" applyFont="1" applyBorder="1" applyProtection="1">
      <protection locked="0"/>
    </xf>
    <xf numFmtId="4" fontId="10" fillId="0" borderId="14" xfId="3" applyNumberFormat="1" applyFont="1" applyBorder="1"/>
    <xf numFmtId="0" fontId="10" fillId="0" borderId="7" xfId="3" applyFont="1" applyBorder="1"/>
    <xf numFmtId="0" fontId="10" fillId="0" borderId="5" xfId="3" applyFont="1" applyBorder="1"/>
    <xf numFmtId="4" fontId="10" fillId="5" borderId="14" xfId="3" applyNumberFormat="1" applyFont="1" applyFill="1" applyBorder="1"/>
    <xf numFmtId="4" fontId="10" fillId="0" borderId="15" xfId="3" applyNumberFormat="1" applyFont="1" applyBorder="1"/>
    <xf numFmtId="4" fontId="10" fillId="0" borderId="12" xfId="3" applyNumberFormat="1" applyFont="1" applyBorder="1"/>
    <xf numFmtId="7" fontId="10" fillId="0" borderId="14" xfId="3" applyNumberFormat="1" applyFont="1" applyBorder="1"/>
    <xf numFmtId="0" fontId="5" fillId="0" borderId="3" xfId="3" applyFont="1" applyBorder="1" applyAlignment="1">
      <alignment horizontal="center"/>
    </xf>
    <xf numFmtId="0" fontId="5" fillId="0" borderId="15" xfId="3" applyFont="1" applyBorder="1" applyAlignment="1">
      <alignment horizontal="center"/>
    </xf>
    <xf numFmtId="0" fontId="5" fillId="0" borderId="13" xfId="3" applyFont="1" applyBorder="1" applyAlignment="1">
      <alignment horizontal="center"/>
    </xf>
    <xf numFmtId="164" fontId="5" fillId="0" borderId="13" xfId="3" applyNumberFormat="1" applyFont="1" applyBorder="1" applyAlignment="1">
      <alignment horizontal="center"/>
    </xf>
    <xf numFmtId="164" fontId="5" fillId="0" borderId="3" xfId="3" applyNumberFormat="1" applyFont="1" applyBorder="1" applyAlignment="1">
      <alignment horizontal="left"/>
    </xf>
    <xf numFmtId="0" fontId="4" fillId="0" borderId="6" xfId="3" applyFont="1" applyBorder="1" applyProtection="1">
      <protection locked="0"/>
    </xf>
    <xf numFmtId="167" fontId="4" fillId="0" borderId="1" xfId="3" applyNumberFormat="1" applyFont="1" applyBorder="1" applyProtection="1">
      <protection locked="0"/>
    </xf>
    <xf numFmtId="0" fontId="4" fillId="0" borderId="3" xfId="3" applyFont="1" applyBorder="1" applyAlignment="1">
      <alignment horizontal="right"/>
    </xf>
    <xf numFmtId="4" fontId="4" fillId="0" borderId="3" xfId="3" applyNumberFormat="1" applyFont="1" applyBorder="1" applyProtection="1">
      <protection locked="0"/>
    </xf>
    <xf numFmtId="4" fontId="4" fillId="0" borderId="0" xfId="3" applyNumberFormat="1" applyFont="1"/>
    <xf numFmtId="164" fontId="5" fillId="0" borderId="5" xfId="3" applyNumberFormat="1" applyFont="1" applyBorder="1" applyAlignment="1">
      <alignment horizontal="left"/>
    </xf>
    <xf numFmtId="0" fontId="4" fillId="0" borderId="7" xfId="3" applyFont="1" applyBorder="1" applyProtection="1">
      <protection locked="0"/>
    </xf>
    <xf numFmtId="167" fontId="4" fillId="0" borderId="4" xfId="3" applyNumberFormat="1" applyFont="1" applyBorder="1" applyProtection="1">
      <protection locked="0"/>
    </xf>
    <xf numFmtId="4" fontId="4" fillId="0" borderId="5" xfId="3" applyNumberFormat="1" applyFont="1" applyBorder="1" applyProtection="1">
      <protection locked="0"/>
    </xf>
    <xf numFmtId="164" fontId="5" fillId="0" borderId="9" xfId="3" applyNumberFormat="1" applyFont="1" applyBorder="1" applyAlignment="1">
      <alignment horizontal="left"/>
    </xf>
    <xf numFmtId="0" fontId="4" fillId="0" borderId="10" xfId="3" applyFont="1" applyBorder="1" applyProtection="1">
      <protection locked="0"/>
    </xf>
    <xf numFmtId="167" fontId="4" fillId="0" borderId="8" xfId="3" applyNumberFormat="1" applyFont="1" applyBorder="1" applyProtection="1">
      <protection locked="0"/>
    </xf>
    <xf numFmtId="0" fontId="4" fillId="0" borderId="9" xfId="3" applyFont="1" applyBorder="1" applyAlignment="1">
      <alignment horizontal="right"/>
    </xf>
    <xf numFmtId="4" fontId="4" fillId="0" borderId="9" xfId="3" applyNumberFormat="1" applyFont="1" applyBorder="1"/>
    <xf numFmtId="0" fontId="10" fillId="0" borderId="0" xfId="3" applyFont="1" applyAlignment="1">
      <alignment horizontal="right"/>
    </xf>
    <xf numFmtId="0" fontId="10" fillId="0" borderId="0" xfId="3" applyFont="1" applyAlignment="1" applyProtection="1">
      <alignment horizontal="right"/>
      <protection locked="0"/>
    </xf>
    <xf numFmtId="4" fontId="12" fillId="0" borderId="0" xfId="3" applyNumberFormat="1" applyFont="1" applyAlignment="1" applyProtection="1">
      <alignment horizontal="right"/>
      <protection locked="0"/>
    </xf>
    <xf numFmtId="4" fontId="10" fillId="0" borderId="14" xfId="3" applyNumberFormat="1" applyFont="1" applyBorder="1" applyAlignment="1">
      <alignment horizontal="right"/>
    </xf>
    <xf numFmtId="7" fontId="10" fillId="0" borderId="13" xfId="3" applyNumberFormat="1" applyFont="1" applyBorder="1" applyAlignment="1">
      <alignment horizontal="right"/>
    </xf>
    <xf numFmtId="7" fontId="10" fillId="0" borderId="14" xfId="3" applyNumberFormat="1" applyFont="1" applyBorder="1" applyAlignment="1" applyProtection="1">
      <alignment horizontal="right"/>
      <protection locked="0"/>
    </xf>
    <xf numFmtId="0" fontId="5" fillId="0" borderId="1" xfId="3" applyFont="1" applyBorder="1"/>
    <xf numFmtId="44" fontId="13" fillId="0" borderId="6" xfId="2" applyFont="1" applyBorder="1"/>
    <xf numFmtId="44" fontId="13" fillId="0" borderId="3" xfId="2" applyFont="1" applyBorder="1"/>
    <xf numFmtId="0" fontId="9" fillId="0" borderId="0" xfId="3" applyFont="1" applyAlignment="1" applyProtection="1">
      <alignment horizontal="right"/>
      <protection locked="0"/>
    </xf>
    <xf numFmtId="164" fontId="4" fillId="0" borderId="0" xfId="3" applyNumberFormat="1" applyFont="1" applyAlignment="1">
      <alignment horizontal="left"/>
    </xf>
    <xf numFmtId="44" fontId="13" fillId="0" borderId="7" xfId="2" applyFont="1" applyBorder="1"/>
    <xf numFmtId="44" fontId="13" fillId="0" borderId="9" xfId="2" applyFont="1" applyBorder="1"/>
    <xf numFmtId="164" fontId="5" fillId="0" borderId="0" xfId="3" applyNumberFormat="1" applyFont="1" applyAlignment="1">
      <alignment horizontal="left"/>
    </xf>
    <xf numFmtId="0" fontId="4" fillId="0" borderId="11" xfId="3" applyFont="1" applyBorder="1"/>
    <xf numFmtId="44" fontId="13" fillId="0" borderId="10" xfId="2" applyFont="1" applyBorder="1"/>
    <xf numFmtId="0" fontId="9" fillId="0" borderId="11" xfId="3" applyFont="1" applyBorder="1" applyAlignment="1" applyProtection="1">
      <alignment horizontal="left"/>
      <protection locked="0"/>
    </xf>
    <xf numFmtId="164" fontId="4" fillId="0" borderId="11" xfId="3" applyNumberFormat="1" applyFont="1" applyBorder="1" applyAlignment="1">
      <alignment horizontal="left"/>
    </xf>
    <xf numFmtId="167" fontId="9" fillId="0" borderId="0" xfId="3" applyNumberFormat="1" applyFont="1" applyProtection="1">
      <protection locked="0"/>
    </xf>
    <xf numFmtId="167" fontId="4" fillId="0" borderId="0" xfId="3" applyNumberFormat="1" applyFont="1"/>
    <xf numFmtId="164" fontId="9" fillId="0" borderId="0" xfId="3" applyNumberFormat="1" applyFont="1" applyProtection="1">
      <protection locked="0"/>
    </xf>
    <xf numFmtId="0" fontId="4" fillId="3" borderId="2" xfId="3" applyFont="1" applyFill="1" applyBorder="1"/>
    <xf numFmtId="0" fontId="5" fillId="3" borderId="2" xfId="3" applyFont="1" applyFill="1" applyBorder="1" applyAlignment="1">
      <alignment horizontal="left"/>
    </xf>
    <xf numFmtId="0" fontId="4" fillId="3" borderId="6" xfId="3" applyFont="1" applyFill="1" applyBorder="1"/>
    <xf numFmtId="0" fontId="4" fillId="3" borderId="11" xfId="3" applyFont="1" applyFill="1" applyBorder="1"/>
    <xf numFmtId="0" fontId="5" fillId="3" borderId="11" xfId="3" applyFont="1" applyFill="1" applyBorder="1" applyAlignment="1">
      <alignment horizontal="center"/>
    </xf>
    <xf numFmtId="0" fontId="4" fillId="3" borderId="10" xfId="3" applyFont="1" applyFill="1" applyBorder="1"/>
    <xf numFmtId="0" fontId="15" fillId="0" borderId="0" xfId="3" applyFont="1"/>
    <xf numFmtId="0" fontId="14" fillId="0" borderId="1" xfId="3" applyFont="1" applyBorder="1" applyAlignment="1">
      <alignment horizontal="left"/>
    </xf>
    <xf numFmtId="0" fontId="15" fillId="0" borderId="2" xfId="3" applyFont="1" applyBorder="1" applyAlignment="1">
      <alignment horizontal="left"/>
    </xf>
    <xf numFmtId="0" fontId="15" fillId="0" borderId="2" xfId="3" applyFont="1" applyBorder="1"/>
    <xf numFmtId="164" fontId="15" fillId="0" borderId="0" xfId="3" applyNumberFormat="1" applyFont="1" applyAlignment="1">
      <alignment horizontal="left"/>
    </xf>
    <xf numFmtId="0" fontId="15" fillId="0" borderId="19" xfId="3" applyFont="1" applyBorder="1"/>
    <xf numFmtId="165" fontId="14" fillId="0" borderId="0" xfId="3" applyNumberFormat="1" applyFont="1" applyAlignment="1">
      <alignment horizontal="left"/>
    </xf>
    <xf numFmtId="164" fontId="14" fillId="0" borderId="20" xfId="3" applyNumberFormat="1" applyFont="1" applyBorder="1" applyAlignment="1">
      <alignment horizontal="left"/>
    </xf>
    <xf numFmtId="164" fontId="17" fillId="0" borderId="6" xfId="3" applyNumberFormat="1" applyFont="1" applyBorder="1" applyProtection="1">
      <protection locked="0"/>
    </xf>
    <xf numFmtId="0" fontId="14" fillId="0" borderId="4" xfId="3" applyFont="1" applyBorder="1" applyAlignment="1">
      <alignment horizontal="left"/>
    </xf>
    <xf numFmtId="0" fontId="15" fillId="0" borderId="0" xfId="3" applyFont="1" applyAlignment="1">
      <alignment horizontal="left"/>
    </xf>
    <xf numFmtId="0" fontId="17" fillId="0" borderId="0" xfId="3" applyFont="1" applyAlignment="1">
      <alignment horizontal="left"/>
    </xf>
    <xf numFmtId="164" fontId="14" fillId="0" borderId="21" xfId="3" applyNumberFormat="1" applyFont="1" applyBorder="1" applyAlignment="1">
      <alignment horizontal="left"/>
    </xf>
    <xf numFmtId="164" fontId="17" fillId="0" borderId="7" xfId="3" applyNumberFormat="1" applyFont="1" applyBorder="1"/>
    <xf numFmtId="165" fontId="14" fillId="0" borderId="0" xfId="3" applyNumberFormat="1" applyFont="1"/>
    <xf numFmtId="0" fontId="17" fillId="0" borderId="0" xfId="3" applyFont="1" applyAlignment="1" applyProtection="1">
      <alignment horizontal="left"/>
      <protection locked="0"/>
    </xf>
    <xf numFmtId="164" fontId="14" fillId="0" borderId="22" xfId="3" applyNumberFormat="1" applyFont="1" applyBorder="1" applyAlignment="1">
      <alignment horizontal="left"/>
    </xf>
    <xf numFmtId="164" fontId="17" fillId="0" borderId="10" xfId="3" applyNumberFormat="1" applyFont="1" applyBorder="1"/>
    <xf numFmtId="0" fontId="15" fillId="0" borderId="23" xfId="3" applyFont="1" applyBorder="1"/>
    <xf numFmtId="15" fontId="18" fillId="0" borderId="0" xfId="3" applyNumberFormat="1" applyFont="1" applyAlignment="1">
      <alignment horizontal="left"/>
    </xf>
    <xf numFmtId="0" fontId="15" fillId="0" borderId="0" xfId="3" applyFont="1" applyAlignment="1">
      <alignment horizontal="right"/>
    </xf>
    <xf numFmtId="14" fontId="15" fillId="0" borderId="0" xfId="3" applyNumberFormat="1" applyFont="1"/>
    <xf numFmtId="0" fontId="14" fillId="0" borderId="3" xfId="3" applyFont="1" applyBorder="1" applyAlignment="1">
      <alignment horizontal="center"/>
    </xf>
    <xf numFmtId="0" fontId="15" fillId="0" borderId="3" xfId="3" applyFont="1" applyBorder="1" applyAlignment="1">
      <alignment horizontal="center"/>
    </xf>
    <xf numFmtId="164" fontId="14" fillId="0" borderId="3" xfId="3" applyNumberFormat="1" applyFont="1" applyBorder="1" applyAlignment="1">
      <alignment horizontal="center"/>
    </xf>
    <xf numFmtId="0" fontId="15" fillId="0" borderId="1" xfId="3" applyFont="1" applyBorder="1" applyAlignment="1">
      <alignment horizontal="center"/>
    </xf>
    <xf numFmtId="165" fontId="14" fillId="0" borderId="3" xfId="3" applyNumberFormat="1" applyFont="1" applyBorder="1" applyAlignment="1">
      <alignment horizontal="center"/>
    </xf>
    <xf numFmtId="164" fontId="14" fillId="0" borderId="1" xfId="3" applyNumberFormat="1" applyFont="1" applyBorder="1" applyAlignment="1">
      <alignment horizontal="center"/>
    </xf>
    <xf numFmtId="7" fontId="14" fillId="0" borderId="3" xfId="3" applyNumberFormat="1" applyFont="1" applyBorder="1" applyAlignment="1">
      <alignment horizontal="center"/>
    </xf>
    <xf numFmtId="165" fontId="14" fillId="0" borderId="1" xfId="3" applyNumberFormat="1" applyFont="1" applyBorder="1" applyAlignment="1">
      <alignment horizontal="center"/>
    </xf>
    <xf numFmtId="0" fontId="15" fillId="0" borderId="0" xfId="3" applyFont="1" applyAlignment="1">
      <alignment horizontal="center"/>
    </xf>
    <xf numFmtId="0" fontId="14" fillId="0" borderId="9" xfId="3" applyFont="1" applyBorder="1" applyAlignment="1">
      <alignment horizontal="center"/>
    </xf>
    <xf numFmtId="0" fontId="15" fillId="0" borderId="9" xfId="3" applyFont="1" applyBorder="1" applyAlignment="1">
      <alignment horizontal="center"/>
    </xf>
    <xf numFmtId="164" fontId="14" fillId="0" borderId="9" xfId="3" applyNumberFormat="1" applyFont="1" applyBorder="1" applyAlignment="1">
      <alignment horizontal="center"/>
    </xf>
    <xf numFmtId="0" fontId="15" fillId="0" borderId="8" xfId="3" applyFont="1" applyBorder="1" applyAlignment="1">
      <alignment horizontal="center"/>
    </xf>
    <xf numFmtId="165" fontId="14" fillId="0" borderId="9" xfId="3" applyNumberFormat="1" applyFont="1" applyBorder="1" applyAlignment="1">
      <alignment horizontal="center"/>
    </xf>
    <xf numFmtId="164" fontId="14" fillId="0" borderId="8" xfId="3" applyNumberFormat="1" applyFont="1" applyBorder="1" applyAlignment="1">
      <alignment horizontal="center"/>
    </xf>
    <xf numFmtId="7" fontId="14" fillId="0" borderId="9" xfId="3" applyNumberFormat="1" applyFont="1" applyBorder="1" applyAlignment="1">
      <alignment horizontal="center"/>
    </xf>
    <xf numFmtId="165" fontId="14" fillId="0" borderId="8" xfId="3" applyNumberFormat="1" applyFont="1" applyBorder="1" applyAlignment="1">
      <alignment horizontal="center"/>
    </xf>
    <xf numFmtId="49" fontId="14" fillId="0" borderId="3" xfId="3" applyNumberFormat="1" applyFont="1" applyBorder="1"/>
    <xf numFmtId="0" fontId="15" fillId="0" borderId="3" xfId="3" applyFont="1" applyBorder="1"/>
    <xf numFmtId="0" fontId="15" fillId="0" borderId="1" xfId="3" applyFont="1" applyBorder="1"/>
    <xf numFmtId="0" fontId="15" fillId="0" borderId="5" xfId="3" applyFont="1" applyBorder="1"/>
    <xf numFmtId="49" fontId="15" fillId="0" borderId="5" xfId="3" applyNumberFormat="1" applyFont="1" applyBorder="1"/>
    <xf numFmtId="0" fontId="16" fillId="0" borderId="5" xfId="3" applyFont="1" applyBorder="1" applyProtection="1">
      <protection locked="0"/>
    </xf>
    <xf numFmtId="164" fontId="15" fillId="0" borderId="5" xfId="3" applyNumberFormat="1" applyFont="1" applyBorder="1"/>
    <xf numFmtId="164" fontId="16" fillId="0" borderId="5" xfId="3" applyNumberFormat="1" applyFont="1" applyBorder="1" applyProtection="1">
      <protection locked="0"/>
    </xf>
    <xf numFmtId="0" fontId="15" fillId="0" borderId="4" xfId="3" applyFont="1" applyBorder="1"/>
    <xf numFmtId="5" fontId="16" fillId="0" borderId="5" xfId="3" applyNumberFormat="1" applyFont="1" applyBorder="1" applyProtection="1">
      <protection locked="0"/>
    </xf>
    <xf numFmtId="164" fontId="15" fillId="0" borderId="4" xfId="3" applyNumberFormat="1" applyFont="1" applyBorder="1"/>
    <xf numFmtId="7" fontId="15" fillId="0" borderId="5" xfId="3" applyNumberFormat="1" applyFont="1" applyBorder="1"/>
    <xf numFmtId="167" fontId="15" fillId="0" borderId="5" xfId="3" applyNumberFormat="1" applyFont="1" applyBorder="1"/>
    <xf numFmtId="165" fontId="15" fillId="0" borderId="4" xfId="3" applyNumberFormat="1" applyFont="1" applyBorder="1"/>
    <xf numFmtId="49" fontId="15" fillId="0" borderId="9" xfId="3" applyNumberFormat="1" applyFont="1" applyBorder="1"/>
    <xf numFmtId="0" fontId="15" fillId="0" borderId="9" xfId="3" applyFont="1" applyBorder="1"/>
    <xf numFmtId="0" fontId="16" fillId="0" borderId="9" xfId="3" applyFont="1" applyBorder="1" applyProtection="1">
      <protection locked="0"/>
    </xf>
    <xf numFmtId="164" fontId="15" fillId="0" borderId="9" xfId="3" applyNumberFormat="1" applyFont="1" applyBorder="1"/>
    <xf numFmtId="164" fontId="16" fillId="0" borderId="9" xfId="3" applyNumberFormat="1" applyFont="1" applyBorder="1" applyProtection="1">
      <protection locked="0"/>
    </xf>
    <xf numFmtId="0" fontId="15" fillId="0" borderId="8" xfId="3" applyFont="1" applyBorder="1"/>
    <xf numFmtId="5" fontId="16" fillId="0" borderId="9" xfId="3" applyNumberFormat="1" applyFont="1" applyBorder="1" applyProtection="1">
      <protection locked="0"/>
    </xf>
    <xf numFmtId="164" fontId="15" fillId="0" borderId="8" xfId="3" applyNumberFormat="1" applyFont="1" applyBorder="1"/>
    <xf numFmtId="7" fontId="15" fillId="0" borderId="9" xfId="3" applyNumberFormat="1" applyFont="1" applyBorder="1"/>
    <xf numFmtId="167" fontId="15" fillId="0" borderId="9" xfId="3" applyNumberFormat="1" applyFont="1" applyBorder="1"/>
    <xf numFmtId="165" fontId="15" fillId="0" borderId="8" xfId="3" applyNumberFormat="1" applyFont="1" applyBorder="1"/>
    <xf numFmtId="0" fontId="15" fillId="0" borderId="11" xfId="3" applyFont="1" applyBorder="1"/>
    <xf numFmtId="0" fontId="20" fillId="0" borderId="0" xfId="3" applyFont="1"/>
    <xf numFmtId="0" fontId="19" fillId="0" borderId="0" xfId="3" applyFont="1"/>
    <xf numFmtId="164" fontId="20" fillId="0" borderId="0" xfId="3" applyNumberFormat="1" applyFont="1"/>
    <xf numFmtId="44" fontId="20" fillId="0" borderId="0" xfId="2" applyFont="1" applyProtection="1"/>
    <xf numFmtId="7" fontId="20" fillId="0" borderId="0" xfId="3" applyNumberFormat="1" applyFont="1"/>
    <xf numFmtId="0" fontId="20" fillId="0" borderId="0" xfId="3" applyFont="1" applyAlignment="1">
      <alignment horizontal="left"/>
    </xf>
    <xf numFmtId="165" fontId="20" fillId="0" borderId="0" xfId="3" applyNumberFormat="1" applyFont="1" applyAlignment="1">
      <alignment horizontal="left"/>
    </xf>
    <xf numFmtId="167" fontId="19" fillId="0" borderId="0" xfId="3" applyNumberFormat="1" applyFont="1"/>
    <xf numFmtId="165" fontId="19" fillId="0" borderId="0" xfId="3" applyNumberFormat="1" applyFont="1"/>
    <xf numFmtId="165" fontId="20" fillId="0" borderId="0" xfId="3" applyNumberFormat="1" applyFont="1"/>
    <xf numFmtId="0" fontId="15" fillId="0" borderId="20" xfId="3" applyFont="1" applyBorder="1"/>
    <xf numFmtId="0" fontId="15" fillId="0" borderId="24" xfId="3" applyFont="1" applyBorder="1"/>
    <xf numFmtId="0" fontId="15" fillId="0" borderId="6" xfId="3" applyFont="1" applyBorder="1"/>
    <xf numFmtId="164" fontId="14" fillId="0" borderId="21" xfId="3" applyNumberFormat="1" applyFont="1" applyBorder="1" applyAlignment="1">
      <alignment horizontal="center"/>
    </xf>
    <xf numFmtId="164" fontId="14" fillId="0" borderId="25" xfId="3" applyNumberFormat="1" applyFont="1" applyBorder="1" applyAlignment="1">
      <alignment horizontal="center"/>
    </xf>
    <xf numFmtId="7" fontId="14" fillId="0" borderId="7" xfId="3" applyNumberFormat="1" applyFont="1" applyBorder="1" applyAlignment="1">
      <alignment horizontal="center"/>
    </xf>
    <xf numFmtId="164" fontId="14" fillId="0" borderId="21" xfId="3" applyNumberFormat="1" applyFont="1" applyBorder="1" applyAlignment="1">
      <alignment horizontal="fill"/>
    </xf>
    <xf numFmtId="0" fontId="14" fillId="0" borderId="25" xfId="3" applyFont="1" applyBorder="1"/>
    <xf numFmtId="0" fontId="14" fillId="0" borderId="7" xfId="3" applyFont="1" applyBorder="1"/>
    <xf numFmtId="44" fontId="14" fillId="0" borderId="25" xfId="2" applyFont="1" applyBorder="1" applyProtection="1"/>
    <xf numFmtId="44" fontId="14" fillId="0" borderId="7" xfId="2" applyFont="1" applyBorder="1" applyProtection="1"/>
    <xf numFmtId="0" fontId="14" fillId="0" borderId="21" xfId="3" applyFont="1" applyBorder="1"/>
    <xf numFmtId="164" fontId="14" fillId="0" borderId="25" xfId="3" applyNumberFormat="1" applyFont="1" applyBorder="1" applyAlignment="1">
      <alignment horizontal="right"/>
    </xf>
    <xf numFmtId="44" fontId="14" fillId="0" borderId="25" xfId="2" applyFont="1" applyBorder="1" applyAlignment="1" applyProtection="1">
      <alignment horizontal="right"/>
    </xf>
    <xf numFmtId="44" fontId="14" fillId="0" borderId="7" xfId="2" applyFont="1" applyBorder="1" applyAlignment="1" applyProtection="1">
      <alignment horizontal="right"/>
    </xf>
    <xf numFmtId="0" fontId="14" fillId="0" borderId="20" xfId="3" applyFont="1" applyBorder="1"/>
    <xf numFmtId="0" fontId="14" fillId="0" borderId="24" xfId="3" applyFont="1" applyBorder="1"/>
    <xf numFmtId="44" fontId="14" fillId="0" borderId="24" xfId="2" applyFont="1" applyBorder="1"/>
    <xf numFmtId="44" fontId="14" fillId="0" borderId="6" xfId="2" applyFont="1" applyBorder="1"/>
    <xf numFmtId="164" fontId="18" fillId="0" borderId="21" xfId="3" applyNumberFormat="1" applyFont="1" applyBorder="1" applyAlignment="1">
      <alignment horizontal="right"/>
    </xf>
    <xf numFmtId="44" fontId="18" fillId="0" borderId="25" xfId="2" applyFont="1" applyBorder="1" applyProtection="1"/>
    <xf numFmtId="44" fontId="18" fillId="0" borderId="7" xfId="2" applyFont="1" applyBorder="1" applyProtection="1"/>
    <xf numFmtId="0" fontId="15" fillId="0" borderId="22" xfId="3" applyFont="1" applyBorder="1"/>
    <xf numFmtId="0" fontId="15" fillId="0" borderId="26" xfId="3" applyFont="1" applyBorder="1"/>
    <xf numFmtId="7" fontId="15" fillId="0" borderId="10" xfId="3" applyNumberFormat="1" applyFont="1" applyBorder="1" applyAlignment="1">
      <alignment horizontal="left"/>
    </xf>
    <xf numFmtId="0" fontId="21" fillId="0" borderId="0" xfId="3" applyFont="1" applyAlignment="1">
      <alignment horizontal="left"/>
    </xf>
    <xf numFmtId="0" fontId="15" fillId="0" borderId="27" xfId="3" applyFont="1" applyBorder="1"/>
    <xf numFmtId="0" fontId="15" fillId="4" borderId="2" xfId="3" applyFont="1" applyFill="1" applyBorder="1"/>
    <xf numFmtId="0" fontId="15" fillId="4" borderId="0" xfId="3" applyFont="1" applyFill="1"/>
    <xf numFmtId="164" fontId="15" fillId="4" borderId="0" xfId="3" applyNumberFormat="1" applyFont="1" applyFill="1"/>
    <xf numFmtId="165" fontId="15" fillId="4" borderId="0" xfId="3" applyNumberFormat="1" applyFont="1" applyFill="1"/>
    <xf numFmtId="7" fontId="15" fillId="4" borderId="0" xfId="3" applyNumberFormat="1" applyFont="1" applyFill="1"/>
    <xf numFmtId="0" fontId="15" fillId="4" borderId="11" xfId="3" applyFont="1" applyFill="1" applyBorder="1"/>
    <xf numFmtId="164" fontId="15" fillId="4" borderId="11" xfId="3" applyNumberFormat="1" applyFont="1" applyFill="1" applyBorder="1"/>
    <xf numFmtId="165" fontId="15" fillId="4" borderId="11" xfId="3" applyNumberFormat="1" applyFont="1" applyFill="1" applyBorder="1"/>
    <xf numFmtId="164" fontId="15" fillId="0" borderId="0" xfId="3" applyNumberFormat="1" applyFont="1"/>
    <xf numFmtId="165" fontId="15" fillId="0" borderId="0" xfId="3" applyNumberFormat="1" applyFont="1"/>
    <xf numFmtId="0" fontId="15" fillId="3" borderId="2" xfId="3" applyFont="1" applyFill="1" applyBorder="1"/>
    <xf numFmtId="0" fontId="15" fillId="3" borderId="6" xfId="3" applyFont="1" applyFill="1" applyBorder="1"/>
    <xf numFmtId="0" fontId="15" fillId="3" borderId="0" xfId="3" applyFont="1" applyFill="1"/>
    <xf numFmtId="0" fontId="15" fillId="3" borderId="7" xfId="3" applyFont="1" applyFill="1" applyBorder="1"/>
    <xf numFmtId="0" fontId="15" fillId="3" borderId="11" xfId="3" applyFont="1" applyFill="1" applyBorder="1"/>
    <xf numFmtId="0" fontId="15" fillId="3" borderId="10" xfId="3" applyFont="1" applyFill="1" applyBorder="1"/>
    <xf numFmtId="0" fontId="14" fillId="0" borderId="0" xfId="3" applyFont="1"/>
    <xf numFmtId="0" fontId="15" fillId="0" borderId="5" xfId="3" applyFont="1" applyBorder="1" applyAlignment="1">
      <alignment horizontal="center"/>
    </xf>
    <xf numFmtId="0" fontId="19" fillId="0" borderId="0" xfId="3" applyFont="1" applyAlignment="1">
      <alignment horizontal="center"/>
    </xf>
    <xf numFmtId="165" fontId="19" fillId="0" borderId="0" xfId="3" applyNumberFormat="1" applyFont="1" applyAlignment="1">
      <alignment horizontal="center"/>
    </xf>
    <xf numFmtId="0" fontId="15" fillId="4" borderId="1" xfId="3" applyFont="1" applyFill="1" applyBorder="1" applyAlignment="1">
      <alignment horizontal="center"/>
    </xf>
    <xf numFmtId="0" fontId="15" fillId="4" borderId="4" xfId="3" applyFont="1" applyFill="1" applyBorder="1" applyAlignment="1">
      <alignment horizontal="center"/>
    </xf>
    <xf numFmtId="17" fontId="15" fillId="4" borderId="4" xfId="3" applyNumberFormat="1" applyFont="1" applyFill="1" applyBorder="1" applyAlignment="1" applyProtection="1">
      <alignment horizontal="center"/>
      <protection locked="0"/>
    </xf>
    <xf numFmtId="0" fontId="15" fillId="4" borderId="8" xfId="3" applyFont="1" applyFill="1" applyBorder="1" applyAlignment="1">
      <alignment horizontal="center"/>
    </xf>
    <xf numFmtId="0" fontId="15" fillId="3" borderId="1" xfId="3" applyFont="1" applyFill="1" applyBorder="1" applyAlignment="1">
      <alignment horizontal="center"/>
    </xf>
    <xf numFmtId="0" fontId="15" fillId="3" borderId="4" xfId="3" applyFont="1" applyFill="1" applyBorder="1" applyAlignment="1">
      <alignment horizontal="center"/>
    </xf>
    <xf numFmtId="0" fontId="15" fillId="3" borderId="8" xfId="3" applyFont="1" applyFill="1" applyBorder="1" applyAlignment="1">
      <alignment horizontal="center"/>
    </xf>
    <xf numFmtId="0" fontId="4" fillId="0" borderId="0" xfId="3" applyFont="1" applyAlignment="1">
      <alignment horizontal="center"/>
    </xf>
    <xf numFmtId="0" fontId="4" fillId="0" borderId="5" xfId="3" applyFont="1" applyBorder="1" applyAlignment="1">
      <alignment horizontal="center"/>
    </xf>
    <xf numFmtId="0" fontId="5" fillId="0" borderId="5" xfId="3" applyFont="1" applyBorder="1" applyAlignment="1">
      <alignment horizontal="center"/>
    </xf>
    <xf numFmtId="0" fontId="5" fillId="0" borderId="9" xfId="3" applyFont="1" applyBorder="1" applyAlignment="1">
      <alignment horizontal="center"/>
    </xf>
    <xf numFmtId="0" fontId="4" fillId="0" borderId="11" xfId="3" applyFont="1" applyBorder="1" applyAlignment="1">
      <alignment horizontal="center"/>
    </xf>
    <xf numFmtId="0" fontId="5" fillId="3" borderId="1" xfId="3" applyFont="1" applyFill="1" applyBorder="1" applyAlignment="1">
      <alignment horizontal="center"/>
    </xf>
    <xf numFmtId="0" fontId="5" fillId="3" borderId="8" xfId="3" applyFont="1" applyFill="1" applyBorder="1" applyAlignment="1">
      <alignment horizontal="center"/>
    </xf>
    <xf numFmtId="164" fontId="14" fillId="0" borderId="0" xfId="6" applyFont="1"/>
    <xf numFmtId="164" fontId="15" fillId="0" borderId="0" xfId="6" applyFont="1"/>
    <xf numFmtId="164" fontId="14" fillId="0" borderId="1" xfId="6" applyFont="1" applyBorder="1" applyAlignment="1">
      <alignment horizontal="left"/>
    </xf>
    <xf numFmtId="164" fontId="15" fillId="0" borderId="2" xfId="6" applyFont="1" applyBorder="1"/>
    <xf numFmtId="164" fontId="14" fillId="0" borderId="3" xfId="6" applyFont="1" applyBorder="1" applyAlignment="1">
      <alignment horizontal="left"/>
    </xf>
    <xf numFmtId="164" fontId="15" fillId="0" borderId="0" xfId="6" applyFont="1" applyAlignment="1">
      <alignment horizontal="left"/>
    </xf>
    <xf numFmtId="164" fontId="14" fillId="0" borderId="3" xfId="6" applyFont="1" applyBorder="1" applyAlignment="1">
      <alignment horizontal="right"/>
    </xf>
    <xf numFmtId="164" fontId="14" fillId="0" borderId="4" xfId="6" applyFont="1" applyBorder="1" applyAlignment="1">
      <alignment horizontal="left"/>
    </xf>
    <xf numFmtId="164" fontId="14" fillId="0" borderId="5" xfId="6" applyFont="1" applyBorder="1" applyAlignment="1">
      <alignment horizontal="left"/>
    </xf>
    <xf numFmtId="164" fontId="14" fillId="0" borderId="5" xfId="6" applyFont="1" applyBorder="1" applyAlignment="1">
      <alignment horizontal="right"/>
    </xf>
    <xf numFmtId="164" fontId="14" fillId="0" borderId="5" xfId="6" applyFont="1" applyBorder="1"/>
    <xf numFmtId="164" fontId="14" fillId="0" borderId="8" xfId="6" applyFont="1" applyBorder="1"/>
    <xf numFmtId="164" fontId="14" fillId="0" borderId="9" xfId="6" applyFont="1" applyBorder="1" applyAlignment="1">
      <alignment horizontal="right"/>
    </xf>
    <xf numFmtId="164" fontId="16" fillId="0" borderId="0" xfId="6" applyFont="1" applyAlignment="1" applyProtection="1">
      <alignment horizontal="left"/>
      <protection locked="0"/>
    </xf>
    <xf numFmtId="164" fontId="14" fillId="0" borderId="8" xfId="6" applyFont="1" applyBorder="1" applyAlignment="1">
      <alignment horizontal="left"/>
    </xf>
    <xf numFmtId="164" fontId="15" fillId="0" borderId="11" xfId="6" applyFont="1" applyBorder="1"/>
    <xf numFmtId="164" fontId="14" fillId="0" borderId="9" xfId="6" applyFont="1" applyBorder="1" applyAlignment="1">
      <alignment horizontal="left"/>
    </xf>
    <xf numFmtId="15" fontId="14" fillId="0" borderId="0" xfId="7" applyNumberFormat="1" applyFont="1" applyAlignment="1">
      <alignment horizontal="right"/>
    </xf>
    <xf numFmtId="15" fontId="18" fillId="0" borderId="0" xfId="7" applyNumberFormat="1" applyFont="1" applyAlignment="1">
      <alignment horizontal="right"/>
    </xf>
    <xf numFmtId="164" fontId="16" fillId="0" borderId="0" xfId="6" applyFont="1" applyProtection="1">
      <protection locked="0"/>
    </xf>
    <xf numFmtId="7" fontId="16" fillId="0" borderId="0" xfId="6" applyNumberFormat="1" applyFont="1" applyProtection="1">
      <protection locked="0"/>
    </xf>
    <xf numFmtId="164" fontId="14" fillId="0" borderId="0" xfId="6" applyFont="1" applyAlignment="1">
      <alignment horizontal="right"/>
    </xf>
    <xf numFmtId="168" fontId="14" fillId="0" borderId="0" xfId="6" applyNumberFormat="1" applyFont="1"/>
    <xf numFmtId="164" fontId="15" fillId="0" borderId="0" xfId="6" applyFont="1" applyAlignment="1">
      <alignment horizontal="fill"/>
    </xf>
    <xf numFmtId="164" fontId="14" fillId="0" borderId="3" xfId="6" applyFont="1" applyBorder="1" applyAlignment="1">
      <alignment horizontal="center"/>
    </xf>
    <xf numFmtId="164" fontId="14" fillId="0" borderId="1" xfId="6" applyFont="1" applyBorder="1" applyAlignment="1">
      <alignment horizontal="center"/>
    </xf>
    <xf numFmtId="167" fontId="14" fillId="0" borderId="3" xfId="6" applyNumberFormat="1" applyFont="1" applyBorder="1" applyAlignment="1">
      <alignment horizontal="center"/>
    </xf>
    <xf numFmtId="164" fontId="14" fillId="0" borderId="2" xfId="6" applyFont="1" applyBorder="1" applyAlignment="1">
      <alignment horizontal="center"/>
    </xf>
    <xf numFmtId="164" fontId="14" fillId="0" borderId="0" xfId="6" applyFont="1" applyAlignment="1">
      <alignment horizontal="center"/>
    </xf>
    <xf numFmtId="164" fontId="14" fillId="0" borderId="9" xfId="6" applyFont="1" applyBorder="1" applyAlignment="1">
      <alignment horizontal="center"/>
    </xf>
    <xf numFmtId="164" fontId="14" fillId="0" borderId="8" xfId="6" applyFont="1" applyBorder="1" applyAlignment="1">
      <alignment horizontal="center"/>
    </xf>
    <xf numFmtId="167" fontId="14" fillId="0" borderId="9" xfId="6" applyNumberFormat="1" applyFont="1" applyBorder="1" applyAlignment="1">
      <alignment horizontal="center"/>
    </xf>
    <xf numFmtId="164" fontId="14" fillId="0" borderId="11" xfId="6" applyFont="1" applyBorder="1" applyAlignment="1">
      <alignment horizontal="center"/>
    </xf>
    <xf numFmtId="164" fontId="15" fillId="0" borderId="5" xfId="6" applyFont="1" applyBorder="1" applyAlignment="1">
      <alignment horizontal="fill"/>
    </xf>
    <xf numFmtId="164" fontId="15" fillId="0" borderId="4" xfId="6" applyFont="1" applyBorder="1"/>
    <xf numFmtId="164" fontId="15" fillId="0" borderId="5" xfId="6" applyFont="1" applyBorder="1"/>
    <xf numFmtId="164" fontId="15" fillId="0" borderId="3" xfId="6" applyFont="1" applyBorder="1"/>
    <xf numFmtId="164" fontId="15" fillId="0" borderId="1" xfId="6" applyFont="1" applyBorder="1"/>
    <xf numFmtId="0" fontId="15" fillId="0" borderId="5" xfId="6" applyNumberFormat="1" applyFont="1" applyBorder="1"/>
    <xf numFmtId="167" fontId="16" fillId="0" borderId="5" xfId="6" applyNumberFormat="1" applyFont="1" applyBorder="1" applyProtection="1">
      <protection locked="0"/>
    </xf>
    <xf numFmtId="164" fontId="16" fillId="0" borderId="5" xfId="6" applyFont="1" applyBorder="1" applyProtection="1">
      <protection locked="0"/>
    </xf>
    <xf numFmtId="165" fontId="16" fillId="0" borderId="4" xfId="6" applyNumberFormat="1" applyFont="1" applyBorder="1" applyProtection="1">
      <protection locked="0"/>
    </xf>
    <xf numFmtId="164" fontId="16" fillId="0" borderId="4" xfId="6" applyFont="1" applyBorder="1" applyProtection="1">
      <protection locked="0"/>
    </xf>
    <xf numFmtId="165" fontId="15" fillId="0" borderId="5" xfId="6" applyNumberFormat="1" applyFont="1" applyBorder="1"/>
    <xf numFmtId="7" fontId="15" fillId="0" borderId="5" xfId="6" applyNumberFormat="1" applyFont="1" applyBorder="1"/>
    <xf numFmtId="164" fontId="15" fillId="0" borderId="9" xfId="6" applyFont="1" applyBorder="1" applyAlignment="1">
      <alignment horizontal="fill"/>
    </xf>
    <xf numFmtId="164" fontId="15" fillId="0" borderId="8" xfId="6" applyFont="1" applyBorder="1"/>
    <xf numFmtId="164" fontId="15" fillId="0" borderId="9" xfId="6" applyFont="1" applyBorder="1"/>
    <xf numFmtId="164" fontId="14" fillId="0" borderId="12" xfId="6" applyFont="1" applyBorder="1" applyAlignment="1">
      <alignment horizontal="left"/>
    </xf>
    <xf numFmtId="164" fontId="14" fillId="0" borderId="13" xfId="6" applyFont="1" applyBorder="1"/>
    <xf numFmtId="167" fontId="14" fillId="0" borderId="14" xfId="6" applyNumberFormat="1" applyFont="1" applyBorder="1"/>
    <xf numFmtId="164" fontId="14" fillId="0" borderId="13" xfId="6" applyFont="1" applyBorder="1" applyAlignment="1">
      <alignment horizontal="left"/>
    </xf>
    <xf numFmtId="164" fontId="14" fillId="0" borderId="14" xfId="6" applyFont="1" applyBorder="1"/>
    <xf numFmtId="165" fontId="14" fillId="0" borderId="14" xfId="6" applyNumberFormat="1" applyFont="1" applyBorder="1"/>
    <xf numFmtId="7" fontId="14" fillId="0" borderId="14" xfId="6" applyNumberFormat="1" applyFont="1" applyBorder="1"/>
    <xf numFmtId="164" fontId="14" fillId="0" borderId="12" xfId="6" applyFont="1" applyBorder="1" applyAlignment="1">
      <alignment horizontal="center"/>
    </xf>
    <xf numFmtId="164" fontId="14" fillId="0" borderId="14" xfId="6" applyFont="1" applyBorder="1" applyAlignment="1">
      <alignment horizontal="center"/>
    </xf>
    <xf numFmtId="167" fontId="14" fillId="0" borderId="15" xfId="6" applyNumberFormat="1" applyFont="1" applyBorder="1" applyAlignment="1">
      <alignment horizontal="center"/>
    </xf>
    <xf numFmtId="164" fontId="14" fillId="0" borderId="13" xfId="6" applyFont="1" applyBorder="1" applyAlignment="1">
      <alignment horizontal="center"/>
    </xf>
    <xf numFmtId="164" fontId="14" fillId="0" borderId="13" xfId="6" quotePrefix="1" applyFont="1" applyBorder="1" applyAlignment="1">
      <alignment horizontal="center"/>
    </xf>
    <xf numFmtId="164" fontId="15" fillId="0" borderId="7" xfId="6" applyFont="1" applyBorder="1"/>
    <xf numFmtId="0" fontId="14" fillId="0" borderId="0" xfId="6" applyNumberFormat="1" applyFont="1"/>
    <xf numFmtId="167" fontId="15" fillId="0" borderId="5" xfId="6" applyNumberFormat="1" applyFont="1" applyBorder="1" applyAlignment="1">
      <alignment horizontal="center"/>
    </xf>
    <xf numFmtId="164" fontId="15" fillId="0" borderId="5" xfId="6" applyFont="1" applyBorder="1" applyAlignment="1">
      <alignment horizontal="left"/>
    </xf>
    <xf numFmtId="164" fontId="15" fillId="0" borderId="5" xfId="6" applyFont="1" applyBorder="1" applyAlignment="1">
      <alignment horizontal="right"/>
    </xf>
    <xf numFmtId="164" fontId="17" fillId="0" borderId="5" xfId="6" applyFont="1" applyBorder="1" applyProtection="1">
      <protection locked="0"/>
    </xf>
    <xf numFmtId="164" fontId="15" fillId="0" borderId="9" xfId="6" applyFont="1" applyBorder="1" applyAlignment="1">
      <alignment horizontal="left"/>
    </xf>
    <xf numFmtId="164" fontId="15" fillId="0" borderId="9" xfId="6" applyFont="1" applyBorder="1" applyAlignment="1">
      <alignment horizontal="right"/>
    </xf>
    <xf numFmtId="164" fontId="17" fillId="0" borderId="9" xfId="6" applyFont="1" applyBorder="1" applyProtection="1">
      <protection locked="0"/>
    </xf>
    <xf numFmtId="164" fontId="15" fillId="0" borderId="0" xfId="6" quotePrefix="1" applyFont="1" applyAlignment="1">
      <alignment horizontal="right"/>
    </xf>
    <xf numFmtId="164" fontId="14" fillId="0" borderId="0" xfId="6" applyFont="1" applyAlignment="1">
      <alignment horizontal="left"/>
    </xf>
    <xf numFmtId="167" fontId="14" fillId="0" borderId="0" xfId="6" applyNumberFormat="1" applyFont="1"/>
    <xf numFmtId="164" fontId="14" fillId="0" borderId="15" xfId="6" applyFont="1" applyBorder="1" applyAlignment="1">
      <alignment horizontal="center"/>
    </xf>
    <xf numFmtId="164" fontId="22" fillId="0" borderId="13" xfId="6" applyFont="1" applyBorder="1" applyProtection="1">
      <protection locked="0"/>
    </xf>
    <xf numFmtId="164" fontId="14" fillId="0" borderId="15" xfId="6" applyFont="1" applyBorder="1"/>
    <xf numFmtId="167" fontId="14" fillId="0" borderId="14" xfId="6" applyNumberFormat="1" applyFont="1" applyBorder="1" applyAlignment="1">
      <alignment horizontal="center"/>
    </xf>
    <xf numFmtId="164" fontId="17" fillId="0" borderId="4" xfId="6" applyFont="1" applyBorder="1" applyProtection="1">
      <protection locked="0"/>
    </xf>
    <xf numFmtId="164" fontId="14" fillId="0" borderId="14" xfId="6" applyFont="1" applyBorder="1" applyAlignment="1">
      <alignment horizontal="left"/>
    </xf>
    <xf numFmtId="164" fontId="15" fillId="5" borderId="7" xfId="6" applyFont="1" applyFill="1" applyBorder="1"/>
    <xf numFmtId="164" fontId="15" fillId="5" borderId="0" xfId="6" applyFont="1" applyFill="1"/>
    <xf numFmtId="164" fontId="14" fillId="0" borderId="11" xfId="6" applyFont="1" applyBorder="1"/>
    <xf numFmtId="164" fontId="15" fillId="0" borderId="14" xfId="6" applyFont="1" applyBorder="1"/>
    <xf numFmtId="164" fontId="14" fillId="0" borderId="13" xfId="6" applyFont="1" applyBorder="1" applyAlignment="1">
      <alignment horizontal="right"/>
    </xf>
    <xf numFmtId="164" fontId="14" fillId="0" borderId="14" xfId="6" applyFont="1" applyBorder="1" applyAlignment="1">
      <alignment horizontal="right"/>
    </xf>
    <xf numFmtId="167" fontId="15" fillId="0" borderId="5" xfId="6" applyNumberFormat="1" applyFont="1" applyBorder="1"/>
    <xf numFmtId="164" fontId="15" fillId="0" borderId="13" xfId="6" applyFont="1" applyBorder="1"/>
    <xf numFmtId="164" fontId="14" fillId="0" borderId="5" xfId="6" applyFont="1" applyBorder="1" applyAlignment="1">
      <alignment horizontal="center"/>
    </xf>
    <xf numFmtId="164" fontId="15" fillId="0" borderId="1" xfId="6" applyFont="1" applyBorder="1" applyAlignment="1">
      <alignment horizontal="left"/>
    </xf>
    <xf numFmtId="44" fontId="15" fillId="0" borderId="3" xfId="1" applyFont="1" applyBorder="1" applyAlignment="1" applyProtection="1">
      <alignment horizontal="left"/>
    </xf>
    <xf numFmtId="164" fontId="15" fillId="0" borderId="0" xfId="6" applyFont="1" applyAlignment="1">
      <alignment horizontal="right"/>
    </xf>
    <xf numFmtId="164" fontId="14" fillId="0" borderId="1" xfId="6" applyFont="1" applyBorder="1" applyAlignment="1">
      <alignment horizontal="right"/>
    </xf>
    <xf numFmtId="5" fontId="14" fillId="0" borderId="3" xfId="6" applyNumberFormat="1" applyFont="1" applyBorder="1" applyAlignment="1">
      <alignment horizontal="left"/>
    </xf>
    <xf numFmtId="165" fontId="14" fillId="0" borderId="3" xfId="6" applyNumberFormat="1" applyFont="1" applyBorder="1"/>
    <xf numFmtId="164" fontId="15" fillId="0" borderId="6" xfId="6" applyFont="1" applyBorder="1"/>
    <xf numFmtId="44" fontId="14" fillId="0" borderId="5" xfId="6" applyNumberFormat="1" applyFont="1" applyBorder="1" applyAlignment="1">
      <alignment horizontal="center"/>
    </xf>
    <xf numFmtId="44" fontId="14" fillId="0" borderId="5" xfId="6" applyNumberFormat="1" applyFont="1" applyBorder="1"/>
    <xf numFmtId="164" fontId="15" fillId="0" borderId="4" xfId="6" applyFont="1" applyBorder="1" applyAlignment="1">
      <alignment horizontal="left"/>
    </xf>
    <xf numFmtId="44" fontId="15" fillId="0" borderId="5" xfId="1" applyFont="1" applyBorder="1" applyAlignment="1" applyProtection="1">
      <alignment horizontal="left"/>
    </xf>
    <xf numFmtId="164" fontId="14" fillId="0" borderId="4" xfId="6" applyFont="1" applyBorder="1" applyAlignment="1">
      <alignment horizontal="right"/>
    </xf>
    <xf numFmtId="5" fontId="14" fillId="0" borderId="5" xfId="6" applyNumberFormat="1" applyFont="1" applyBorder="1" applyAlignment="1">
      <alignment horizontal="left"/>
    </xf>
    <xf numFmtId="7" fontId="14" fillId="0" borderId="7" xfId="6" applyNumberFormat="1" applyFont="1" applyBorder="1"/>
    <xf numFmtId="165" fontId="14" fillId="0" borderId="5" xfId="6" applyNumberFormat="1" applyFont="1" applyBorder="1"/>
    <xf numFmtId="165" fontId="14" fillId="0" borderId="5" xfId="6" applyNumberFormat="1" applyFont="1" applyBorder="1" applyAlignment="1">
      <alignment horizontal="left"/>
    </xf>
    <xf numFmtId="7" fontId="14" fillId="0" borderId="5" xfId="6" applyNumberFormat="1" applyFont="1" applyBorder="1" applyAlignment="1">
      <alignment horizontal="center"/>
    </xf>
    <xf numFmtId="164" fontId="15" fillId="0" borderId="5" xfId="6" applyFont="1" applyBorder="1" applyAlignment="1">
      <alignment horizontal="center"/>
    </xf>
    <xf numFmtId="7" fontId="14" fillId="0" borderId="5" xfId="6" applyNumberFormat="1" applyFont="1" applyBorder="1" applyAlignment="1">
      <alignment horizontal="right"/>
    </xf>
    <xf numFmtId="164" fontId="14" fillId="0" borderId="6" xfId="6" applyFont="1" applyBorder="1" applyAlignment="1">
      <alignment horizontal="center"/>
    </xf>
    <xf numFmtId="164" fontId="14" fillId="0" borderId="8" xfId="6" applyFont="1" applyBorder="1" applyAlignment="1">
      <alignment horizontal="right"/>
    </xf>
    <xf numFmtId="165" fontId="14" fillId="0" borderId="9" xfId="6" applyNumberFormat="1" applyFont="1" applyBorder="1" applyAlignment="1">
      <alignment horizontal="left"/>
    </xf>
    <xf numFmtId="165" fontId="14" fillId="0" borderId="9" xfId="6" applyNumberFormat="1" applyFont="1" applyBorder="1"/>
    <xf numFmtId="7" fontId="14" fillId="0" borderId="10" xfId="6" applyNumberFormat="1" applyFont="1" applyBorder="1"/>
    <xf numFmtId="164" fontId="14" fillId="0" borderId="10" xfId="6" applyFont="1" applyBorder="1" applyAlignment="1">
      <alignment horizontal="center"/>
    </xf>
    <xf numFmtId="44" fontId="14" fillId="0" borderId="14" xfId="6" applyNumberFormat="1" applyFont="1" applyBorder="1" applyAlignment="1">
      <alignment horizontal="center"/>
    </xf>
    <xf numFmtId="44" fontId="14" fillId="0" borderId="14" xfId="6" applyNumberFormat="1" applyFont="1" applyBorder="1"/>
    <xf numFmtId="164" fontId="15" fillId="0" borderId="8" xfId="6" applyFont="1" applyBorder="1" applyAlignment="1">
      <alignment horizontal="left"/>
    </xf>
    <xf numFmtId="44" fontId="15" fillId="0" borderId="9" xfId="1" applyFont="1" applyBorder="1" applyAlignment="1" applyProtection="1">
      <alignment horizontal="left"/>
    </xf>
    <xf numFmtId="0" fontId="5" fillId="0" borderId="0" xfId="4" applyFont="1" applyAlignment="1">
      <alignment horizontal="right"/>
    </xf>
    <xf numFmtId="49" fontId="5" fillId="0" borderId="0" xfId="4" applyNumberFormat="1" applyFont="1" applyAlignment="1">
      <alignment horizontal="right"/>
    </xf>
    <xf numFmtId="0" fontId="4" fillId="0" borderId="29" xfId="4" applyFont="1" applyBorder="1" applyAlignment="1">
      <alignment horizontal="center" vertical="center"/>
    </xf>
    <xf numFmtId="0" fontId="4" fillId="0" borderId="28" xfId="4" applyFont="1" applyBorder="1" applyAlignment="1">
      <alignment horizontal="center" vertical="center"/>
    </xf>
    <xf numFmtId="0" fontId="4" fillId="0" borderId="0" xfId="4" applyFont="1" applyAlignment="1">
      <alignment horizontal="center" vertical="center"/>
    </xf>
    <xf numFmtId="0" fontId="5" fillId="0" borderId="0" xfId="4" applyFont="1" applyAlignment="1">
      <alignment horizontal="center" vertical="center"/>
    </xf>
    <xf numFmtId="0" fontId="4" fillId="0" borderId="32" xfId="4" applyFont="1" applyBorder="1" applyAlignment="1">
      <alignment horizontal="center" vertical="center"/>
    </xf>
    <xf numFmtId="0" fontId="4" fillId="0" borderId="30" xfId="4" applyFont="1" applyBorder="1" applyAlignment="1">
      <alignment horizontal="center" vertical="center"/>
    </xf>
    <xf numFmtId="0" fontId="23" fillId="0" borderId="0" xfId="3" applyFont="1"/>
    <xf numFmtId="49" fontId="23" fillId="0" borderId="0" xfId="4" applyNumberFormat="1" applyFont="1"/>
    <xf numFmtId="0" fontId="10" fillId="0" borderId="0" xfId="3" applyFont="1" applyAlignment="1">
      <alignment horizontal="left"/>
    </xf>
    <xf numFmtId="164" fontId="10" fillId="0" borderId="0" xfId="3" applyNumberFormat="1" applyFont="1" applyAlignment="1">
      <alignment horizontal="left"/>
    </xf>
    <xf numFmtId="0" fontId="15" fillId="6" borderId="1" xfId="3" applyFont="1" applyFill="1" applyBorder="1" applyAlignment="1">
      <alignment horizontal="center"/>
    </xf>
    <xf numFmtId="0" fontId="15" fillId="6" borderId="2" xfId="3" applyFont="1" applyFill="1" applyBorder="1"/>
    <xf numFmtId="0" fontId="16" fillId="6" borderId="2" xfId="3" applyFont="1" applyFill="1" applyBorder="1" applyProtection="1">
      <protection locked="0"/>
    </xf>
    <xf numFmtId="164" fontId="15" fillId="6" borderId="2" xfId="3" applyNumberFormat="1" applyFont="1" applyFill="1" applyBorder="1"/>
    <xf numFmtId="165" fontId="15" fillId="6" borderId="2" xfId="3" applyNumberFormat="1" applyFont="1" applyFill="1" applyBorder="1"/>
    <xf numFmtId="164" fontId="15" fillId="6" borderId="6" xfId="3" applyNumberFormat="1" applyFont="1" applyFill="1" applyBorder="1"/>
    <xf numFmtId="0" fontId="15" fillId="6" borderId="8" xfId="3" applyFont="1" applyFill="1" applyBorder="1" applyAlignment="1">
      <alignment horizontal="center"/>
    </xf>
    <xf numFmtId="0" fontId="15" fillId="6" borderId="11" xfId="3" applyFont="1" applyFill="1" applyBorder="1" applyAlignment="1">
      <alignment horizontal="left"/>
    </xf>
    <xf numFmtId="7" fontId="15" fillId="6" borderId="11" xfId="3" applyNumberFormat="1" applyFont="1" applyFill="1" applyBorder="1"/>
    <xf numFmtId="7" fontId="16" fillId="6" borderId="11" xfId="3" applyNumberFormat="1" applyFont="1" applyFill="1" applyBorder="1" applyProtection="1">
      <protection locked="0"/>
    </xf>
    <xf numFmtId="0" fontId="15" fillId="6" borderId="11" xfId="3" applyFont="1" applyFill="1" applyBorder="1"/>
    <xf numFmtId="164" fontId="15" fillId="6" borderId="11" xfId="3" applyNumberFormat="1" applyFont="1" applyFill="1" applyBorder="1"/>
    <xf numFmtId="165" fontId="15" fillId="6" borderId="11" xfId="3" applyNumberFormat="1" applyFont="1" applyFill="1" applyBorder="1"/>
    <xf numFmtId="164" fontId="15" fillId="6" borderId="10" xfId="3" applyNumberFormat="1" applyFont="1" applyFill="1" applyBorder="1"/>
    <xf numFmtId="164" fontId="16" fillId="0" borderId="5" xfId="6" applyFont="1" applyBorder="1" applyAlignment="1" applyProtection="1">
      <alignment horizontal="right"/>
      <protection locked="0"/>
    </xf>
    <xf numFmtId="0" fontId="14" fillId="0" borderId="0" xfId="3" applyFont="1" applyAlignment="1">
      <alignment horizontal="left"/>
    </xf>
    <xf numFmtId="0" fontId="14" fillId="0" borderId="2" xfId="3" applyFont="1" applyBorder="1" applyAlignment="1">
      <alignment horizontal="left"/>
    </xf>
    <xf numFmtId="0" fontId="14" fillId="0" borderId="11" xfId="3" applyFont="1" applyBorder="1" applyAlignment="1">
      <alignment horizontal="left"/>
    </xf>
    <xf numFmtId="0" fontId="14" fillId="0" borderId="2" xfId="3" applyFont="1" applyBorder="1" applyAlignment="1">
      <alignment horizontal="right"/>
    </xf>
    <xf numFmtId="0" fontId="14" fillId="0" borderId="0" xfId="3" applyFont="1" applyAlignment="1">
      <alignment horizontal="right"/>
    </xf>
    <xf numFmtId="0" fontId="14" fillId="0" borderId="11" xfId="3" applyFont="1" applyBorder="1" applyAlignment="1">
      <alignment horizontal="right"/>
    </xf>
    <xf numFmtId="164" fontId="14" fillId="0" borderId="1" xfId="3" applyNumberFormat="1" applyFont="1" applyBorder="1" applyAlignment="1">
      <alignment horizontal="right"/>
    </xf>
    <xf numFmtId="164" fontId="14" fillId="0" borderId="4" xfId="3" applyNumberFormat="1" applyFont="1" applyBorder="1" applyAlignment="1">
      <alignment horizontal="right"/>
    </xf>
    <xf numFmtId="164" fontId="14" fillId="0" borderId="8" xfId="3" applyNumberFormat="1" applyFont="1" applyBorder="1" applyAlignment="1">
      <alignment horizontal="right"/>
    </xf>
    <xf numFmtId="0" fontId="14" fillId="0" borderId="34" xfId="3" applyFont="1" applyBorder="1" applyAlignment="1">
      <alignment horizontal="right"/>
    </xf>
    <xf numFmtId="0" fontId="14" fillId="0" borderId="35" xfId="3" applyFont="1" applyBorder="1" applyAlignment="1">
      <alignment horizontal="right"/>
    </xf>
    <xf numFmtId="0" fontId="14" fillId="0" borderId="36" xfId="3" applyFont="1" applyBorder="1" applyAlignment="1">
      <alignment horizontal="right"/>
    </xf>
    <xf numFmtId="165" fontId="14" fillId="0" borderId="5" xfId="3" applyNumberFormat="1" applyFont="1" applyBorder="1" applyAlignment="1">
      <alignment horizontal="center"/>
    </xf>
    <xf numFmtId="8" fontId="14" fillId="0" borderId="37" xfId="3" applyNumberFormat="1" applyFont="1" applyBorder="1" applyAlignment="1">
      <alignment horizontal="right"/>
    </xf>
    <xf numFmtId="8" fontId="14" fillId="0" borderId="38" xfId="3" applyNumberFormat="1" applyFont="1" applyBorder="1" applyAlignment="1">
      <alignment horizontal="right"/>
    </xf>
    <xf numFmtId="8" fontId="14" fillId="0" borderId="39" xfId="3" applyNumberFormat="1" applyFont="1" applyBorder="1" applyAlignment="1">
      <alignment horizontal="right"/>
    </xf>
    <xf numFmtId="8" fontId="14" fillId="0" borderId="3" xfId="3" applyNumberFormat="1" applyFont="1" applyBorder="1" applyAlignment="1">
      <alignment horizontal="right"/>
    </xf>
    <xf numFmtId="8" fontId="14" fillId="0" borderId="5" xfId="3" applyNumberFormat="1" applyFont="1" applyBorder="1" applyAlignment="1">
      <alignment horizontal="right"/>
    </xf>
    <xf numFmtId="8" fontId="14" fillId="0" borderId="9" xfId="3" applyNumberFormat="1" applyFont="1" applyBorder="1" applyAlignment="1">
      <alignment horizontal="right"/>
    </xf>
    <xf numFmtId="0" fontId="26" fillId="0" borderId="0" xfId="3" applyFont="1"/>
    <xf numFmtId="8" fontId="11" fillId="2" borderId="3" xfId="2" applyNumberFormat="1" applyFont="1" applyFill="1" applyBorder="1" applyProtection="1"/>
    <xf numFmtId="8" fontId="11" fillId="2" borderId="5" xfId="2" applyNumberFormat="1" applyFont="1" applyFill="1" applyBorder="1" applyProtection="1"/>
    <xf numFmtId="8" fontId="11" fillId="2" borderId="14" xfId="2" applyNumberFormat="1" applyFont="1" applyFill="1" applyBorder="1" applyAlignment="1" applyProtection="1">
      <alignment horizontal="right"/>
    </xf>
    <xf numFmtId="8" fontId="11" fillId="2" borderId="3" xfId="3" applyNumberFormat="1" applyFont="1" applyFill="1" applyBorder="1"/>
    <xf numFmtId="8" fontId="11" fillId="2" borderId="5" xfId="3" applyNumberFormat="1" applyFont="1" applyFill="1" applyBorder="1"/>
    <xf numFmtId="8" fontId="11" fillId="2" borderId="14" xfId="3" applyNumberFormat="1" applyFont="1" applyFill="1" applyBorder="1" applyAlignment="1">
      <alignment horizontal="right"/>
    </xf>
    <xf numFmtId="8" fontId="4" fillId="0" borderId="0" xfId="3" applyNumberFormat="1" applyFont="1"/>
    <xf numFmtId="8" fontId="11" fillId="2" borderId="7" xfId="3" applyNumberFormat="1" applyFont="1" applyFill="1" applyBorder="1"/>
    <xf numFmtId="164" fontId="11" fillId="2" borderId="3" xfId="3" applyNumberFormat="1" applyFont="1" applyFill="1" applyBorder="1" applyAlignment="1">
      <alignment horizontal="right"/>
    </xf>
    <xf numFmtId="164" fontId="11" fillId="2" borderId="5" xfId="3" applyNumberFormat="1" applyFont="1" applyFill="1" applyBorder="1" applyAlignment="1">
      <alignment horizontal="right"/>
    </xf>
    <xf numFmtId="164" fontId="11" fillId="2" borderId="9" xfId="3" applyNumberFormat="1" applyFont="1" applyFill="1" applyBorder="1" applyAlignment="1">
      <alignment horizontal="right"/>
    </xf>
    <xf numFmtId="0" fontId="24" fillId="0" borderId="0" xfId="3" applyFont="1"/>
    <xf numFmtId="164" fontId="24" fillId="0" borderId="0" xfId="6" applyFont="1"/>
    <xf numFmtId="8" fontId="4" fillId="0" borderId="31" xfId="4" applyNumberFormat="1" applyFont="1" applyBorder="1"/>
    <xf numFmtId="8" fontId="4" fillId="0" borderId="33" xfId="4" applyNumberFormat="1" applyFont="1" applyBorder="1"/>
    <xf numFmtId="8" fontId="4" fillId="0" borderId="27" xfId="4" applyNumberFormat="1" applyFont="1" applyBorder="1"/>
    <xf numFmtId="9" fontId="4" fillId="0" borderId="0" xfId="8" applyFont="1" applyAlignment="1">
      <alignment horizontal="left"/>
    </xf>
    <xf numFmtId="0" fontId="4" fillId="0" borderId="33" xfId="4" applyFont="1" applyBorder="1" applyAlignment="1">
      <alignment horizontal="center" vertical="center"/>
    </xf>
    <xf numFmtId="0" fontId="4" fillId="0" borderId="41" xfId="4" applyFont="1" applyBorder="1"/>
    <xf numFmtId="8" fontId="4" fillId="0" borderId="32" xfId="4" applyNumberFormat="1" applyFont="1" applyBorder="1"/>
    <xf numFmtId="8" fontId="4" fillId="0" borderId="29" xfId="4" applyNumberFormat="1" applyFont="1" applyBorder="1"/>
    <xf numFmtId="8" fontId="5" fillId="0" borderId="42" xfId="4" applyNumberFormat="1" applyFont="1" applyBorder="1"/>
    <xf numFmtId="8" fontId="5" fillId="0" borderId="43" xfId="4" applyNumberFormat="1" applyFont="1" applyBorder="1"/>
    <xf numFmtId="0" fontId="4" fillId="0" borderId="28" xfId="4" applyFont="1" applyBorder="1"/>
    <xf numFmtId="0" fontId="4" fillId="0" borderId="32" xfId="4" applyFont="1" applyBorder="1"/>
    <xf numFmtId="0" fontId="4" fillId="0" borderId="44" xfId="4" applyFont="1" applyBorder="1"/>
    <xf numFmtId="0" fontId="5" fillId="0" borderId="45" xfId="4" applyFont="1" applyBorder="1"/>
    <xf numFmtId="0" fontId="5" fillId="0" borderId="43" xfId="4" applyFont="1" applyBorder="1"/>
    <xf numFmtId="8" fontId="5" fillId="0" borderId="40" xfId="4" applyNumberFormat="1" applyFont="1" applyBorder="1"/>
    <xf numFmtId="0" fontId="5" fillId="0" borderId="1" xfId="3" applyFont="1" applyBorder="1" applyAlignment="1">
      <alignment horizontal="right"/>
    </xf>
    <xf numFmtId="0" fontId="4" fillId="0" borderId="1" xfId="3" applyFont="1" applyBorder="1"/>
    <xf numFmtId="0" fontId="5" fillId="0" borderId="2" xfId="3" applyFont="1" applyBorder="1" applyAlignment="1">
      <alignment horizontal="right"/>
    </xf>
    <xf numFmtId="0" fontId="4" fillId="0" borderId="8" xfId="3" applyFont="1" applyBorder="1"/>
    <xf numFmtId="0" fontId="5" fillId="0" borderId="11" xfId="3" applyFont="1" applyBorder="1" applyAlignment="1">
      <alignment horizontal="right"/>
    </xf>
    <xf numFmtId="0" fontId="5" fillId="0" borderId="4" xfId="3" applyFont="1" applyBorder="1" applyAlignment="1">
      <alignment horizontal="right"/>
    </xf>
    <xf numFmtId="0" fontId="5" fillId="0" borderId="8" xfId="3" applyFont="1" applyBorder="1" applyAlignment="1">
      <alignment horizontal="right"/>
    </xf>
    <xf numFmtId="164" fontId="5" fillId="0" borderId="1" xfId="3" applyNumberFormat="1" applyFont="1" applyBorder="1" applyAlignment="1">
      <alignment horizontal="right"/>
    </xf>
    <xf numFmtId="164" fontId="5" fillId="0" borderId="4" xfId="3" applyNumberFormat="1" applyFont="1" applyBorder="1" applyAlignment="1">
      <alignment horizontal="right"/>
    </xf>
    <xf numFmtId="0" fontId="4" fillId="0" borderId="4" xfId="3" applyFont="1" applyBorder="1" applyAlignment="1">
      <alignment horizontal="right"/>
    </xf>
    <xf numFmtId="0" fontId="14" fillId="0" borderId="3" xfId="3" applyFont="1" applyBorder="1" applyAlignment="1">
      <alignment horizontal="right"/>
    </xf>
    <xf numFmtId="0" fontId="14" fillId="0" borderId="5" xfId="3" applyFont="1" applyBorder="1" applyAlignment="1">
      <alignment horizontal="right"/>
    </xf>
    <xf numFmtId="0" fontId="14" fillId="0" borderId="9" xfId="3" applyFont="1" applyBorder="1" applyAlignment="1">
      <alignment horizontal="right"/>
    </xf>
    <xf numFmtId="165" fontId="14" fillId="0" borderId="2" xfId="3" applyNumberFormat="1" applyFont="1" applyBorder="1" applyAlignment="1">
      <alignment horizontal="left"/>
    </xf>
    <xf numFmtId="165" fontId="14" fillId="0" borderId="11" xfId="3" applyNumberFormat="1" applyFont="1" applyBorder="1"/>
    <xf numFmtId="164" fontId="14" fillId="0" borderId="0" xfId="3" applyNumberFormat="1" applyFont="1" applyAlignment="1">
      <alignment horizontal="right"/>
    </xf>
    <xf numFmtId="164" fontId="14" fillId="0" borderId="2" xfId="3" applyNumberFormat="1" applyFont="1" applyBorder="1" applyAlignment="1">
      <alignment horizontal="right"/>
    </xf>
    <xf numFmtId="164" fontId="14" fillId="0" borderId="11" xfId="3" applyNumberFormat="1" applyFont="1" applyBorder="1" applyAlignment="1">
      <alignment horizontal="right"/>
    </xf>
    <xf numFmtId="0" fontId="14" fillId="0" borderId="2" xfId="3" applyFont="1" applyBorder="1"/>
    <xf numFmtId="8" fontId="15" fillId="0" borderId="17" xfId="3" applyNumberFormat="1" applyFont="1" applyBorder="1"/>
    <xf numFmtId="8" fontId="15" fillId="0" borderId="18" xfId="3" applyNumberFormat="1" applyFont="1" applyBorder="1"/>
    <xf numFmtId="8" fontId="15" fillId="0" borderId="48" xfId="3" applyNumberFormat="1" applyFont="1" applyBorder="1"/>
    <xf numFmtId="8" fontId="17" fillId="0" borderId="47" xfId="3" applyNumberFormat="1" applyFont="1" applyBorder="1" applyAlignment="1" applyProtection="1">
      <alignment horizontal="center"/>
      <protection locked="0"/>
    </xf>
    <xf numFmtId="164" fontId="17" fillId="0" borderId="3" xfId="6" applyFont="1" applyBorder="1" applyAlignment="1" applyProtection="1">
      <alignment horizontal="center"/>
      <protection locked="0"/>
    </xf>
    <xf numFmtId="164" fontId="17" fillId="0" borderId="5" xfId="6" applyFont="1" applyBorder="1" applyAlignment="1" applyProtection="1">
      <alignment horizontal="center"/>
      <protection locked="0"/>
    </xf>
    <xf numFmtId="8" fontId="17" fillId="0" borderId="3" xfId="6" applyNumberFormat="1" applyFont="1" applyBorder="1" applyAlignment="1" applyProtection="1">
      <alignment horizontal="center"/>
      <protection locked="0"/>
    </xf>
    <xf numFmtId="8" fontId="17" fillId="0" borderId="5" xfId="6" applyNumberFormat="1" applyFont="1" applyBorder="1" applyAlignment="1">
      <alignment horizontal="center"/>
    </xf>
    <xf numFmtId="8" fontId="17" fillId="0" borderId="5" xfId="6" applyNumberFormat="1" applyFont="1" applyBorder="1" applyAlignment="1" applyProtection="1">
      <alignment horizontal="center"/>
      <protection locked="0"/>
    </xf>
    <xf numFmtId="164" fontId="17" fillId="0" borderId="9" xfId="6" applyFont="1" applyBorder="1" applyAlignment="1" applyProtection="1">
      <alignment horizontal="center"/>
      <protection locked="0"/>
    </xf>
    <xf numFmtId="8" fontId="17" fillId="0" borderId="9" xfId="6" applyNumberFormat="1" applyFont="1" applyBorder="1" applyAlignment="1" applyProtection="1">
      <alignment horizontal="center"/>
      <protection locked="0"/>
    </xf>
    <xf numFmtId="8" fontId="17" fillId="0" borderId="16" xfId="3" applyNumberFormat="1" applyFont="1" applyBorder="1" applyAlignment="1" applyProtection="1">
      <alignment horizontal="center"/>
      <protection locked="0"/>
    </xf>
    <xf numFmtId="8" fontId="17" fillId="0" borderId="17" xfId="3" applyNumberFormat="1" applyFont="1" applyBorder="1" applyAlignment="1" applyProtection="1">
      <alignment horizontal="center"/>
      <protection locked="0"/>
    </xf>
    <xf numFmtId="8" fontId="17" fillId="0" borderId="6" xfId="5" applyNumberFormat="1" applyFont="1" applyBorder="1" applyAlignment="1" applyProtection="1">
      <alignment horizontal="center"/>
      <protection locked="0"/>
    </xf>
    <xf numFmtId="8" fontId="17" fillId="0" borderId="7" xfId="5" applyNumberFormat="1" applyFont="1" applyBorder="1" applyAlignment="1" applyProtection="1">
      <alignment horizontal="center"/>
      <protection locked="0"/>
    </xf>
    <xf numFmtId="8" fontId="17" fillId="0" borderId="10" xfId="5" applyNumberFormat="1" applyFont="1" applyBorder="1" applyAlignment="1" applyProtection="1">
      <alignment horizontal="center"/>
      <protection locked="0"/>
    </xf>
    <xf numFmtId="0" fontId="17" fillId="0" borderId="6" xfId="3" applyFont="1" applyBorder="1" applyAlignment="1" applyProtection="1">
      <alignment horizontal="center"/>
      <protection locked="0"/>
    </xf>
    <xf numFmtId="0" fontId="17" fillId="0" borderId="7" xfId="3" applyFont="1" applyBorder="1" applyAlignment="1" applyProtection="1">
      <alignment horizontal="center"/>
      <protection locked="0"/>
    </xf>
    <xf numFmtId="164" fontId="17" fillId="0" borderId="7" xfId="3" applyNumberFormat="1" applyFont="1" applyBorder="1" applyAlignment="1" applyProtection="1">
      <alignment horizontal="center"/>
      <protection locked="0"/>
    </xf>
    <xf numFmtId="164" fontId="17" fillId="0" borderId="10" xfId="3" applyNumberFormat="1" applyFont="1" applyBorder="1" applyAlignment="1" applyProtection="1">
      <alignment horizontal="center"/>
      <protection locked="0"/>
    </xf>
    <xf numFmtId="0" fontId="17" fillId="0" borderId="10" xfId="3" applyFont="1" applyBorder="1" applyAlignment="1">
      <alignment horizontal="center"/>
    </xf>
    <xf numFmtId="0" fontId="17" fillId="0" borderId="46" xfId="3" applyFont="1" applyBorder="1" applyAlignment="1" applyProtection="1">
      <alignment horizontal="center"/>
      <protection locked="0"/>
    </xf>
    <xf numFmtId="0" fontId="17" fillId="0" borderId="47" xfId="3" applyFont="1" applyBorder="1" applyAlignment="1" applyProtection="1">
      <alignment horizontal="center"/>
      <protection locked="0"/>
    </xf>
    <xf numFmtId="7" fontId="8" fillId="0" borderId="16" xfId="3" applyNumberFormat="1" applyFont="1" applyBorder="1" applyAlignment="1" applyProtection="1">
      <alignment horizontal="center"/>
      <protection locked="0"/>
    </xf>
    <xf numFmtId="7" fontId="8" fillId="0" borderId="17" xfId="3" applyNumberFormat="1" applyFont="1" applyBorder="1" applyAlignment="1">
      <alignment horizontal="center"/>
    </xf>
    <xf numFmtId="9" fontId="8" fillId="0" borderId="17" xfId="8" applyFont="1" applyBorder="1" applyAlignment="1" applyProtection="1">
      <alignment horizontal="center"/>
    </xf>
    <xf numFmtId="0" fontId="8" fillId="0" borderId="17" xfId="3" applyFont="1" applyBorder="1" applyAlignment="1" applyProtection="1">
      <alignment horizontal="center"/>
      <protection locked="0"/>
    </xf>
    <xf numFmtId="0" fontId="8" fillId="0" borderId="18" xfId="3" applyFont="1" applyBorder="1" applyAlignment="1" applyProtection="1">
      <alignment horizontal="center"/>
      <protection locked="0"/>
    </xf>
    <xf numFmtId="0" fontId="8" fillId="0" borderId="16" xfId="3" applyFont="1" applyBorder="1" applyAlignment="1" applyProtection="1">
      <alignment horizontal="center"/>
      <protection locked="0"/>
    </xf>
    <xf numFmtId="7" fontId="8" fillId="0" borderId="17" xfId="3" applyNumberFormat="1" applyFont="1" applyBorder="1" applyAlignment="1" applyProtection="1">
      <alignment horizontal="center"/>
      <protection locked="0"/>
    </xf>
    <xf numFmtId="7" fontId="8" fillId="0" borderId="18" xfId="3" applyNumberFormat="1" applyFont="1" applyBorder="1" applyAlignment="1" applyProtection="1">
      <alignment horizontal="center"/>
      <protection locked="0"/>
    </xf>
    <xf numFmtId="168" fontId="5" fillId="0" borderId="16" xfId="3" applyNumberFormat="1" applyFont="1" applyBorder="1" applyAlignment="1" applyProtection="1">
      <alignment horizontal="center"/>
      <protection locked="0"/>
    </xf>
    <xf numFmtId="0" fontId="5" fillId="0" borderId="17" xfId="3" applyFont="1" applyBorder="1" applyAlignment="1">
      <alignment horizontal="center"/>
    </xf>
    <xf numFmtId="165" fontId="4" fillId="0" borderId="17" xfId="3" applyNumberFormat="1" applyFont="1" applyBorder="1" applyAlignment="1">
      <alignment horizontal="center"/>
    </xf>
    <xf numFmtId="165" fontId="8" fillId="0" borderId="18" xfId="3" applyNumberFormat="1" applyFont="1" applyBorder="1" applyAlignment="1" applyProtection="1">
      <alignment horizontal="center"/>
      <protection locked="0"/>
    </xf>
    <xf numFmtId="164" fontId="17" fillId="0" borderId="6" xfId="6" applyFont="1" applyBorder="1" applyAlignment="1">
      <alignment horizontal="center"/>
    </xf>
    <xf numFmtId="164" fontId="17" fillId="0" borderId="7" xfId="6" applyFont="1" applyBorder="1" applyAlignment="1">
      <alignment horizontal="center"/>
    </xf>
    <xf numFmtId="164" fontId="17" fillId="0" borderId="10" xfId="6" applyFont="1" applyBorder="1" applyAlignment="1">
      <alignment horizontal="center"/>
    </xf>
    <xf numFmtId="164" fontId="17" fillId="0" borderId="3" xfId="6" applyFont="1" applyBorder="1" applyAlignment="1">
      <alignment horizontal="center"/>
    </xf>
    <xf numFmtId="164" fontId="17" fillId="0" borderId="5" xfId="6" applyFont="1" applyBorder="1" applyAlignment="1">
      <alignment horizontal="center"/>
    </xf>
    <xf numFmtId="164" fontId="17" fillId="0" borderId="9" xfId="6" applyFont="1" applyBorder="1" applyAlignment="1">
      <alignment horizontal="center"/>
    </xf>
    <xf numFmtId="0" fontId="24" fillId="0" borderId="0" xfId="3" applyFont="1" applyAlignment="1">
      <alignment horizontal="left"/>
    </xf>
    <xf numFmtId="164" fontId="24" fillId="0" borderId="0" xfId="6" applyFont="1" applyAlignment="1">
      <alignment horizontal="left"/>
    </xf>
    <xf numFmtId="0" fontId="27" fillId="0" borderId="0" xfId="4" applyFont="1"/>
    <xf numFmtId="6" fontId="17" fillId="0" borderId="5" xfId="6" applyNumberFormat="1" applyFont="1" applyBorder="1" applyAlignment="1" applyProtection="1">
      <alignment horizontal="center"/>
      <protection locked="0"/>
    </xf>
    <xf numFmtId="167" fontId="17" fillId="0" borderId="9" xfId="6" applyNumberFormat="1" applyFont="1" applyBorder="1" applyAlignment="1" applyProtection="1">
      <alignment horizontal="center"/>
      <protection locked="0"/>
    </xf>
    <xf numFmtId="164" fontId="28" fillId="4" borderId="28" xfId="0" applyNumberFormat="1" applyFont="1" applyFill="1" applyBorder="1" applyAlignment="1">
      <alignment horizontal="left"/>
    </xf>
    <xf numFmtId="0" fontId="29" fillId="4" borderId="29" xfId="0" applyFont="1" applyFill="1" applyBorder="1" applyAlignment="1">
      <alignment horizontal="left"/>
    </xf>
    <xf numFmtId="0" fontId="29" fillId="4" borderId="49" xfId="0" applyFont="1" applyFill="1" applyBorder="1" applyAlignment="1">
      <alignment horizontal="left"/>
    </xf>
    <xf numFmtId="164" fontId="29" fillId="4" borderId="47" xfId="0" applyNumberFormat="1" applyFont="1" applyFill="1" applyBorder="1" applyAlignment="1">
      <alignment horizontal="left"/>
    </xf>
    <xf numFmtId="164" fontId="29" fillId="4" borderId="0" xfId="0" applyNumberFormat="1" applyFont="1" applyFill="1" applyAlignment="1">
      <alignment horizontal="left"/>
    </xf>
    <xf numFmtId="164" fontId="29" fillId="4" borderId="50" xfId="0" applyNumberFormat="1" applyFont="1" applyFill="1" applyBorder="1" applyAlignment="1">
      <alignment horizontal="left"/>
    </xf>
    <xf numFmtId="0" fontId="29" fillId="4" borderId="0" xfId="0" applyFont="1" applyFill="1" applyAlignment="1">
      <alignment horizontal="left"/>
    </xf>
    <xf numFmtId="7" fontId="29" fillId="4" borderId="50" xfId="0" applyNumberFormat="1" applyFont="1" applyFill="1" applyBorder="1" applyAlignment="1">
      <alignment horizontal="left"/>
    </xf>
    <xf numFmtId="164" fontId="29" fillId="4" borderId="44" xfId="0" applyNumberFormat="1" applyFont="1" applyFill="1" applyBorder="1" applyAlignment="1">
      <alignment horizontal="left"/>
    </xf>
    <xf numFmtId="164" fontId="29" fillId="4" borderId="27" xfId="0" applyNumberFormat="1" applyFont="1" applyFill="1" applyBorder="1" applyAlignment="1">
      <alignment horizontal="left"/>
    </xf>
    <xf numFmtId="0" fontId="29" fillId="4" borderId="27" xfId="0" applyFont="1" applyFill="1" applyBorder="1" applyAlignment="1">
      <alignment horizontal="left"/>
    </xf>
    <xf numFmtId="7" fontId="29" fillId="4" borderId="51" xfId="0" applyNumberFormat="1" applyFont="1" applyFill="1" applyBorder="1" applyAlignment="1">
      <alignment horizontal="left"/>
    </xf>
    <xf numFmtId="1" fontId="17" fillId="0" borderId="6" xfId="8" applyNumberFormat="1" applyFont="1" applyBorder="1" applyAlignment="1" applyProtection="1">
      <alignment horizontal="center"/>
    </xf>
    <xf numFmtId="9" fontId="4" fillId="0" borderId="0" xfId="3" applyNumberFormat="1" applyFont="1"/>
    <xf numFmtId="7" fontId="11" fillId="2" borderId="3" xfId="3" applyNumberFormat="1" applyFont="1" applyFill="1" applyBorder="1" applyAlignment="1">
      <alignment horizontal="center" vertical="center" wrapText="1"/>
    </xf>
    <xf numFmtId="7" fontId="11" fillId="2" borderId="9" xfId="3" applyNumberFormat="1" applyFont="1" applyFill="1" applyBorder="1" applyAlignment="1">
      <alignment horizontal="center" vertical="center" wrapText="1"/>
    </xf>
    <xf numFmtId="164" fontId="11" fillId="2" borderId="3" xfId="3" applyNumberFormat="1" applyFont="1" applyFill="1" applyBorder="1" applyAlignment="1">
      <alignment horizontal="center" vertical="center" wrapText="1"/>
    </xf>
    <xf numFmtId="164" fontId="11" fillId="2" borderId="9" xfId="3" applyNumberFormat="1" applyFont="1" applyFill="1" applyBorder="1" applyAlignment="1">
      <alignment horizontal="center" vertical="center" wrapText="1"/>
    </xf>
  </cellXfs>
  <cellStyles count="9">
    <cellStyle name="Currency" xfId="1" builtinId="4"/>
    <cellStyle name="Currency 2" xfId="2" xr:uid="{00000000-0005-0000-0000-000001000000}"/>
    <cellStyle name="Normal" xfId="0" builtinId="0"/>
    <cellStyle name="Normal 2" xfId="3" xr:uid="{00000000-0005-0000-0000-000003000000}"/>
    <cellStyle name="Normal_7 IMPUTS ESTIMATING WORKBOOKS" xfId="4" xr:uid="{00000000-0005-0000-0000-000004000000}"/>
    <cellStyle name="Normal_SEWER TEMPLATEMarch2008" xfId="5" xr:uid="{00000000-0005-0000-0000-000005000000}"/>
    <cellStyle name="Normal_WATERMAIN TEMPLATE" xfId="6" xr:uid="{00000000-0005-0000-0000-000006000000}"/>
    <cellStyle name="Normal_WATERMAIN TEMPLATESeptember2008" xfId="7" xr:uid="{00000000-0005-0000-0000-000007000000}"/>
    <cellStyle name="Percent" xfId="8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2</v>
    <v>4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>
    <pageSetUpPr fitToPage="1"/>
  </sheetPr>
  <dimension ref="A1:V119"/>
  <sheetViews>
    <sheetView zoomScaleNormal="100" zoomScaleSheetLayoutView="100" workbookViewId="0">
      <selection activeCell="J6" sqref="J6"/>
    </sheetView>
  </sheetViews>
  <sheetFormatPr defaultColWidth="12.42578125" defaultRowHeight="15" x14ac:dyDescent="0.25"/>
  <cols>
    <col min="1" max="1" width="9.7109375" style="260" customWidth="1"/>
    <col min="2" max="2" width="18" style="18" customWidth="1"/>
    <col min="3" max="3" width="12.28515625" style="18" customWidth="1"/>
    <col min="4" max="4" width="11.42578125" style="18" customWidth="1"/>
    <col min="5" max="5" width="12.42578125" style="18" customWidth="1"/>
    <col min="6" max="6" width="12.85546875" style="18" customWidth="1"/>
    <col min="7" max="7" width="12.42578125" style="18" customWidth="1"/>
    <col min="8" max="8" width="11.85546875" style="18" customWidth="1"/>
    <col min="9" max="9" width="13.85546875" style="18" customWidth="1"/>
    <col min="10" max="10" width="12.28515625" style="18" customWidth="1"/>
    <col min="11" max="11" width="12.7109375" style="18" customWidth="1"/>
    <col min="12" max="12" width="12.5703125" style="18" customWidth="1"/>
    <col min="13" max="13" width="12" style="18" customWidth="1"/>
    <col min="14" max="14" width="13.140625" style="18" customWidth="1"/>
    <col min="15" max="15" width="12.5703125" style="18" customWidth="1"/>
    <col min="16" max="16" width="12.85546875" style="18" customWidth="1"/>
    <col min="17" max="17" width="13.28515625" style="18" customWidth="1"/>
    <col min="18" max="19" width="14.7109375" style="18" customWidth="1"/>
    <col min="20" max="20" width="15.85546875" style="18" customWidth="1"/>
    <col min="21" max="21" width="16.7109375" style="18" customWidth="1"/>
    <col min="22" max="22" width="16.85546875" style="18" customWidth="1"/>
    <col min="23" max="16384" width="12.42578125" style="18"/>
  </cols>
  <sheetData>
    <row r="1" spans="1:22" x14ac:dyDescent="0.25">
      <c r="B1" s="17"/>
      <c r="C1" s="17"/>
      <c r="D1" s="17" t="s">
        <v>373</v>
      </c>
      <c r="E1" s="17"/>
      <c r="F1" s="17"/>
      <c r="G1" s="391" t="s">
        <v>377</v>
      </c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391">
        <f>B2</f>
        <v>0</v>
      </c>
      <c r="V1" s="17"/>
    </row>
    <row r="2" spans="1:22" ht="15.75" thickBot="1" x14ac:dyDescent="0.3">
      <c r="A2" s="19" t="s">
        <v>368</v>
      </c>
      <c r="B2" s="31"/>
      <c r="E2" s="17"/>
      <c r="F2" s="17"/>
      <c r="U2" s="391" t="str">
        <f>G1</f>
        <v>MANHOLE &amp; CATCHBASIN ESTIMATE</v>
      </c>
    </row>
    <row r="3" spans="1:22" ht="15.75" thickBot="1" x14ac:dyDescent="0.3">
      <c r="A3" s="260" t="s">
        <v>378</v>
      </c>
      <c r="B3" s="31"/>
      <c r="C3" s="17"/>
      <c r="D3" s="460"/>
      <c r="E3" s="461" t="s">
        <v>0</v>
      </c>
      <c r="F3" s="501">
        <v>10</v>
      </c>
      <c r="G3" s="21" t="s">
        <v>1</v>
      </c>
      <c r="H3" s="459" t="s">
        <v>2</v>
      </c>
      <c r="I3" s="506">
        <v>1</v>
      </c>
      <c r="K3" s="466"/>
      <c r="L3" s="509"/>
    </row>
    <row r="4" spans="1:22" ht="15.75" thickBot="1" x14ac:dyDescent="0.3">
      <c r="A4" s="22"/>
      <c r="B4" s="31"/>
      <c r="D4" s="29"/>
      <c r="E4" s="22" t="s">
        <v>3</v>
      </c>
      <c r="F4" s="502">
        <v>250</v>
      </c>
      <c r="G4" s="21" t="s">
        <v>1</v>
      </c>
      <c r="H4" s="464" t="s">
        <v>4</v>
      </c>
      <c r="I4" s="504">
        <v>1</v>
      </c>
      <c r="K4" s="467" t="s">
        <v>5</v>
      </c>
      <c r="L4" s="507">
        <v>110</v>
      </c>
      <c r="O4" s="25" t="str">
        <f>IF(F7=1,"METRIC","IMPERIAL")</f>
        <v>METRIC</v>
      </c>
      <c r="P4" s="26" t="str">
        <f>O4</f>
        <v>METRIC</v>
      </c>
      <c r="Q4" s="27" t="str">
        <f>O4</f>
        <v>METRIC</v>
      </c>
    </row>
    <row r="5" spans="1:22" x14ac:dyDescent="0.25">
      <c r="A5" s="28" t="s">
        <v>367</v>
      </c>
      <c r="B5" s="31"/>
      <c r="D5" s="29"/>
      <c r="E5" s="22" t="s">
        <v>6</v>
      </c>
      <c r="F5" s="503">
        <v>0.35</v>
      </c>
      <c r="G5" s="21" t="s">
        <v>1</v>
      </c>
      <c r="H5" s="464" t="s">
        <v>7</v>
      </c>
      <c r="I5" s="507">
        <v>718</v>
      </c>
      <c r="K5" s="468"/>
      <c r="L5" s="510"/>
      <c r="T5" s="30"/>
      <c r="U5" s="30"/>
    </row>
    <row r="6" spans="1:22" x14ac:dyDescent="0.25">
      <c r="A6" s="22"/>
      <c r="B6" s="31"/>
      <c r="C6" s="32"/>
      <c r="D6" s="29"/>
      <c r="E6" s="22" t="s">
        <v>8</v>
      </c>
      <c r="F6" s="504">
        <v>1.1000000000000001</v>
      </c>
      <c r="G6" s="21" t="s">
        <v>1</v>
      </c>
      <c r="H6" s="464" t="s">
        <v>9</v>
      </c>
      <c r="I6" s="507">
        <v>375</v>
      </c>
      <c r="K6" s="468" t="s">
        <v>10</v>
      </c>
      <c r="L6" s="511">
        <f>(100-F5)/100*I3*I4</f>
        <v>0.99650000000000005</v>
      </c>
      <c r="N6" s="537"/>
      <c r="U6" s="33"/>
      <c r="V6" s="34"/>
    </row>
    <row r="7" spans="1:22" ht="15.75" thickBot="1" x14ac:dyDescent="0.3">
      <c r="A7" s="22"/>
      <c r="C7" s="35" t="str">
        <f>O4</f>
        <v>METRIC</v>
      </c>
      <c r="D7" s="462"/>
      <c r="E7" s="463" t="s">
        <v>11</v>
      </c>
      <c r="F7" s="505">
        <v>1</v>
      </c>
      <c r="H7" s="465" t="s">
        <v>12</v>
      </c>
      <c r="I7" s="508">
        <v>500</v>
      </c>
      <c r="K7" s="38" t="s">
        <v>13</v>
      </c>
      <c r="L7" s="512">
        <v>0.3</v>
      </c>
      <c r="O7" s="22"/>
      <c r="P7" s="39"/>
      <c r="Q7" s="40"/>
      <c r="U7" s="33"/>
      <c r="V7" s="34"/>
    </row>
    <row r="8" spans="1:22" ht="15.75" thickBot="1" x14ac:dyDescent="0.3">
      <c r="A8" s="22"/>
    </row>
    <row r="9" spans="1:22" s="47" customFormat="1" ht="15.75" thickBot="1" x14ac:dyDescent="0.3">
      <c r="A9" s="41" t="s">
        <v>14</v>
      </c>
      <c r="B9" s="41" t="s">
        <v>15</v>
      </c>
      <c r="C9" s="41" t="s">
        <v>16</v>
      </c>
      <c r="D9" s="41" t="s">
        <v>17</v>
      </c>
      <c r="E9" s="41" t="s">
        <v>18</v>
      </c>
      <c r="F9" s="41" t="s">
        <v>19</v>
      </c>
      <c r="G9" s="41" t="s">
        <v>20</v>
      </c>
      <c r="H9" s="41" t="s">
        <v>21</v>
      </c>
      <c r="I9" s="41" t="s">
        <v>22</v>
      </c>
      <c r="J9" s="42" t="s">
        <v>23</v>
      </c>
      <c r="K9" s="42" t="s">
        <v>24</v>
      </c>
      <c r="L9" s="43" t="s">
        <v>25</v>
      </c>
      <c r="M9" s="42" t="s">
        <v>26</v>
      </c>
      <c r="N9" s="42" t="s">
        <v>27</v>
      </c>
      <c r="O9" s="44" t="s">
        <v>28</v>
      </c>
      <c r="P9" s="42" t="s">
        <v>29</v>
      </c>
      <c r="Q9" s="44" t="s">
        <v>30</v>
      </c>
      <c r="R9" s="45" t="s">
        <v>31</v>
      </c>
      <c r="S9" s="42" t="s">
        <v>32</v>
      </c>
      <c r="T9" s="44" t="s">
        <v>33</v>
      </c>
      <c r="U9" s="46" t="s">
        <v>34</v>
      </c>
      <c r="V9" s="46" t="s">
        <v>35</v>
      </c>
    </row>
    <row r="10" spans="1:22" x14ac:dyDescent="0.25">
      <c r="A10" s="261"/>
      <c r="B10" s="48"/>
      <c r="C10" s="49"/>
      <c r="D10" s="49"/>
      <c r="E10" s="49"/>
      <c r="F10" s="49"/>
      <c r="G10" s="49"/>
      <c r="H10" s="49"/>
      <c r="I10" s="49"/>
      <c r="J10" s="50"/>
      <c r="K10" s="50"/>
      <c r="L10" s="50"/>
      <c r="M10" s="50"/>
      <c r="N10" s="51"/>
      <c r="O10" s="51"/>
      <c r="P10" s="51"/>
      <c r="Q10" s="51"/>
      <c r="R10" s="51"/>
      <c r="S10" s="51"/>
      <c r="T10" s="51"/>
      <c r="U10" s="51"/>
      <c r="V10" s="51"/>
    </row>
    <row r="11" spans="1:22" x14ac:dyDescent="0.25">
      <c r="A11" s="261">
        <v>1</v>
      </c>
      <c r="B11" s="52"/>
      <c r="C11" s="53"/>
      <c r="D11" s="54"/>
      <c r="E11" s="54"/>
      <c r="F11" s="49"/>
      <c r="G11" s="55"/>
      <c r="H11" s="56"/>
      <c r="I11" s="56"/>
      <c r="J11" s="57">
        <f t="shared" ref="J11:J46" si="0">(C11-D11)*IF(F$7=1,1,0.3049)</f>
        <v>0</v>
      </c>
      <c r="K11" s="57">
        <f t="shared" ref="K11:K46" si="1">IF(E11=0,0,(D11-E11)*IF(F$7=1,1,0.3049))</f>
        <v>0</v>
      </c>
      <c r="L11" s="58">
        <f t="shared" ref="L11:L46" si="2">IF(F11=0,0,IF((G11=1),HLOOKUP(F11,B$65:F$66,2),HLOOKUP(F11,H$65:L$66,2)))</f>
        <v>0</v>
      </c>
      <c r="M11" s="57">
        <f t="shared" ref="M11:M46" si="3">IF(J11=0,0,J11-L$7+0.3*F11/1000+0.3)</f>
        <v>0</v>
      </c>
      <c r="N11" s="59">
        <f>(IF(L11=0,0,IF(L11&lt;1501,VLOOKUP(L11+M11,C$69:D$117,2),VLOOKUP(L11+M11,E$69:F$113,2))+(L$7-0.15)*I$5)*I$3*I$4*(1-F$5))</f>
        <v>0</v>
      </c>
      <c r="O11" s="60">
        <f t="shared" ref="O11:O46" si="4">(((L11/1000)^2*PI()/4*F11/1000)-PI()/4*(F11/1000)^2*L11/1000+L11/1000)*F$4</f>
        <v>0</v>
      </c>
      <c r="P11" s="61">
        <f t="shared" ref="P11:P46" si="5">IF(L11=0,0,I$6*I$3*I$4)</f>
        <v>0</v>
      </c>
      <c r="Q11" s="60">
        <f t="shared" ref="Q11:Q46" si="6">H11+N11+O11+P11</f>
        <v>0</v>
      </c>
      <c r="R11" s="62">
        <f>(L11=1200)*(15*L$4+L$4*M11)+(L11=1500)*(20*L$4+1.3*L$4*M11)+(L11=1800)*(30*L$4+1.5*L$4*M11)+(L11=2400)*(40*L$4+2*L$4*M11)+(L11=3000)*(50*L$4+2.5*L$4*M11)+(L11=3600)*(60*L$4+3*L$4*M11)+I11</f>
        <v>0</v>
      </c>
      <c r="S11" s="61">
        <f t="shared" ref="S11:S46" si="7">F$3*(J11*(0.001*L11*1.3)^2*PI()/4)</f>
        <v>0</v>
      </c>
      <c r="T11" s="60">
        <f t="shared" ref="T11:T46" si="8">IF(L11=0,0,(Q11+R11+S11)/J11)</f>
        <v>0</v>
      </c>
      <c r="U11" s="61">
        <f t="shared" ref="U11:U46" si="9">Q11+R11+S11</f>
        <v>0</v>
      </c>
      <c r="V11" s="63">
        <f t="shared" ref="V11:V46" si="10">U11*F$6</f>
        <v>0</v>
      </c>
    </row>
    <row r="12" spans="1:22" x14ac:dyDescent="0.25">
      <c r="A12" s="261">
        <f t="shared" ref="A12:A46" si="11">1+A11</f>
        <v>2</v>
      </c>
      <c r="B12" s="52"/>
      <c r="C12" s="53"/>
      <c r="D12" s="54"/>
      <c r="E12" s="54"/>
      <c r="F12" s="49"/>
      <c r="G12" s="55"/>
      <c r="H12" s="64"/>
      <c r="I12" s="64"/>
      <c r="J12" s="57">
        <f t="shared" si="0"/>
        <v>0</v>
      </c>
      <c r="K12" s="57">
        <f t="shared" si="1"/>
        <v>0</v>
      </c>
      <c r="L12" s="58">
        <f t="shared" si="2"/>
        <v>0</v>
      </c>
      <c r="M12" s="57">
        <f t="shared" si="3"/>
        <v>0</v>
      </c>
      <c r="N12" s="59">
        <f t="shared" ref="N12:N46" si="12">(IF(L12=0,0,IF(L12&lt;1501,VLOOKUP(L12+M12,C$69:D$117,2),VLOOKUP(L12+M12,E$69:F$113,2))+(L$7-0.15)*I$5)*I$3*I$4*(1-F$5))</f>
        <v>0</v>
      </c>
      <c r="O12" s="60">
        <f t="shared" si="4"/>
        <v>0</v>
      </c>
      <c r="P12" s="61">
        <f t="shared" si="5"/>
        <v>0</v>
      </c>
      <c r="Q12" s="60">
        <f t="shared" si="6"/>
        <v>0</v>
      </c>
      <c r="R12" s="62">
        <f t="shared" ref="R12:R46" si="13">(L12=1200)*(15*L$4+L$4*M12)+(L12=1500)*(20*L$4+1.3*L$4*M12)+(L12=1800)*(30*L$4+1.5*L$4*M12)+(L12=2400)*(40*L$4+2*L$4*M12)+(L12=3000)*(50*L$4+2.5*L$4*M12)+(L12=3600)*(60*L$4+3*L$4*M12)+I12</f>
        <v>0</v>
      </c>
      <c r="S12" s="61">
        <f t="shared" si="7"/>
        <v>0</v>
      </c>
      <c r="T12" s="60">
        <f t="shared" si="8"/>
        <v>0</v>
      </c>
      <c r="U12" s="61">
        <f t="shared" si="9"/>
        <v>0</v>
      </c>
      <c r="V12" s="63">
        <f t="shared" si="10"/>
        <v>0</v>
      </c>
    </row>
    <row r="13" spans="1:22" x14ac:dyDescent="0.25">
      <c r="A13" s="261">
        <f t="shared" si="11"/>
        <v>3</v>
      </c>
      <c r="B13" s="52"/>
      <c r="C13" s="53"/>
      <c r="D13" s="54"/>
      <c r="E13" s="54"/>
      <c r="F13" s="49"/>
      <c r="G13" s="55"/>
      <c r="H13" s="64"/>
      <c r="I13" s="64"/>
      <c r="J13" s="57">
        <f t="shared" si="0"/>
        <v>0</v>
      </c>
      <c r="K13" s="57">
        <f t="shared" si="1"/>
        <v>0</v>
      </c>
      <c r="L13" s="58">
        <f t="shared" si="2"/>
        <v>0</v>
      </c>
      <c r="M13" s="57">
        <f t="shared" si="3"/>
        <v>0</v>
      </c>
      <c r="N13" s="59">
        <f t="shared" si="12"/>
        <v>0</v>
      </c>
      <c r="O13" s="60">
        <f t="shared" si="4"/>
        <v>0</v>
      </c>
      <c r="P13" s="61">
        <f t="shared" si="5"/>
        <v>0</v>
      </c>
      <c r="Q13" s="60">
        <f t="shared" si="6"/>
        <v>0</v>
      </c>
      <c r="R13" s="62">
        <f t="shared" si="13"/>
        <v>0</v>
      </c>
      <c r="S13" s="61">
        <f t="shared" si="7"/>
        <v>0</v>
      </c>
      <c r="T13" s="60">
        <f t="shared" si="8"/>
        <v>0</v>
      </c>
      <c r="U13" s="61">
        <f t="shared" si="9"/>
        <v>0</v>
      </c>
      <c r="V13" s="63">
        <f t="shared" si="10"/>
        <v>0</v>
      </c>
    </row>
    <row r="14" spans="1:22" x14ac:dyDescent="0.25">
      <c r="A14" s="261">
        <f t="shared" si="11"/>
        <v>4</v>
      </c>
      <c r="B14" s="52"/>
      <c r="C14" s="53"/>
      <c r="D14" s="54"/>
      <c r="E14" s="54"/>
      <c r="F14" s="49"/>
      <c r="G14" s="65"/>
      <c r="H14" s="64"/>
      <c r="I14" s="64"/>
      <c r="J14" s="57">
        <f t="shared" si="0"/>
        <v>0</v>
      </c>
      <c r="K14" s="57">
        <f t="shared" si="1"/>
        <v>0</v>
      </c>
      <c r="L14" s="58">
        <f t="shared" si="2"/>
        <v>0</v>
      </c>
      <c r="M14" s="57">
        <f t="shared" si="3"/>
        <v>0</v>
      </c>
      <c r="N14" s="59">
        <f t="shared" si="12"/>
        <v>0</v>
      </c>
      <c r="O14" s="60">
        <f t="shared" si="4"/>
        <v>0</v>
      </c>
      <c r="P14" s="61">
        <f t="shared" si="5"/>
        <v>0</v>
      </c>
      <c r="Q14" s="60">
        <f t="shared" si="6"/>
        <v>0</v>
      </c>
      <c r="R14" s="62">
        <f t="shared" si="13"/>
        <v>0</v>
      </c>
      <c r="S14" s="61">
        <f t="shared" si="7"/>
        <v>0</v>
      </c>
      <c r="T14" s="60">
        <f t="shared" si="8"/>
        <v>0</v>
      </c>
      <c r="U14" s="61">
        <f t="shared" si="9"/>
        <v>0</v>
      </c>
      <c r="V14" s="63">
        <f t="shared" si="10"/>
        <v>0</v>
      </c>
    </row>
    <row r="15" spans="1:22" x14ac:dyDescent="0.25">
      <c r="A15" s="261">
        <f t="shared" si="11"/>
        <v>5</v>
      </c>
      <c r="B15" s="52"/>
      <c r="C15" s="53"/>
      <c r="D15" s="54"/>
      <c r="E15" s="54"/>
      <c r="F15" s="49"/>
      <c r="G15" s="65"/>
      <c r="H15" s="64"/>
      <c r="I15" s="64"/>
      <c r="J15" s="57">
        <f t="shared" si="0"/>
        <v>0</v>
      </c>
      <c r="K15" s="57">
        <f t="shared" si="1"/>
        <v>0</v>
      </c>
      <c r="L15" s="58">
        <f t="shared" si="2"/>
        <v>0</v>
      </c>
      <c r="M15" s="57">
        <f t="shared" si="3"/>
        <v>0</v>
      </c>
      <c r="N15" s="59">
        <f t="shared" si="12"/>
        <v>0</v>
      </c>
      <c r="O15" s="60">
        <f t="shared" si="4"/>
        <v>0</v>
      </c>
      <c r="P15" s="61">
        <f t="shared" si="5"/>
        <v>0</v>
      </c>
      <c r="Q15" s="60">
        <f t="shared" si="6"/>
        <v>0</v>
      </c>
      <c r="R15" s="62">
        <f t="shared" si="13"/>
        <v>0</v>
      </c>
      <c r="S15" s="61">
        <f t="shared" si="7"/>
        <v>0</v>
      </c>
      <c r="T15" s="60">
        <f t="shared" si="8"/>
        <v>0</v>
      </c>
      <c r="U15" s="61">
        <f t="shared" si="9"/>
        <v>0</v>
      </c>
      <c r="V15" s="63">
        <f t="shared" si="10"/>
        <v>0</v>
      </c>
    </row>
    <row r="16" spans="1:22" x14ac:dyDescent="0.25">
      <c r="A16" s="261">
        <f t="shared" si="11"/>
        <v>6</v>
      </c>
      <c r="B16" s="52"/>
      <c r="C16" s="53"/>
      <c r="D16" s="54"/>
      <c r="E16" s="54"/>
      <c r="F16" s="49"/>
      <c r="G16" s="65"/>
      <c r="H16" s="64"/>
      <c r="I16" s="64"/>
      <c r="J16" s="57">
        <f t="shared" si="0"/>
        <v>0</v>
      </c>
      <c r="K16" s="57">
        <f t="shared" si="1"/>
        <v>0</v>
      </c>
      <c r="L16" s="58">
        <f t="shared" si="2"/>
        <v>0</v>
      </c>
      <c r="M16" s="57">
        <f t="shared" si="3"/>
        <v>0</v>
      </c>
      <c r="N16" s="59">
        <f t="shared" si="12"/>
        <v>0</v>
      </c>
      <c r="O16" s="60">
        <f t="shared" si="4"/>
        <v>0</v>
      </c>
      <c r="P16" s="61">
        <f t="shared" si="5"/>
        <v>0</v>
      </c>
      <c r="Q16" s="60">
        <f t="shared" si="6"/>
        <v>0</v>
      </c>
      <c r="R16" s="62">
        <f t="shared" si="13"/>
        <v>0</v>
      </c>
      <c r="S16" s="61">
        <f t="shared" si="7"/>
        <v>0</v>
      </c>
      <c r="T16" s="60">
        <f t="shared" si="8"/>
        <v>0</v>
      </c>
      <c r="U16" s="61">
        <f t="shared" si="9"/>
        <v>0</v>
      </c>
      <c r="V16" s="63">
        <f t="shared" si="10"/>
        <v>0</v>
      </c>
    </row>
    <row r="17" spans="1:22" x14ac:dyDescent="0.25">
      <c r="A17" s="261">
        <f t="shared" si="11"/>
        <v>7</v>
      </c>
      <c r="B17" s="52"/>
      <c r="C17" s="53"/>
      <c r="D17" s="54"/>
      <c r="E17" s="54"/>
      <c r="F17" s="49"/>
      <c r="G17" s="65"/>
      <c r="H17" s="64"/>
      <c r="I17" s="64"/>
      <c r="J17" s="57">
        <f t="shared" si="0"/>
        <v>0</v>
      </c>
      <c r="K17" s="57">
        <f t="shared" si="1"/>
        <v>0</v>
      </c>
      <c r="L17" s="58">
        <f t="shared" si="2"/>
        <v>0</v>
      </c>
      <c r="M17" s="57">
        <f t="shared" si="3"/>
        <v>0</v>
      </c>
      <c r="N17" s="59">
        <f t="shared" si="12"/>
        <v>0</v>
      </c>
      <c r="O17" s="60">
        <f t="shared" si="4"/>
        <v>0</v>
      </c>
      <c r="P17" s="61">
        <f t="shared" si="5"/>
        <v>0</v>
      </c>
      <c r="Q17" s="60">
        <f t="shared" si="6"/>
        <v>0</v>
      </c>
      <c r="R17" s="62">
        <f t="shared" si="13"/>
        <v>0</v>
      </c>
      <c r="S17" s="61">
        <f t="shared" si="7"/>
        <v>0</v>
      </c>
      <c r="T17" s="60">
        <f t="shared" si="8"/>
        <v>0</v>
      </c>
      <c r="U17" s="61">
        <f t="shared" si="9"/>
        <v>0</v>
      </c>
      <c r="V17" s="63">
        <f t="shared" si="10"/>
        <v>0</v>
      </c>
    </row>
    <row r="18" spans="1:22" x14ac:dyDescent="0.25">
      <c r="A18" s="261">
        <f t="shared" si="11"/>
        <v>8</v>
      </c>
      <c r="B18" s="52"/>
      <c r="C18" s="53"/>
      <c r="D18" s="54"/>
      <c r="E18" s="54"/>
      <c r="F18" s="49"/>
      <c r="G18" s="65"/>
      <c r="H18" s="64"/>
      <c r="I18" s="64"/>
      <c r="J18" s="57">
        <f t="shared" si="0"/>
        <v>0</v>
      </c>
      <c r="K18" s="57">
        <f t="shared" si="1"/>
        <v>0</v>
      </c>
      <c r="L18" s="58">
        <f t="shared" si="2"/>
        <v>0</v>
      </c>
      <c r="M18" s="57">
        <f t="shared" si="3"/>
        <v>0</v>
      </c>
      <c r="N18" s="59">
        <f t="shared" si="12"/>
        <v>0</v>
      </c>
      <c r="O18" s="60">
        <f t="shared" si="4"/>
        <v>0</v>
      </c>
      <c r="P18" s="61">
        <f t="shared" si="5"/>
        <v>0</v>
      </c>
      <c r="Q18" s="60">
        <f t="shared" si="6"/>
        <v>0</v>
      </c>
      <c r="R18" s="62">
        <f t="shared" si="13"/>
        <v>0</v>
      </c>
      <c r="S18" s="61">
        <f t="shared" si="7"/>
        <v>0</v>
      </c>
      <c r="T18" s="60">
        <f t="shared" si="8"/>
        <v>0</v>
      </c>
      <c r="U18" s="61">
        <f t="shared" si="9"/>
        <v>0</v>
      </c>
      <c r="V18" s="63">
        <f t="shared" si="10"/>
        <v>0</v>
      </c>
    </row>
    <row r="19" spans="1:22" x14ac:dyDescent="0.25">
      <c r="A19" s="261">
        <f t="shared" si="11"/>
        <v>9</v>
      </c>
      <c r="B19" s="52"/>
      <c r="C19" s="53"/>
      <c r="D19" s="54"/>
      <c r="E19" s="54"/>
      <c r="F19" s="49"/>
      <c r="G19" s="65"/>
      <c r="H19" s="64"/>
      <c r="I19" s="64"/>
      <c r="J19" s="57">
        <f t="shared" si="0"/>
        <v>0</v>
      </c>
      <c r="K19" s="57">
        <f t="shared" si="1"/>
        <v>0</v>
      </c>
      <c r="L19" s="58">
        <f t="shared" si="2"/>
        <v>0</v>
      </c>
      <c r="M19" s="57">
        <f t="shared" si="3"/>
        <v>0</v>
      </c>
      <c r="N19" s="59">
        <f t="shared" si="12"/>
        <v>0</v>
      </c>
      <c r="O19" s="60">
        <f t="shared" si="4"/>
        <v>0</v>
      </c>
      <c r="P19" s="61">
        <f t="shared" si="5"/>
        <v>0</v>
      </c>
      <c r="Q19" s="60">
        <f t="shared" si="6"/>
        <v>0</v>
      </c>
      <c r="R19" s="62">
        <f t="shared" si="13"/>
        <v>0</v>
      </c>
      <c r="S19" s="61">
        <f t="shared" si="7"/>
        <v>0</v>
      </c>
      <c r="T19" s="60">
        <f t="shared" si="8"/>
        <v>0</v>
      </c>
      <c r="U19" s="61">
        <f t="shared" si="9"/>
        <v>0</v>
      </c>
      <c r="V19" s="63">
        <f t="shared" si="10"/>
        <v>0</v>
      </c>
    </row>
    <row r="20" spans="1:22" x14ac:dyDescent="0.25">
      <c r="A20" s="261">
        <f t="shared" si="11"/>
        <v>10</v>
      </c>
      <c r="B20" s="52"/>
      <c r="C20" s="53"/>
      <c r="D20" s="54"/>
      <c r="E20" s="54"/>
      <c r="F20" s="49"/>
      <c r="G20" s="65"/>
      <c r="H20" s="64"/>
      <c r="I20" s="64"/>
      <c r="J20" s="57">
        <f t="shared" si="0"/>
        <v>0</v>
      </c>
      <c r="K20" s="57">
        <f t="shared" si="1"/>
        <v>0</v>
      </c>
      <c r="L20" s="58">
        <f t="shared" si="2"/>
        <v>0</v>
      </c>
      <c r="M20" s="57">
        <f t="shared" si="3"/>
        <v>0</v>
      </c>
      <c r="N20" s="59">
        <f t="shared" si="12"/>
        <v>0</v>
      </c>
      <c r="O20" s="60">
        <f t="shared" si="4"/>
        <v>0</v>
      </c>
      <c r="P20" s="61">
        <f t="shared" si="5"/>
        <v>0</v>
      </c>
      <c r="Q20" s="60">
        <f t="shared" si="6"/>
        <v>0</v>
      </c>
      <c r="R20" s="62">
        <f t="shared" si="13"/>
        <v>0</v>
      </c>
      <c r="S20" s="61">
        <f t="shared" si="7"/>
        <v>0</v>
      </c>
      <c r="T20" s="60">
        <f t="shared" si="8"/>
        <v>0</v>
      </c>
      <c r="U20" s="61">
        <f t="shared" si="9"/>
        <v>0</v>
      </c>
      <c r="V20" s="63">
        <f t="shared" si="10"/>
        <v>0</v>
      </c>
    </row>
    <row r="21" spans="1:22" x14ac:dyDescent="0.25">
      <c r="A21" s="261">
        <f t="shared" si="11"/>
        <v>11</v>
      </c>
      <c r="B21" s="52"/>
      <c r="C21" s="53"/>
      <c r="D21" s="54"/>
      <c r="E21" s="54"/>
      <c r="F21" s="49"/>
      <c r="G21" s="65"/>
      <c r="H21" s="64"/>
      <c r="I21" s="64"/>
      <c r="J21" s="57">
        <f t="shared" si="0"/>
        <v>0</v>
      </c>
      <c r="K21" s="57">
        <f t="shared" si="1"/>
        <v>0</v>
      </c>
      <c r="L21" s="58">
        <f t="shared" si="2"/>
        <v>0</v>
      </c>
      <c r="M21" s="57">
        <f t="shared" si="3"/>
        <v>0</v>
      </c>
      <c r="N21" s="59">
        <f t="shared" si="12"/>
        <v>0</v>
      </c>
      <c r="O21" s="60">
        <f t="shared" si="4"/>
        <v>0</v>
      </c>
      <c r="P21" s="61">
        <f t="shared" si="5"/>
        <v>0</v>
      </c>
      <c r="Q21" s="60">
        <f t="shared" si="6"/>
        <v>0</v>
      </c>
      <c r="R21" s="62">
        <f t="shared" si="13"/>
        <v>0</v>
      </c>
      <c r="S21" s="61">
        <f t="shared" si="7"/>
        <v>0</v>
      </c>
      <c r="T21" s="60">
        <f t="shared" si="8"/>
        <v>0</v>
      </c>
      <c r="U21" s="61">
        <f t="shared" si="9"/>
        <v>0</v>
      </c>
      <c r="V21" s="63">
        <f t="shared" si="10"/>
        <v>0</v>
      </c>
    </row>
    <row r="22" spans="1:22" x14ac:dyDescent="0.25">
      <c r="A22" s="261">
        <f t="shared" si="11"/>
        <v>12</v>
      </c>
      <c r="B22" s="52"/>
      <c r="C22" s="53"/>
      <c r="D22" s="54"/>
      <c r="E22" s="54"/>
      <c r="F22" s="49"/>
      <c r="G22" s="65"/>
      <c r="H22" s="64"/>
      <c r="I22" s="64"/>
      <c r="J22" s="57">
        <f t="shared" si="0"/>
        <v>0</v>
      </c>
      <c r="K22" s="57">
        <f t="shared" si="1"/>
        <v>0</v>
      </c>
      <c r="L22" s="58">
        <f t="shared" si="2"/>
        <v>0</v>
      </c>
      <c r="M22" s="57">
        <f t="shared" si="3"/>
        <v>0</v>
      </c>
      <c r="N22" s="59">
        <f t="shared" si="12"/>
        <v>0</v>
      </c>
      <c r="O22" s="60">
        <f t="shared" si="4"/>
        <v>0</v>
      </c>
      <c r="P22" s="61">
        <f t="shared" si="5"/>
        <v>0</v>
      </c>
      <c r="Q22" s="60">
        <f t="shared" si="6"/>
        <v>0</v>
      </c>
      <c r="R22" s="62">
        <f t="shared" si="13"/>
        <v>0</v>
      </c>
      <c r="S22" s="61">
        <f t="shared" si="7"/>
        <v>0</v>
      </c>
      <c r="T22" s="60">
        <f t="shared" si="8"/>
        <v>0</v>
      </c>
      <c r="U22" s="61">
        <f t="shared" si="9"/>
        <v>0</v>
      </c>
      <c r="V22" s="63">
        <f t="shared" si="10"/>
        <v>0</v>
      </c>
    </row>
    <row r="23" spans="1:22" x14ac:dyDescent="0.25">
      <c r="A23" s="261">
        <f t="shared" si="11"/>
        <v>13</v>
      </c>
      <c r="B23" s="48"/>
      <c r="C23" s="53"/>
      <c r="D23" s="54"/>
      <c r="E23" s="54"/>
      <c r="F23" s="49"/>
      <c r="G23" s="65"/>
      <c r="H23" s="64"/>
      <c r="I23" s="64"/>
      <c r="J23" s="57">
        <f t="shared" si="0"/>
        <v>0</v>
      </c>
      <c r="K23" s="57">
        <f t="shared" si="1"/>
        <v>0</v>
      </c>
      <c r="L23" s="58">
        <f t="shared" si="2"/>
        <v>0</v>
      </c>
      <c r="M23" s="57">
        <f t="shared" si="3"/>
        <v>0</v>
      </c>
      <c r="N23" s="59">
        <f t="shared" si="12"/>
        <v>0</v>
      </c>
      <c r="O23" s="60">
        <f t="shared" si="4"/>
        <v>0</v>
      </c>
      <c r="P23" s="61">
        <f t="shared" si="5"/>
        <v>0</v>
      </c>
      <c r="Q23" s="60">
        <f t="shared" si="6"/>
        <v>0</v>
      </c>
      <c r="R23" s="62">
        <f t="shared" si="13"/>
        <v>0</v>
      </c>
      <c r="S23" s="61">
        <f t="shared" si="7"/>
        <v>0</v>
      </c>
      <c r="T23" s="60">
        <f t="shared" si="8"/>
        <v>0</v>
      </c>
      <c r="U23" s="61">
        <f t="shared" si="9"/>
        <v>0</v>
      </c>
      <c r="V23" s="63">
        <f t="shared" si="10"/>
        <v>0</v>
      </c>
    </row>
    <row r="24" spans="1:22" x14ac:dyDescent="0.25">
      <c r="A24" s="261">
        <f t="shared" si="11"/>
        <v>14</v>
      </c>
      <c r="B24" s="52"/>
      <c r="C24" s="53"/>
      <c r="D24" s="54"/>
      <c r="E24" s="54"/>
      <c r="F24" s="49"/>
      <c r="G24" s="65"/>
      <c r="H24" s="64"/>
      <c r="I24" s="64"/>
      <c r="J24" s="57">
        <f t="shared" si="0"/>
        <v>0</v>
      </c>
      <c r="K24" s="57">
        <f t="shared" si="1"/>
        <v>0</v>
      </c>
      <c r="L24" s="58">
        <f t="shared" si="2"/>
        <v>0</v>
      </c>
      <c r="M24" s="57">
        <f t="shared" si="3"/>
        <v>0</v>
      </c>
      <c r="N24" s="59">
        <f t="shared" si="12"/>
        <v>0</v>
      </c>
      <c r="O24" s="60">
        <f t="shared" si="4"/>
        <v>0</v>
      </c>
      <c r="P24" s="61">
        <f t="shared" si="5"/>
        <v>0</v>
      </c>
      <c r="Q24" s="60">
        <f t="shared" si="6"/>
        <v>0</v>
      </c>
      <c r="R24" s="62">
        <f t="shared" si="13"/>
        <v>0</v>
      </c>
      <c r="S24" s="61">
        <f t="shared" si="7"/>
        <v>0</v>
      </c>
      <c r="T24" s="60">
        <f t="shared" si="8"/>
        <v>0</v>
      </c>
      <c r="U24" s="61">
        <f t="shared" si="9"/>
        <v>0</v>
      </c>
      <c r="V24" s="63">
        <f t="shared" si="10"/>
        <v>0</v>
      </c>
    </row>
    <row r="25" spans="1:22" x14ac:dyDescent="0.25">
      <c r="A25" s="261">
        <f t="shared" si="11"/>
        <v>15</v>
      </c>
      <c r="B25" s="52"/>
      <c r="C25" s="53"/>
      <c r="D25" s="54"/>
      <c r="E25" s="54"/>
      <c r="F25" s="49"/>
      <c r="G25" s="65"/>
      <c r="H25" s="64"/>
      <c r="I25" s="64"/>
      <c r="J25" s="57">
        <f t="shared" si="0"/>
        <v>0</v>
      </c>
      <c r="K25" s="57">
        <f t="shared" si="1"/>
        <v>0</v>
      </c>
      <c r="L25" s="58">
        <f t="shared" si="2"/>
        <v>0</v>
      </c>
      <c r="M25" s="57">
        <f t="shared" si="3"/>
        <v>0</v>
      </c>
      <c r="N25" s="59">
        <f t="shared" si="12"/>
        <v>0</v>
      </c>
      <c r="O25" s="60">
        <f t="shared" si="4"/>
        <v>0</v>
      </c>
      <c r="P25" s="61">
        <f t="shared" si="5"/>
        <v>0</v>
      </c>
      <c r="Q25" s="60">
        <f t="shared" si="6"/>
        <v>0</v>
      </c>
      <c r="R25" s="62">
        <f t="shared" si="13"/>
        <v>0</v>
      </c>
      <c r="S25" s="61">
        <f t="shared" si="7"/>
        <v>0</v>
      </c>
      <c r="T25" s="60">
        <f t="shared" si="8"/>
        <v>0</v>
      </c>
      <c r="U25" s="61">
        <f t="shared" si="9"/>
        <v>0</v>
      </c>
      <c r="V25" s="63">
        <f t="shared" si="10"/>
        <v>0</v>
      </c>
    </row>
    <row r="26" spans="1:22" x14ac:dyDescent="0.25">
      <c r="A26" s="261">
        <f t="shared" si="11"/>
        <v>16</v>
      </c>
      <c r="B26" s="52"/>
      <c r="C26" s="53"/>
      <c r="D26" s="54"/>
      <c r="E26" s="54"/>
      <c r="F26" s="49"/>
      <c r="G26" s="65"/>
      <c r="H26" s="64"/>
      <c r="I26" s="64"/>
      <c r="J26" s="57">
        <f t="shared" si="0"/>
        <v>0</v>
      </c>
      <c r="K26" s="57">
        <f t="shared" si="1"/>
        <v>0</v>
      </c>
      <c r="L26" s="58">
        <f t="shared" si="2"/>
        <v>0</v>
      </c>
      <c r="M26" s="57">
        <f t="shared" si="3"/>
        <v>0</v>
      </c>
      <c r="N26" s="59">
        <f t="shared" si="12"/>
        <v>0</v>
      </c>
      <c r="O26" s="60">
        <f t="shared" si="4"/>
        <v>0</v>
      </c>
      <c r="P26" s="61">
        <f t="shared" si="5"/>
        <v>0</v>
      </c>
      <c r="Q26" s="60">
        <f t="shared" si="6"/>
        <v>0</v>
      </c>
      <c r="R26" s="62">
        <f t="shared" si="13"/>
        <v>0</v>
      </c>
      <c r="S26" s="61">
        <f t="shared" si="7"/>
        <v>0</v>
      </c>
      <c r="T26" s="60">
        <f t="shared" si="8"/>
        <v>0</v>
      </c>
      <c r="U26" s="61">
        <f t="shared" si="9"/>
        <v>0</v>
      </c>
      <c r="V26" s="63">
        <f t="shared" si="10"/>
        <v>0</v>
      </c>
    </row>
    <row r="27" spans="1:22" x14ac:dyDescent="0.25">
      <c r="A27" s="261">
        <f t="shared" si="11"/>
        <v>17</v>
      </c>
      <c r="B27" s="52"/>
      <c r="C27" s="53"/>
      <c r="D27" s="54"/>
      <c r="E27" s="54"/>
      <c r="F27" s="49"/>
      <c r="G27" s="65"/>
      <c r="H27" s="64"/>
      <c r="I27" s="64"/>
      <c r="J27" s="57">
        <f t="shared" si="0"/>
        <v>0</v>
      </c>
      <c r="K27" s="57">
        <f t="shared" si="1"/>
        <v>0</v>
      </c>
      <c r="L27" s="58">
        <f t="shared" si="2"/>
        <v>0</v>
      </c>
      <c r="M27" s="57">
        <f t="shared" si="3"/>
        <v>0</v>
      </c>
      <c r="N27" s="59">
        <f t="shared" si="12"/>
        <v>0</v>
      </c>
      <c r="O27" s="60">
        <f t="shared" si="4"/>
        <v>0</v>
      </c>
      <c r="P27" s="61">
        <f t="shared" si="5"/>
        <v>0</v>
      </c>
      <c r="Q27" s="60">
        <f t="shared" si="6"/>
        <v>0</v>
      </c>
      <c r="R27" s="62">
        <f t="shared" si="13"/>
        <v>0</v>
      </c>
      <c r="S27" s="61">
        <f t="shared" si="7"/>
        <v>0</v>
      </c>
      <c r="T27" s="60">
        <f t="shared" si="8"/>
        <v>0</v>
      </c>
      <c r="U27" s="61">
        <f t="shared" si="9"/>
        <v>0</v>
      </c>
      <c r="V27" s="63">
        <f t="shared" si="10"/>
        <v>0</v>
      </c>
    </row>
    <row r="28" spans="1:22" x14ac:dyDescent="0.25">
      <c r="A28" s="261">
        <f t="shared" si="11"/>
        <v>18</v>
      </c>
      <c r="B28" s="52"/>
      <c r="C28" s="53"/>
      <c r="D28" s="54"/>
      <c r="E28" s="54"/>
      <c r="F28" s="49"/>
      <c r="G28" s="65"/>
      <c r="H28" s="64"/>
      <c r="I28" s="64"/>
      <c r="J28" s="57">
        <f t="shared" si="0"/>
        <v>0</v>
      </c>
      <c r="K28" s="57">
        <f t="shared" si="1"/>
        <v>0</v>
      </c>
      <c r="L28" s="58">
        <f t="shared" si="2"/>
        <v>0</v>
      </c>
      <c r="M28" s="57">
        <f t="shared" si="3"/>
        <v>0</v>
      </c>
      <c r="N28" s="59">
        <f t="shared" si="12"/>
        <v>0</v>
      </c>
      <c r="O28" s="60">
        <f t="shared" si="4"/>
        <v>0</v>
      </c>
      <c r="P28" s="61">
        <f t="shared" si="5"/>
        <v>0</v>
      </c>
      <c r="Q28" s="60">
        <f t="shared" si="6"/>
        <v>0</v>
      </c>
      <c r="R28" s="62">
        <f t="shared" si="13"/>
        <v>0</v>
      </c>
      <c r="S28" s="61">
        <f t="shared" si="7"/>
        <v>0</v>
      </c>
      <c r="T28" s="60">
        <f t="shared" si="8"/>
        <v>0</v>
      </c>
      <c r="U28" s="61">
        <f t="shared" si="9"/>
        <v>0</v>
      </c>
      <c r="V28" s="63">
        <f t="shared" si="10"/>
        <v>0</v>
      </c>
    </row>
    <row r="29" spans="1:22" x14ac:dyDescent="0.25">
      <c r="A29" s="261">
        <f t="shared" si="11"/>
        <v>19</v>
      </c>
      <c r="B29" s="52"/>
      <c r="C29" s="53"/>
      <c r="D29" s="54"/>
      <c r="E29" s="54"/>
      <c r="F29" s="49"/>
      <c r="G29" s="65"/>
      <c r="H29" s="64"/>
      <c r="I29" s="64"/>
      <c r="J29" s="57">
        <f t="shared" si="0"/>
        <v>0</v>
      </c>
      <c r="K29" s="57">
        <f t="shared" si="1"/>
        <v>0</v>
      </c>
      <c r="L29" s="58">
        <f t="shared" si="2"/>
        <v>0</v>
      </c>
      <c r="M29" s="57">
        <f t="shared" si="3"/>
        <v>0</v>
      </c>
      <c r="N29" s="59">
        <f t="shared" si="12"/>
        <v>0</v>
      </c>
      <c r="O29" s="60">
        <f t="shared" si="4"/>
        <v>0</v>
      </c>
      <c r="P29" s="61">
        <f t="shared" si="5"/>
        <v>0</v>
      </c>
      <c r="Q29" s="60">
        <f t="shared" si="6"/>
        <v>0</v>
      </c>
      <c r="R29" s="62">
        <f t="shared" si="13"/>
        <v>0</v>
      </c>
      <c r="S29" s="61">
        <f t="shared" si="7"/>
        <v>0</v>
      </c>
      <c r="T29" s="60">
        <f t="shared" si="8"/>
        <v>0</v>
      </c>
      <c r="U29" s="61">
        <f t="shared" si="9"/>
        <v>0</v>
      </c>
      <c r="V29" s="63">
        <f t="shared" si="10"/>
        <v>0</v>
      </c>
    </row>
    <row r="30" spans="1:22" x14ac:dyDescent="0.25">
      <c r="A30" s="261">
        <f t="shared" si="11"/>
        <v>20</v>
      </c>
      <c r="B30" s="52"/>
      <c r="C30" s="53"/>
      <c r="D30" s="54"/>
      <c r="E30" s="54"/>
      <c r="F30" s="49"/>
      <c r="G30" s="65"/>
      <c r="H30" s="64"/>
      <c r="I30" s="64"/>
      <c r="J30" s="57">
        <f t="shared" si="0"/>
        <v>0</v>
      </c>
      <c r="K30" s="57">
        <f t="shared" si="1"/>
        <v>0</v>
      </c>
      <c r="L30" s="58">
        <f t="shared" si="2"/>
        <v>0</v>
      </c>
      <c r="M30" s="57">
        <f t="shared" si="3"/>
        <v>0</v>
      </c>
      <c r="N30" s="59">
        <f t="shared" si="12"/>
        <v>0</v>
      </c>
      <c r="O30" s="60">
        <f t="shared" si="4"/>
        <v>0</v>
      </c>
      <c r="P30" s="61">
        <f t="shared" si="5"/>
        <v>0</v>
      </c>
      <c r="Q30" s="60">
        <f t="shared" si="6"/>
        <v>0</v>
      </c>
      <c r="R30" s="62">
        <f t="shared" si="13"/>
        <v>0</v>
      </c>
      <c r="S30" s="61">
        <f t="shared" si="7"/>
        <v>0</v>
      </c>
      <c r="T30" s="60">
        <f t="shared" si="8"/>
        <v>0</v>
      </c>
      <c r="U30" s="61">
        <f t="shared" si="9"/>
        <v>0</v>
      </c>
      <c r="V30" s="63">
        <f t="shared" si="10"/>
        <v>0</v>
      </c>
    </row>
    <row r="31" spans="1:22" x14ac:dyDescent="0.25">
      <c r="A31" s="261">
        <f t="shared" si="11"/>
        <v>21</v>
      </c>
      <c r="B31" s="52"/>
      <c r="C31" s="53"/>
      <c r="D31" s="54"/>
      <c r="E31" s="54"/>
      <c r="F31" s="49"/>
      <c r="G31" s="65"/>
      <c r="H31" s="64"/>
      <c r="I31" s="64"/>
      <c r="J31" s="57">
        <f t="shared" si="0"/>
        <v>0</v>
      </c>
      <c r="K31" s="57">
        <f t="shared" si="1"/>
        <v>0</v>
      </c>
      <c r="L31" s="58">
        <f t="shared" si="2"/>
        <v>0</v>
      </c>
      <c r="M31" s="57">
        <f t="shared" si="3"/>
        <v>0</v>
      </c>
      <c r="N31" s="59">
        <f t="shared" si="12"/>
        <v>0</v>
      </c>
      <c r="O31" s="60">
        <f t="shared" si="4"/>
        <v>0</v>
      </c>
      <c r="P31" s="61">
        <f t="shared" si="5"/>
        <v>0</v>
      </c>
      <c r="Q31" s="60">
        <f t="shared" si="6"/>
        <v>0</v>
      </c>
      <c r="R31" s="62">
        <f t="shared" si="13"/>
        <v>0</v>
      </c>
      <c r="S31" s="61">
        <f t="shared" si="7"/>
        <v>0</v>
      </c>
      <c r="T31" s="60">
        <f t="shared" si="8"/>
        <v>0</v>
      </c>
      <c r="U31" s="61">
        <f t="shared" si="9"/>
        <v>0</v>
      </c>
      <c r="V31" s="63">
        <f t="shared" si="10"/>
        <v>0</v>
      </c>
    </row>
    <row r="32" spans="1:22" x14ac:dyDescent="0.25">
      <c r="A32" s="261">
        <f t="shared" si="11"/>
        <v>22</v>
      </c>
      <c r="B32" s="52"/>
      <c r="C32" s="53"/>
      <c r="D32" s="54"/>
      <c r="E32" s="54"/>
      <c r="F32" s="49"/>
      <c r="G32" s="65"/>
      <c r="H32" s="64"/>
      <c r="I32" s="64"/>
      <c r="J32" s="57">
        <f t="shared" si="0"/>
        <v>0</v>
      </c>
      <c r="K32" s="57">
        <f t="shared" si="1"/>
        <v>0</v>
      </c>
      <c r="L32" s="58">
        <f t="shared" si="2"/>
        <v>0</v>
      </c>
      <c r="M32" s="57">
        <f t="shared" si="3"/>
        <v>0</v>
      </c>
      <c r="N32" s="59">
        <f t="shared" si="12"/>
        <v>0</v>
      </c>
      <c r="O32" s="60">
        <f t="shared" si="4"/>
        <v>0</v>
      </c>
      <c r="P32" s="61">
        <f t="shared" si="5"/>
        <v>0</v>
      </c>
      <c r="Q32" s="60">
        <f t="shared" si="6"/>
        <v>0</v>
      </c>
      <c r="R32" s="62">
        <f t="shared" si="13"/>
        <v>0</v>
      </c>
      <c r="S32" s="61">
        <f t="shared" si="7"/>
        <v>0</v>
      </c>
      <c r="T32" s="60">
        <f t="shared" si="8"/>
        <v>0</v>
      </c>
      <c r="U32" s="61">
        <f t="shared" si="9"/>
        <v>0</v>
      </c>
      <c r="V32" s="63">
        <f t="shared" si="10"/>
        <v>0</v>
      </c>
    </row>
    <row r="33" spans="1:22" x14ac:dyDescent="0.25">
      <c r="A33" s="261">
        <f t="shared" si="11"/>
        <v>23</v>
      </c>
      <c r="B33" s="52"/>
      <c r="C33" s="53"/>
      <c r="D33" s="54"/>
      <c r="E33" s="54"/>
      <c r="F33" s="49"/>
      <c r="G33" s="65"/>
      <c r="H33" s="64"/>
      <c r="I33" s="64"/>
      <c r="J33" s="57">
        <f t="shared" si="0"/>
        <v>0</v>
      </c>
      <c r="K33" s="57">
        <f t="shared" si="1"/>
        <v>0</v>
      </c>
      <c r="L33" s="58">
        <f t="shared" si="2"/>
        <v>0</v>
      </c>
      <c r="M33" s="57">
        <f>IF(J33=0,0,J33-L$7+0.3*F33/1000+0.3)</f>
        <v>0</v>
      </c>
      <c r="N33" s="59">
        <f t="shared" si="12"/>
        <v>0</v>
      </c>
      <c r="O33" s="60">
        <f t="shared" si="4"/>
        <v>0</v>
      </c>
      <c r="P33" s="61">
        <f t="shared" si="5"/>
        <v>0</v>
      </c>
      <c r="Q33" s="60">
        <f t="shared" si="6"/>
        <v>0</v>
      </c>
      <c r="R33" s="62">
        <f t="shared" si="13"/>
        <v>0</v>
      </c>
      <c r="S33" s="61">
        <f t="shared" si="7"/>
        <v>0</v>
      </c>
      <c r="T33" s="60">
        <f t="shared" si="8"/>
        <v>0</v>
      </c>
      <c r="U33" s="61">
        <f t="shared" si="9"/>
        <v>0</v>
      </c>
      <c r="V33" s="63">
        <f t="shared" si="10"/>
        <v>0</v>
      </c>
    </row>
    <row r="34" spans="1:22" x14ac:dyDescent="0.25">
      <c r="A34" s="261">
        <f t="shared" si="11"/>
        <v>24</v>
      </c>
      <c r="B34" s="52"/>
      <c r="C34" s="53"/>
      <c r="D34" s="54"/>
      <c r="E34" s="54"/>
      <c r="F34" s="49"/>
      <c r="G34" s="65"/>
      <c r="H34" s="64"/>
      <c r="I34" s="64"/>
      <c r="J34" s="57">
        <f t="shared" si="0"/>
        <v>0</v>
      </c>
      <c r="K34" s="57">
        <f t="shared" si="1"/>
        <v>0</v>
      </c>
      <c r="L34" s="58">
        <f t="shared" si="2"/>
        <v>0</v>
      </c>
      <c r="M34" s="57">
        <f t="shared" si="3"/>
        <v>0</v>
      </c>
      <c r="N34" s="59">
        <f t="shared" si="12"/>
        <v>0</v>
      </c>
      <c r="O34" s="60">
        <f t="shared" si="4"/>
        <v>0</v>
      </c>
      <c r="P34" s="61">
        <f t="shared" si="5"/>
        <v>0</v>
      </c>
      <c r="Q34" s="60">
        <f t="shared" si="6"/>
        <v>0</v>
      </c>
      <c r="R34" s="62">
        <f t="shared" si="13"/>
        <v>0</v>
      </c>
      <c r="S34" s="61">
        <f t="shared" si="7"/>
        <v>0</v>
      </c>
      <c r="T34" s="60">
        <f t="shared" si="8"/>
        <v>0</v>
      </c>
      <c r="U34" s="61">
        <f t="shared" si="9"/>
        <v>0</v>
      </c>
      <c r="V34" s="63">
        <f t="shared" si="10"/>
        <v>0</v>
      </c>
    </row>
    <row r="35" spans="1:22" x14ac:dyDescent="0.25">
      <c r="A35" s="261">
        <f t="shared" si="11"/>
        <v>25</v>
      </c>
      <c r="B35" s="52"/>
      <c r="C35" s="53"/>
      <c r="D35" s="54"/>
      <c r="E35" s="54"/>
      <c r="F35" s="49"/>
      <c r="G35" s="65"/>
      <c r="H35" s="64"/>
      <c r="I35" s="64"/>
      <c r="J35" s="57">
        <f t="shared" si="0"/>
        <v>0</v>
      </c>
      <c r="K35" s="57">
        <f t="shared" si="1"/>
        <v>0</v>
      </c>
      <c r="L35" s="58">
        <f t="shared" si="2"/>
        <v>0</v>
      </c>
      <c r="M35" s="57">
        <f t="shared" si="3"/>
        <v>0</v>
      </c>
      <c r="N35" s="59">
        <f t="shared" si="12"/>
        <v>0</v>
      </c>
      <c r="O35" s="60">
        <f t="shared" si="4"/>
        <v>0</v>
      </c>
      <c r="P35" s="61">
        <f t="shared" si="5"/>
        <v>0</v>
      </c>
      <c r="Q35" s="60">
        <f t="shared" si="6"/>
        <v>0</v>
      </c>
      <c r="R35" s="62">
        <f t="shared" si="13"/>
        <v>0</v>
      </c>
      <c r="S35" s="61">
        <f t="shared" si="7"/>
        <v>0</v>
      </c>
      <c r="T35" s="60">
        <f t="shared" si="8"/>
        <v>0</v>
      </c>
      <c r="U35" s="61">
        <f t="shared" si="9"/>
        <v>0</v>
      </c>
      <c r="V35" s="63">
        <f t="shared" si="10"/>
        <v>0</v>
      </c>
    </row>
    <row r="36" spans="1:22" x14ac:dyDescent="0.25">
      <c r="A36" s="261">
        <f t="shared" si="11"/>
        <v>26</v>
      </c>
      <c r="B36" s="52"/>
      <c r="C36" s="53"/>
      <c r="D36" s="54"/>
      <c r="E36" s="54"/>
      <c r="F36" s="49"/>
      <c r="G36" s="65"/>
      <c r="H36" s="64"/>
      <c r="I36" s="64"/>
      <c r="J36" s="57">
        <f t="shared" si="0"/>
        <v>0</v>
      </c>
      <c r="K36" s="57">
        <f t="shared" si="1"/>
        <v>0</v>
      </c>
      <c r="L36" s="58">
        <f t="shared" si="2"/>
        <v>0</v>
      </c>
      <c r="M36" s="57">
        <f t="shared" si="3"/>
        <v>0</v>
      </c>
      <c r="N36" s="59">
        <f t="shared" si="12"/>
        <v>0</v>
      </c>
      <c r="O36" s="60">
        <f t="shared" si="4"/>
        <v>0</v>
      </c>
      <c r="P36" s="61">
        <f t="shared" si="5"/>
        <v>0</v>
      </c>
      <c r="Q36" s="60">
        <f>H36+N36+O36+P36</f>
        <v>0</v>
      </c>
      <c r="R36" s="62">
        <f t="shared" si="13"/>
        <v>0</v>
      </c>
      <c r="S36" s="61">
        <f t="shared" si="7"/>
        <v>0</v>
      </c>
      <c r="T36" s="60">
        <f t="shared" si="8"/>
        <v>0</v>
      </c>
      <c r="U36" s="61">
        <f t="shared" si="9"/>
        <v>0</v>
      </c>
      <c r="V36" s="63">
        <f t="shared" si="10"/>
        <v>0</v>
      </c>
    </row>
    <row r="37" spans="1:22" x14ac:dyDescent="0.25">
      <c r="A37" s="261">
        <f t="shared" si="11"/>
        <v>27</v>
      </c>
      <c r="B37" s="52"/>
      <c r="C37" s="53"/>
      <c r="D37" s="54"/>
      <c r="E37" s="54"/>
      <c r="F37" s="49"/>
      <c r="G37" s="65"/>
      <c r="H37" s="64"/>
      <c r="I37" s="64"/>
      <c r="J37" s="57">
        <f t="shared" si="0"/>
        <v>0</v>
      </c>
      <c r="K37" s="57">
        <f t="shared" si="1"/>
        <v>0</v>
      </c>
      <c r="L37" s="58">
        <f t="shared" si="2"/>
        <v>0</v>
      </c>
      <c r="M37" s="57">
        <f t="shared" si="3"/>
        <v>0</v>
      </c>
      <c r="N37" s="59">
        <f t="shared" si="12"/>
        <v>0</v>
      </c>
      <c r="O37" s="60">
        <f t="shared" si="4"/>
        <v>0</v>
      </c>
      <c r="P37" s="61">
        <f t="shared" si="5"/>
        <v>0</v>
      </c>
      <c r="Q37" s="60">
        <f t="shared" si="6"/>
        <v>0</v>
      </c>
      <c r="R37" s="62">
        <f t="shared" si="13"/>
        <v>0</v>
      </c>
      <c r="S37" s="61">
        <f t="shared" si="7"/>
        <v>0</v>
      </c>
      <c r="T37" s="60">
        <f t="shared" si="8"/>
        <v>0</v>
      </c>
      <c r="U37" s="61">
        <f t="shared" si="9"/>
        <v>0</v>
      </c>
      <c r="V37" s="63">
        <f t="shared" si="10"/>
        <v>0</v>
      </c>
    </row>
    <row r="38" spans="1:22" x14ac:dyDescent="0.25">
      <c r="A38" s="261">
        <f t="shared" si="11"/>
        <v>28</v>
      </c>
      <c r="B38" s="52"/>
      <c r="C38" s="53"/>
      <c r="D38" s="54"/>
      <c r="E38" s="54"/>
      <c r="F38" s="49"/>
      <c r="G38" s="65"/>
      <c r="H38" s="64"/>
      <c r="I38" s="64"/>
      <c r="J38" s="57">
        <f t="shared" si="0"/>
        <v>0</v>
      </c>
      <c r="K38" s="57">
        <f t="shared" si="1"/>
        <v>0</v>
      </c>
      <c r="L38" s="58">
        <f t="shared" si="2"/>
        <v>0</v>
      </c>
      <c r="M38" s="57">
        <f t="shared" si="3"/>
        <v>0</v>
      </c>
      <c r="N38" s="59">
        <f t="shared" si="12"/>
        <v>0</v>
      </c>
      <c r="O38" s="60">
        <f t="shared" si="4"/>
        <v>0</v>
      </c>
      <c r="P38" s="61">
        <f t="shared" si="5"/>
        <v>0</v>
      </c>
      <c r="Q38" s="60">
        <f t="shared" si="6"/>
        <v>0</v>
      </c>
      <c r="R38" s="62">
        <f t="shared" si="13"/>
        <v>0</v>
      </c>
      <c r="S38" s="61">
        <f t="shared" si="7"/>
        <v>0</v>
      </c>
      <c r="T38" s="60">
        <f t="shared" si="8"/>
        <v>0</v>
      </c>
      <c r="U38" s="61">
        <f t="shared" si="9"/>
        <v>0</v>
      </c>
      <c r="V38" s="63">
        <f t="shared" si="10"/>
        <v>0</v>
      </c>
    </row>
    <row r="39" spans="1:22" x14ac:dyDescent="0.25">
      <c r="A39" s="261">
        <f t="shared" si="11"/>
        <v>29</v>
      </c>
      <c r="B39" s="52"/>
      <c r="C39" s="53"/>
      <c r="D39" s="54"/>
      <c r="E39" s="54"/>
      <c r="F39" s="49"/>
      <c r="G39" s="65"/>
      <c r="H39" s="64"/>
      <c r="I39" s="64"/>
      <c r="J39" s="57">
        <f t="shared" si="0"/>
        <v>0</v>
      </c>
      <c r="K39" s="57">
        <f t="shared" si="1"/>
        <v>0</v>
      </c>
      <c r="L39" s="58">
        <f t="shared" si="2"/>
        <v>0</v>
      </c>
      <c r="M39" s="57">
        <f t="shared" si="3"/>
        <v>0</v>
      </c>
      <c r="N39" s="59">
        <f t="shared" si="12"/>
        <v>0</v>
      </c>
      <c r="O39" s="60">
        <f t="shared" si="4"/>
        <v>0</v>
      </c>
      <c r="P39" s="61">
        <f t="shared" si="5"/>
        <v>0</v>
      </c>
      <c r="Q39" s="60">
        <f t="shared" si="6"/>
        <v>0</v>
      </c>
      <c r="R39" s="62">
        <f t="shared" si="13"/>
        <v>0</v>
      </c>
      <c r="S39" s="61">
        <f t="shared" si="7"/>
        <v>0</v>
      </c>
      <c r="T39" s="60">
        <f t="shared" si="8"/>
        <v>0</v>
      </c>
      <c r="U39" s="61">
        <f t="shared" si="9"/>
        <v>0</v>
      </c>
      <c r="V39" s="63">
        <f t="shared" si="10"/>
        <v>0</v>
      </c>
    </row>
    <row r="40" spans="1:22" x14ac:dyDescent="0.25">
      <c r="A40" s="261">
        <f t="shared" si="11"/>
        <v>30</v>
      </c>
      <c r="B40" s="52"/>
      <c r="C40" s="53"/>
      <c r="D40" s="54"/>
      <c r="E40" s="54"/>
      <c r="F40" s="49"/>
      <c r="G40" s="65"/>
      <c r="H40" s="64"/>
      <c r="I40" s="64"/>
      <c r="J40" s="57">
        <f t="shared" si="0"/>
        <v>0</v>
      </c>
      <c r="K40" s="57">
        <f t="shared" si="1"/>
        <v>0</v>
      </c>
      <c r="L40" s="58">
        <f t="shared" si="2"/>
        <v>0</v>
      </c>
      <c r="M40" s="57">
        <f t="shared" si="3"/>
        <v>0</v>
      </c>
      <c r="N40" s="59">
        <f t="shared" si="12"/>
        <v>0</v>
      </c>
      <c r="O40" s="60">
        <f t="shared" si="4"/>
        <v>0</v>
      </c>
      <c r="P40" s="61">
        <f t="shared" si="5"/>
        <v>0</v>
      </c>
      <c r="Q40" s="60">
        <f t="shared" si="6"/>
        <v>0</v>
      </c>
      <c r="R40" s="62">
        <f t="shared" si="13"/>
        <v>0</v>
      </c>
      <c r="S40" s="61">
        <f t="shared" si="7"/>
        <v>0</v>
      </c>
      <c r="T40" s="60">
        <f t="shared" si="8"/>
        <v>0</v>
      </c>
      <c r="U40" s="61">
        <f t="shared" si="9"/>
        <v>0</v>
      </c>
      <c r="V40" s="63">
        <f t="shared" si="10"/>
        <v>0</v>
      </c>
    </row>
    <row r="41" spans="1:22" x14ac:dyDescent="0.25">
      <c r="A41" s="261">
        <f t="shared" si="11"/>
        <v>31</v>
      </c>
      <c r="B41" s="52"/>
      <c r="C41" s="53"/>
      <c r="D41" s="54"/>
      <c r="E41" s="54"/>
      <c r="F41" s="49"/>
      <c r="G41" s="65"/>
      <c r="H41" s="64"/>
      <c r="I41" s="64"/>
      <c r="J41" s="57">
        <f t="shared" si="0"/>
        <v>0</v>
      </c>
      <c r="K41" s="57">
        <f t="shared" si="1"/>
        <v>0</v>
      </c>
      <c r="L41" s="58">
        <f t="shared" si="2"/>
        <v>0</v>
      </c>
      <c r="M41" s="57">
        <f t="shared" si="3"/>
        <v>0</v>
      </c>
      <c r="N41" s="59">
        <f t="shared" si="12"/>
        <v>0</v>
      </c>
      <c r="O41" s="60">
        <f t="shared" si="4"/>
        <v>0</v>
      </c>
      <c r="P41" s="61">
        <f t="shared" si="5"/>
        <v>0</v>
      </c>
      <c r="Q41" s="60">
        <f t="shared" si="6"/>
        <v>0</v>
      </c>
      <c r="R41" s="62">
        <f t="shared" si="13"/>
        <v>0</v>
      </c>
      <c r="S41" s="61">
        <f t="shared" si="7"/>
        <v>0</v>
      </c>
      <c r="T41" s="60">
        <f t="shared" si="8"/>
        <v>0</v>
      </c>
      <c r="U41" s="61">
        <f t="shared" si="9"/>
        <v>0</v>
      </c>
      <c r="V41" s="63">
        <f t="shared" si="10"/>
        <v>0</v>
      </c>
    </row>
    <row r="42" spans="1:22" x14ac:dyDescent="0.25">
      <c r="A42" s="261">
        <f t="shared" si="11"/>
        <v>32</v>
      </c>
      <c r="B42" s="52"/>
      <c r="C42" s="53"/>
      <c r="D42" s="54"/>
      <c r="E42" s="54"/>
      <c r="F42" s="49"/>
      <c r="G42" s="65"/>
      <c r="H42" s="64"/>
      <c r="I42" s="64"/>
      <c r="J42" s="57">
        <f t="shared" si="0"/>
        <v>0</v>
      </c>
      <c r="K42" s="57">
        <f t="shared" si="1"/>
        <v>0</v>
      </c>
      <c r="L42" s="58">
        <f t="shared" si="2"/>
        <v>0</v>
      </c>
      <c r="M42" s="57">
        <f t="shared" si="3"/>
        <v>0</v>
      </c>
      <c r="N42" s="59">
        <f t="shared" si="12"/>
        <v>0</v>
      </c>
      <c r="O42" s="60">
        <f t="shared" si="4"/>
        <v>0</v>
      </c>
      <c r="P42" s="61">
        <f t="shared" si="5"/>
        <v>0</v>
      </c>
      <c r="Q42" s="60">
        <f t="shared" si="6"/>
        <v>0</v>
      </c>
      <c r="R42" s="62">
        <f t="shared" si="13"/>
        <v>0</v>
      </c>
      <c r="S42" s="61">
        <f t="shared" si="7"/>
        <v>0</v>
      </c>
      <c r="T42" s="60">
        <f t="shared" si="8"/>
        <v>0</v>
      </c>
      <c r="U42" s="61">
        <f t="shared" si="9"/>
        <v>0</v>
      </c>
      <c r="V42" s="63">
        <f t="shared" si="10"/>
        <v>0</v>
      </c>
    </row>
    <row r="43" spans="1:22" x14ac:dyDescent="0.25">
      <c r="A43" s="261">
        <f t="shared" si="11"/>
        <v>33</v>
      </c>
      <c r="B43" s="52"/>
      <c r="C43" s="53"/>
      <c r="D43" s="54"/>
      <c r="E43" s="54"/>
      <c r="F43" s="49"/>
      <c r="G43" s="65"/>
      <c r="H43" s="64"/>
      <c r="I43" s="64"/>
      <c r="J43" s="57">
        <f t="shared" si="0"/>
        <v>0</v>
      </c>
      <c r="K43" s="57">
        <f t="shared" si="1"/>
        <v>0</v>
      </c>
      <c r="L43" s="58">
        <f t="shared" si="2"/>
        <v>0</v>
      </c>
      <c r="M43" s="57">
        <f t="shared" si="3"/>
        <v>0</v>
      </c>
      <c r="N43" s="59">
        <f t="shared" si="12"/>
        <v>0</v>
      </c>
      <c r="O43" s="60">
        <f t="shared" si="4"/>
        <v>0</v>
      </c>
      <c r="P43" s="61">
        <f t="shared" si="5"/>
        <v>0</v>
      </c>
      <c r="Q43" s="60">
        <f t="shared" si="6"/>
        <v>0</v>
      </c>
      <c r="R43" s="62">
        <f t="shared" si="13"/>
        <v>0</v>
      </c>
      <c r="S43" s="61">
        <f t="shared" si="7"/>
        <v>0</v>
      </c>
      <c r="T43" s="60">
        <f t="shared" si="8"/>
        <v>0</v>
      </c>
      <c r="U43" s="61">
        <f t="shared" si="9"/>
        <v>0</v>
      </c>
      <c r="V43" s="63">
        <f t="shared" si="10"/>
        <v>0</v>
      </c>
    </row>
    <row r="44" spans="1:22" x14ac:dyDescent="0.25">
      <c r="A44" s="261">
        <f t="shared" si="11"/>
        <v>34</v>
      </c>
      <c r="B44" s="52"/>
      <c r="C44" s="53"/>
      <c r="D44" s="54"/>
      <c r="E44" s="54"/>
      <c r="F44" s="49"/>
      <c r="G44" s="65"/>
      <c r="H44" s="64"/>
      <c r="I44" s="64"/>
      <c r="J44" s="57">
        <f t="shared" si="0"/>
        <v>0</v>
      </c>
      <c r="K44" s="57">
        <f t="shared" si="1"/>
        <v>0</v>
      </c>
      <c r="L44" s="58">
        <f t="shared" si="2"/>
        <v>0</v>
      </c>
      <c r="M44" s="57">
        <f t="shared" si="3"/>
        <v>0</v>
      </c>
      <c r="N44" s="59">
        <f t="shared" si="12"/>
        <v>0</v>
      </c>
      <c r="O44" s="60">
        <f t="shared" si="4"/>
        <v>0</v>
      </c>
      <c r="P44" s="61">
        <f t="shared" si="5"/>
        <v>0</v>
      </c>
      <c r="Q44" s="60">
        <f t="shared" si="6"/>
        <v>0</v>
      </c>
      <c r="R44" s="62">
        <f t="shared" si="13"/>
        <v>0</v>
      </c>
      <c r="S44" s="61">
        <f t="shared" si="7"/>
        <v>0</v>
      </c>
      <c r="T44" s="60">
        <f t="shared" si="8"/>
        <v>0</v>
      </c>
      <c r="U44" s="61">
        <f t="shared" si="9"/>
        <v>0</v>
      </c>
      <c r="V44" s="63">
        <f t="shared" si="10"/>
        <v>0</v>
      </c>
    </row>
    <row r="45" spans="1:22" x14ac:dyDescent="0.25">
      <c r="A45" s="261">
        <f t="shared" si="11"/>
        <v>35</v>
      </c>
      <c r="B45" s="52"/>
      <c r="C45" s="53"/>
      <c r="D45" s="54"/>
      <c r="E45" s="54"/>
      <c r="F45" s="49"/>
      <c r="G45" s="65" t="s">
        <v>1</v>
      </c>
      <c r="H45" s="64"/>
      <c r="I45" s="64"/>
      <c r="J45" s="57">
        <f t="shared" si="0"/>
        <v>0</v>
      </c>
      <c r="K45" s="57">
        <f t="shared" si="1"/>
        <v>0</v>
      </c>
      <c r="L45" s="58">
        <f t="shared" si="2"/>
        <v>0</v>
      </c>
      <c r="M45" s="57">
        <f>IF(J45=0,0,J45-L$7+0.3*F45/1000+0.3)</f>
        <v>0</v>
      </c>
      <c r="N45" s="59">
        <f t="shared" si="12"/>
        <v>0</v>
      </c>
      <c r="O45" s="60">
        <f t="shared" si="4"/>
        <v>0</v>
      </c>
      <c r="P45" s="61">
        <f t="shared" si="5"/>
        <v>0</v>
      </c>
      <c r="Q45" s="60">
        <f t="shared" si="6"/>
        <v>0</v>
      </c>
      <c r="R45" s="62">
        <f t="shared" si="13"/>
        <v>0</v>
      </c>
      <c r="S45" s="61">
        <f t="shared" si="7"/>
        <v>0</v>
      </c>
      <c r="T45" s="60">
        <f t="shared" si="8"/>
        <v>0</v>
      </c>
      <c r="U45" s="61">
        <f t="shared" si="9"/>
        <v>0</v>
      </c>
      <c r="V45" s="63">
        <f t="shared" si="10"/>
        <v>0</v>
      </c>
    </row>
    <row r="46" spans="1:22" ht="15.75" thickBot="1" x14ac:dyDescent="0.3">
      <c r="A46" s="261">
        <f t="shared" si="11"/>
        <v>36</v>
      </c>
      <c r="B46" s="66"/>
      <c r="C46" s="67"/>
      <c r="D46" s="68"/>
      <c r="E46" s="68"/>
      <c r="F46" s="69"/>
      <c r="G46" s="70" t="s">
        <v>1</v>
      </c>
      <c r="H46" s="71"/>
      <c r="I46" s="71"/>
      <c r="J46" s="72">
        <f t="shared" si="0"/>
        <v>0</v>
      </c>
      <c r="K46" s="72">
        <f t="shared" si="1"/>
        <v>0</v>
      </c>
      <c r="L46" s="73">
        <f t="shared" si="2"/>
        <v>0</v>
      </c>
      <c r="M46" s="72">
        <f t="shared" si="3"/>
        <v>0</v>
      </c>
      <c r="N46" s="59">
        <f t="shared" si="12"/>
        <v>0</v>
      </c>
      <c r="O46" s="60">
        <f t="shared" si="4"/>
        <v>0</v>
      </c>
      <c r="P46" s="61">
        <f t="shared" si="5"/>
        <v>0</v>
      </c>
      <c r="Q46" s="60">
        <f t="shared" si="6"/>
        <v>0</v>
      </c>
      <c r="R46" s="62">
        <f t="shared" si="13"/>
        <v>0</v>
      </c>
      <c r="S46" s="61">
        <f t="shared" si="7"/>
        <v>0</v>
      </c>
      <c r="T46" s="60">
        <f t="shared" si="8"/>
        <v>0</v>
      </c>
      <c r="U46" s="61">
        <f t="shared" si="9"/>
        <v>0</v>
      </c>
      <c r="V46" s="63">
        <f t="shared" si="10"/>
        <v>0</v>
      </c>
    </row>
    <row r="47" spans="1:22" ht="15.75" thickBot="1" x14ac:dyDescent="0.3">
      <c r="G47" s="21"/>
      <c r="H47" s="75"/>
      <c r="I47" s="75"/>
      <c r="J47" s="76"/>
      <c r="K47" s="57"/>
      <c r="L47" s="58"/>
      <c r="M47" s="77"/>
      <c r="N47" s="59"/>
      <c r="O47" s="60"/>
      <c r="P47" s="61"/>
      <c r="Q47" s="60"/>
      <c r="R47" s="62"/>
      <c r="S47" s="61"/>
      <c r="T47" s="60"/>
      <c r="U47" s="57"/>
      <c r="V47" s="57"/>
    </row>
    <row r="48" spans="1:22" s="17" customFormat="1" ht="15.75" thickBot="1" x14ac:dyDescent="0.3">
      <c r="A48" s="393" t="s">
        <v>36</v>
      </c>
      <c r="G48" s="24" t="s">
        <v>1</v>
      </c>
      <c r="H48" s="78">
        <f>SUM(H9:H46)</f>
        <v>0</v>
      </c>
      <c r="I48" s="78">
        <f>SUM(I9:I46)</f>
        <v>0</v>
      </c>
      <c r="J48" s="79"/>
      <c r="K48" s="80"/>
      <c r="L48" s="80"/>
      <c r="M48" s="80"/>
      <c r="N48" s="81">
        <f t="shared" ref="N48:S48" si="14">SUM(N11:N46)</f>
        <v>0</v>
      </c>
      <c r="O48" s="82">
        <f t="shared" si="14"/>
        <v>0</v>
      </c>
      <c r="P48" s="78">
        <f t="shared" si="14"/>
        <v>0</v>
      </c>
      <c r="Q48" s="82">
        <f t="shared" si="14"/>
        <v>0</v>
      </c>
      <c r="R48" s="83">
        <f t="shared" si="14"/>
        <v>0</v>
      </c>
      <c r="S48" s="78">
        <f t="shared" si="14"/>
        <v>0</v>
      </c>
      <c r="T48" s="82"/>
      <c r="U48" s="78">
        <f>SUM(U11:U46)</f>
        <v>0</v>
      </c>
      <c r="V48" s="84">
        <f>SUM(V11:V46)</f>
        <v>0</v>
      </c>
    </row>
    <row r="49" spans="1:22" x14ac:dyDescent="0.25">
      <c r="H49" s="49"/>
      <c r="I49" s="49"/>
      <c r="J49" s="49"/>
      <c r="K49" s="49"/>
      <c r="L49" s="49"/>
      <c r="M49" s="49"/>
      <c r="N49" s="49"/>
    </row>
    <row r="50" spans="1:22" x14ac:dyDescent="0.25">
      <c r="H50" s="49"/>
      <c r="I50" s="49"/>
      <c r="J50" s="49"/>
      <c r="K50" s="49"/>
      <c r="L50" s="49"/>
      <c r="M50" s="49"/>
      <c r="N50" s="49"/>
    </row>
    <row r="51" spans="1:22" ht="15.75" thickBot="1" x14ac:dyDescent="0.3">
      <c r="B51" s="17" t="s">
        <v>37</v>
      </c>
      <c r="H51" s="49"/>
      <c r="I51" s="49"/>
      <c r="J51" s="49"/>
      <c r="K51" s="49"/>
      <c r="L51" s="49"/>
      <c r="M51" s="49"/>
      <c r="N51" s="49"/>
    </row>
    <row r="52" spans="1:22" s="47" customFormat="1" ht="15.75" thickBot="1" x14ac:dyDescent="0.3">
      <c r="A52" s="85"/>
      <c r="B52" s="86" t="s">
        <v>38</v>
      </c>
      <c r="C52" s="41" t="s">
        <v>39</v>
      </c>
      <c r="D52" s="87" t="s">
        <v>40</v>
      </c>
      <c r="E52" s="87" t="s">
        <v>41</v>
      </c>
      <c r="F52" s="87" t="s">
        <v>42</v>
      </c>
      <c r="G52" s="87" t="s">
        <v>43</v>
      </c>
      <c r="H52" s="41" t="s">
        <v>44</v>
      </c>
      <c r="I52" s="41" t="s">
        <v>45</v>
      </c>
      <c r="J52" s="42" t="s">
        <v>46</v>
      </c>
      <c r="K52" s="42" t="s">
        <v>47</v>
      </c>
      <c r="L52" s="43" t="s">
        <v>48</v>
      </c>
      <c r="M52" s="42" t="s">
        <v>49</v>
      </c>
      <c r="N52" s="42" t="s">
        <v>50</v>
      </c>
      <c r="O52" s="42" t="s">
        <v>51</v>
      </c>
      <c r="P52" s="88" t="s">
        <v>34</v>
      </c>
      <c r="Q52" s="42" t="s">
        <v>52</v>
      </c>
      <c r="S52" s="540" t="s">
        <v>53</v>
      </c>
      <c r="T52" s="540" t="s">
        <v>54</v>
      </c>
      <c r="U52" s="540" t="s">
        <v>55</v>
      </c>
      <c r="V52" s="538" t="s">
        <v>56</v>
      </c>
    </row>
    <row r="53" spans="1:22" ht="15.75" thickBot="1" x14ac:dyDescent="0.3">
      <c r="A53" s="262">
        <v>1</v>
      </c>
      <c r="B53" s="89" t="s">
        <v>57</v>
      </c>
      <c r="C53" s="90"/>
      <c r="D53" s="91">
        <v>4</v>
      </c>
      <c r="E53" s="92">
        <v>2.2000000000000002</v>
      </c>
      <c r="F53" s="93">
        <v>0</v>
      </c>
      <c r="G53" s="93">
        <v>0</v>
      </c>
      <c r="H53" s="93">
        <v>0</v>
      </c>
      <c r="I53" s="75">
        <f>(IF(D53=4,F$115,F$116)*L6*(E53-L7)+F53*I3*I$4+(L$7-0.15)*I$5)*C53</f>
        <v>0</v>
      </c>
      <c r="J53" s="75">
        <f>C53*0.5*F$4</f>
        <v>0</v>
      </c>
      <c r="K53" s="94">
        <f>C53*I$7*I$3*I$4</f>
        <v>0</v>
      </c>
      <c r="L53" s="75">
        <f>G53*C53+I53+J53+K53</f>
        <v>0</v>
      </c>
      <c r="M53" s="75">
        <f>C53*(C$59+H53)</f>
        <v>0</v>
      </c>
      <c r="N53" s="75">
        <f>C53*E53*1*F$3</f>
        <v>0</v>
      </c>
      <c r="O53" s="75">
        <f>IF(C53=0,0,(L53+M53+N53)/C53)</f>
        <v>0</v>
      </c>
      <c r="P53" s="57">
        <f>L53+M53+N53</f>
        <v>0</v>
      </c>
      <c r="Q53" s="57">
        <f>O53*F$6</f>
        <v>0</v>
      </c>
      <c r="S53" s="541"/>
      <c r="T53" s="541"/>
      <c r="U53" s="541"/>
      <c r="V53" s="539"/>
    </row>
    <row r="54" spans="1:22" x14ac:dyDescent="0.25">
      <c r="A54" s="262">
        <v>2</v>
      </c>
      <c r="B54" s="95" t="s">
        <v>58</v>
      </c>
      <c r="C54" s="96"/>
      <c r="D54" s="97">
        <v>4</v>
      </c>
      <c r="E54" s="55">
        <v>2.2000000000000002</v>
      </c>
      <c r="F54" s="61">
        <v>0</v>
      </c>
      <c r="G54" s="98">
        <v>0</v>
      </c>
      <c r="H54" s="98">
        <v>0</v>
      </c>
      <c r="I54" s="61">
        <f>(F119*L6*(E54-L7)+F54*I3*I4+(L7-0.15)*I5*2)*C54</f>
        <v>0</v>
      </c>
      <c r="J54" s="61">
        <f>C54*1*F$4</f>
        <v>0</v>
      </c>
      <c r="K54" s="94">
        <f>C54*I$7*2*I$3*I$4</f>
        <v>0</v>
      </c>
      <c r="L54" s="61">
        <f>G54*C54+I54+J54+K54</f>
        <v>0</v>
      </c>
      <c r="M54" s="61">
        <f>C54*(C$60+H54)</f>
        <v>0</v>
      </c>
      <c r="N54" s="61">
        <f>C54*E54*1.8*F$3</f>
        <v>0</v>
      </c>
      <c r="O54" s="61">
        <f>IF(C54=0,0,(L54+M54+N54)/C54)</f>
        <v>0</v>
      </c>
      <c r="P54" s="57">
        <f>L54+M54+N54</f>
        <v>0</v>
      </c>
      <c r="Q54" s="57">
        <f>O54*F$6</f>
        <v>0</v>
      </c>
      <c r="S54" s="438" t="s">
        <v>371</v>
      </c>
      <c r="T54" s="433">
        <f>Q48+L57</f>
        <v>0</v>
      </c>
      <c r="U54" s="430">
        <f>(F6-1)*T54</f>
        <v>0</v>
      </c>
      <c r="V54" s="437">
        <f>T54+U54</f>
        <v>0</v>
      </c>
    </row>
    <row r="55" spans="1:22" x14ac:dyDescent="0.25">
      <c r="A55" s="262">
        <v>3</v>
      </c>
      <c r="B55" s="95" t="s">
        <v>59</v>
      </c>
      <c r="C55" s="96"/>
      <c r="D55" s="97">
        <v>4</v>
      </c>
      <c r="E55" s="55">
        <v>2.2000000000000002</v>
      </c>
      <c r="F55" s="61">
        <v>0</v>
      </c>
      <c r="G55" s="98">
        <v>0</v>
      </c>
      <c r="H55" s="98">
        <v>0</v>
      </c>
      <c r="I55" s="61">
        <f>(F117*L$6*(E55-L$7)+F55*I$3*I$4+(L7-0.15)*I$5)*C55</f>
        <v>0</v>
      </c>
      <c r="J55" s="61">
        <f>C55*0.5*F$4</f>
        <v>0</v>
      </c>
      <c r="K55" s="94">
        <f>C55*(F59*L6)</f>
        <v>0</v>
      </c>
      <c r="L55" s="61">
        <f>G55*C55+I55+J55+K55</f>
        <v>0</v>
      </c>
      <c r="M55" s="61">
        <f>C55*(C$61+H55)</f>
        <v>0</v>
      </c>
      <c r="N55" s="61">
        <f>C55*E55*1*F$3</f>
        <v>0</v>
      </c>
      <c r="O55" s="61">
        <f>IF(C55=0,0,(L55+M55+N55)/C55)</f>
        <v>0</v>
      </c>
      <c r="P55" s="57">
        <f>L55+M55+N55</f>
        <v>0</v>
      </c>
      <c r="Q55" s="57">
        <f>O55*F$6</f>
        <v>0</v>
      </c>
      <c r="S55" s="439" t="s">
        <v>372</v>
      </c>
      <c r="T55" s="434">
        <f>R48+M57</f>
        <v>0</v>
      </c>
      <c r="U55" s="431">
        <f>(F6-1)*T55</f>
        <v>0</v>
      </c>
      <c r="V55" s="437">
        <f>T55+U55</f>
        <v>0</v>
      </c>
    </row>
    <row r="56" spans="1:22" ht="15.75" thickBot="1" x14ac:dyDescent="0.3">
      <c r="A56" s="263">
        <v>4</v>
      </c>
      <c r="B56" s="99" t="s">
        <v>347</v>
      </c>
      <c r="C56" s="100"/>
      <c r="D56" s="101">
        <v>4</v>
      </c>
      <c r="E56" s="102">
        <v>2.2000000000000002</v>
      </c>
      <c r="F56" s="103">
        <v>0</v>
      </c>
      <c r="G56" s="98">
        <v>0</v>
      </c>
      <c r="H56" s="98">
        <v>0</v>
      </c>
      <c r="I56" s="61">
        <f>(F118*L$6*(E56-L$7)+F56*I$3*I$4+(L7-0.15)*I$5)*C56</f>
        <v>0</v>
      </c>
      <c r="J56" s="61">
        <f>C56*1*F$4</f>
        <v>0</v>
      </c>
      <c r="K56" s="94">
        <f>C56*(F60*L6)</f>
        <v>0</v>
      </c>
      <c r="L56" s="61">
        <f>G56*C56+I56+J56+K56</f>
        <v>0</v>
      </c>
      <c r="M56" s="61">
        <f>C56*(C$62+H56)</f>
        <v>0</v>
      </c>
      <c r="N56" s="61">
        <f>C56*E56*1.8*F$3</f>
        <v>0</v>
      </c>
      <c r="O56" s="61">
        <f>IF(C56=0,0,(L56+M56+N56)/C56)</f>
        <v>0</v>
      </c>
      <c r="P56" s="57">
        <f>L56+M56+N56</f>
        <v>0</v>
      </c>
      <c r="Q56" s="57">
        <f>O56*F$6</f>
        <v>0</v>
      </c>
      <c r="S56" s="439" t="s">
        <v>60</v>
      </c>
      <c r="T56" s="434">
        <f>S48+N57</f>
        <v>0</v>
      </c>
      <c r="U56" s="431">
        <f>(F6-1)*T56</f>
        <v>0</v>
      </c>
      <c r="V56" s="437">
        <f>T56+U56</f>
        <v>0</v>
      </c>
    </row>
    <row r="57" spans="1:22" s="22" customFormat="1" ht="15.75" thickBot="1" x14ac:dyDescent="0.3">
      <c r="A57" s="394" t="s">
        <v>61</v>
      </c>
      <c r="B57" s="104"/>
      <c r="C57" s="105">
        <f>SUM(C53:C56)</f>
        <v>0</v>
      </c>
      <c r="D57" s="104"/>
      <c r="E57" s="104"/>
      <c r="F57" s="106" t="s">
        <v>1</v>
      </c>
      <c r="G57" s="107">
        <f t="shared" ref="G57:N57" si="15">SUM(G53:G56)</f>
        <v>0</v>
      </c>
      <c r="H57" s="107">
        <f t="shared" si="15"/>
        <v>0</v>
      </c>
      <c r="I57" s="107">
        <f t="shared" si="15"/>
        <v>0</v>
      </c>
      <c r="J57" s="107">
        <f t="shared" si="15"/>
        <v>0</v>
      </c>
      <c r="K57" s="107">
        <f t="shared" si="15"/>
        <v>0</v>
      </c>
      <c r="L57" s="107">
        <f t="shared" si="15"/>
        <v>0</v>
      </c>
      <c r="M57" s="107">
        <f t="shared" si="15"/>
        <v>0</v>
      </c>
      <c r="N57" s="107">
        <f t="shared" si="15"/>
        <v>0</v>
      </c>
      <c r="O57" s="107"/>
      <c r="P57" s="108">
        <f>SUM(P53:P56)</f>
        <v>0</v>
      </c>
      <c r="Q57" s="109">
        <f>SUM(Q53:Q56)</f>
        <v>0</v>
      </c>
      <c r="S57" s="440" t="s">
        <v>62</v>
      </c>
      <c r="T57" s="435">
        <f>SUM(T54:T56)</f>
        <v>0</v>
      </c>
      <c r="U57" s="432">
        <f>(F6-1)*T57</f>
        <v>0</v>
      </c>
      <c r="V57" s="435">
        <f>T57+U57</f>
        <v>0</v>
      </c>
    </row>
    <row r="58" spans="1:22" ht="15.75" thickBot="1" x14ac:dyDescent="0.3">
      <c r="T58" s="436"/>
    </row>
    <row r="59" spans="1:22" x14ac:dyDescent="0.25">
      <c r="B59" s="110" t="s">
        <v>63</v>
      </c>
      <c r="C59" s="111">
        <v>200</v>
      </c>
      <c r="E59" s="20" t="s">
        <v>348</v>
      </c>
      <c r="F59" s="112">
        <v>465</v>
      </c>
      <c r="G59" s="113" t="s">
        <v>1</v>
      </c>
      <c r="Q59" s="114"/>
    </row>
    <row r="60" spans="1:22" ht="15.75" thickBot="1" x14ac:dyDescent="0.3">
      <c r="B60" s="23" t="s">
        <v>64</v>
      </c>
      <c r="C60" s="115">
        <v>250</v>
      </c>
      <c r="E60" s="37" t="s">
        <v>349</v>
      </c>
      <c r="F60" s="116">
        <v>715</v>
      </c>
      <c r="G60" s="21" t="s">
        <v>1</v>
      </c>
      <c r="Q60" s="117"/>
    </row>
    <row r="61" spans="1:22" x14ac:dyDescent="0.25">
      <c r="B61" s="23" t="s">
        <v>65</v>
      </c>
      <c r="C61" s="115">
        <v>220</v>
      </c>
      <c r="G61" s="21" t="s">
        <v>1</v>
      </c>
      <c r="Q61" s="117"/>
    </row>
    <row r="62" spans="1:22" ht="15.75" thickBot="1" x14ac:dyDescent="0.3">
      <c r="A62" s="264"/>
      <c r="B62" s="36" t="s">
        <v>350</v>
      </c>
      <c r="C62" s="119">
        <v>280</v>
      </c>
      <c r="D62" s="118"/>
      <c r="E62" s="118"/>
      <c r="F62" s="118"/>
      <c r="G62" s="120" t="s">
        <v>1</v>
      </c>
      <c r="H62" s="118"/>
      <c r="I62" s="118"/>
      <c r="J62" s="118"/>
      <c r="K62" s="118"/>
      <c r="L62" s="118"/>
      <c r="M62" s="118"/>
      <c r="N62" s="118"/>
      <c r="O62" s="118"/>
      <c r="P62" s="118"/>
      <c r="Q62" s="121"/>
      <c r="R62" s="118"/>
      <c r="S62" s="118"/>
      <c r="T62" s="118"/>
      <c r="U62" s="118"/>
      <c r="V62" s="118"/>
    </row>
    <row r="63" spans="1:22" x14ac:dyDescent="0.25">
      <c r="B63" s="122"/>
      <c r="C63" s="122"/>
      <c r="D63" s="122"/>
      <c r="E63" s="123"/>
      <c r="F63" s="122"/>
      <c r="I63" s="122"/>
      <c r="J63" s="124"/>
      <c r="K63" s="124"/>
      <c r="Q63" s="114"/>
    </row>
    <row r="64" spans="1:22" ht="15.75" thickBot="1" x14ac:dyDescent="0.3">
      <c r="A64" s="74" t="s">
        <v>66</v>
      </c>
    </row>
    <row r="65" spans="1:12" x14ac:dyDescent="0.25">
      <c r="A65" s="265" t="s">
        <v>67</v>
      </c>
      <c r="B65" s="125">
        <v>50</v>
      </c>
      <c r="C65" s="125">
        <v>601</v>
      </c>
      <c r="D65" s="125">
        <v>826</v>
      </c>
      <c r="E65" s="125">
        <v>1051</v>
      </c>
      <c r="F65" s="125">
        <v>1501</v>
      </c>
      <c r="G65" s="126" t="s">
        <v>68</v>
      </c>
      <c r="H65" s="125">
        <v>50</v>
      </c>
      <c r="I65" s="125">
        <v>451</v>
      </c>
      <c r="J65" s="125">
        <v>601</v>
      </c>
      <c r="K65" s="125">
        <v>826</v>
      </c>
      <c r="L65" s="127">
        <v>1051</v>
      </c>
    </row>
    <row r="66" spans="1:12" ht="15.75" thickBot="1" x14ac:dyDescent="0.3">
      <c r="A66" s="266" t="s">
        <v>69</v>
      </c>
      <c r="B66" s="128">
        <v>1200</v>
      </c>
      <c r="C66" s="128">
        <v>1500</v>
      </c>
      <c r="D66" s="128">
        <v>1800</v>
      </c>
      <c r="E66" s="128">
        <v>2400</v>
      </c>
      <c r="F66" s="128" t="e">
        <f>NA()</f>
        <v>#N/A</v>
      </c>
      <c r="G66" s="129" t="s">
        <v>70</v>
      </c>
      <c r="H66" s="128">
        <v>1200</v>
      </c>
      <c r="I66" s="128">
        <v>1500</v>
      </c>
      <c r="J66" s="128">
        <v>1800</v>
      </c>
      <c r="K66" s="128">
        <v>2400</v>
      </c>
      <c r="L66" s="130" t="e">
        <f>NA()</f>
        <v>#N/A</v>
      </c>
    </row>
    <row r="67" spans="1:12" x14ac:dyDescent="0.25">
      <c r="G67" s="74"/>
    </row>
    <row r="68" spans="1:12" x14ac:dyDescent="0.25">
      <c r="G68" s="74"/>
    </row>
    <row r="69" spans="1:12" x14ac:dyDescent="0.25">
      <c r="A69" s="74" t="s">
        <v>71</v>
      </c>
      <c r="C69" s="524" t="s">
        <v>381</v>
      </c>
      <c r="D69" s="525"/>
      <c r="E69" s="525"/>
      <c r="F69" s="526"/>
      <c r="G69" s="429" t="s">
        <v>72</v>
      </c>
    </row>
    <row r="70" spans="1:12" x14ac:dyDescent="0.25">
      <c r="C70" s="527">
        <v>1200</v>
      </c>
      <c r="D70" s="528">
        <v>1500</v>
      </c>
      <c r="E70" s="528">
        <v>1800</v>
      </c>
      <c r="F70" s="529">
        <v>2400</v>
      </c>
      <c r="G70" s="429" t="s">
        <v>73</v>
      </c>
    </row>
    <row r="71" spans="1:12" x14ac:dyDescent="0.25">
      <c r="C71" s="527">
        <v>1201</v>
      </c>
      <c r="D71" s="528">
        <v>1707.1030000000001</v>
      </c>
      <c r="E71" s="528">
        <v>1801.67</v>
      </c>
      <c r="F71" s="529">
        <v>5132.8756612967036</v>
      </c>
      <c r="G71" s="429" t="s">
        <v>74</v>
      </c>
    </row>
    <row r="72" spans="1:12" x14ac:dyDescent="0.25">
      <c r="C72" s="527">
        <v>1201.33</v>
      </c>
      <c r="D72" s="528">
        <v>1971.0003610000003</v>
      </c>
      <c r="E72" s="528">
        <v>1802</v>
      </c>
      <c r="F72" s="529">
        <v>5701.6366402967042</v>
      </c>
    </row>
    <row r="73" spans="1:12" x14ac:dyDescent="0.25">
      <c r="C73" s="527">
        <v>1201.67</v>
      </c>
      <c r="D73" s="528">
        <v>2235.8977220000002</v>
      </c>
      <c r="E73" s="528">
        <v>1802.33</v>
      </c>
      <c r="F73" s="529">
        <v>6270.3976192967048</v>
      </c>
    </row>
    <row r="74" spans="1:12" x14ac:dyDescent="0.25">
      <c r="C74" s="527">
        <v>1202</v>
      </c>
      <c r="D74" s="528">
        <v>2499.7950830000004</v>
      </c>
      <c r="E74" s="528">
        <v>1802.67</v>
      </c>
      <c r="F74" s="529">
        <v>6840.257499395605</v>
      </c>
    </row>
    <row r="75" spans="1:12" x14ac:dyDescent="0.25">
      <c r="C75" s="527">
        <v>1202.33</v>
      </c>
      <c r="D75" s="528">
        <v>2426.5169440000004</v>
      </c>
      <c r="E75" s="528">
        <v>1803</v>
      </c>
      <c r="F75" s="529">
        <v>7409.0184783956056</v>
      </c>
    </row>
    <row r="76" spans="1:12" x14ac:dyDescent="0.25">
      <c r="C76" s="527">
        <v>1202.67</v>
      </c>
      <c r="D76" s="528">
        <v>2691.4143050000007</v>
      </c>
      <c r="E76" s="528">
        <v>1803.33</v>
      </c>
      <c r="F76" s="529">
        <v>7977.7794573956053</v>
      </c>
    </row>
    <row r="77" spans="1:12" x14ac:dyDescent="0.25">
      <c r="C77" s="527">
        <v>1203</v>
      </c>
      <c r="D77" s="528">
        <v>2955.3116660000005</v>
      </c>
      <c r="E77" s="528">
        <v>1803.67</v>
      </c>
      <c r="F77" s="529">
        <v>8547.6393374945073</v>
      </c>
    </row>
    <row r="78" spans="1:12" x14ac:dyDescent="0.25">
      <c r="C78" s="527">
        <v>1203.33</v>
      </c>
      <c r="D78" s="528">
        <v>3219.2090270000008</v>
      </c>
      <c r="E78" s="528">
        <v>1804</v>
      </c>
      <c r="F78" s="529">
        <v>8085.0632490000007</v>
      </c>
    </row>
    <row r="79" spans="1:12" x14ac:dyDescent="0.25">
      <c r="C79" s="527">
        <v>1203.67</v>
      </c>
      <c r="D79" s="528">
        <v>3483.1063880000011</v>
      </c>
      <c r="E79" s="528">
        <v>1804.33</v>
      </c>
      <c r="F79" s="529">
        <v>8348.9606100000001</v>
      </c>
    </row>
    <row r="80" spans="1:12" x14ac:dyDescent="0.25">
      <c r="C80" s="527">
        <v>1204</v>
      </c>
      <c r="D80" s="528">
        <v>3748.0037490000013</v>
      </c>
      <c r="E80" s="528">
        <v>1804.67</v>
      </c>
      <c r="F80" s="529">
        <v>8612.8579710000013</v>
      </c>
    </row>
    <row r="81" spans="3:6" x14ac:dyDescent="0.25">
      <c r="C81" s="527">
        <v>1204.33</v>
      </c>
      <c r="D81" s="528">
        <v>4011.9011100000012</v>
      </c>
      <c r="E81" s="528">
        <v>1805</v>
      </c>
      <c r="F81" s="529">
        <v>8876.7553320000006</v>
      </c>
    </row>
    <row r="82" spans="3:6" x14ac:dyDescent="0.25">
      <c r="C82" s="527">
        <v>1204.67</v>
      </c>
      <c r="D82" s="528">
        <v>4275.7984710000019</v>
      </c>
      <c r="E82" s="528">
        <v>1805.33</v>
      </c>
      <c r="F82" s="529">
        <v>9141.6526930000018</v>
      </c>
    </row>
    <row r="83" spans="3:6" x14ac:dyDescent="0.25">
      <c r="C83" s="527">
        <v>1205</v>
      </c>
      <c r="D83" s="528">
        <v>4539.6958320000012</v>
      </c>
      <c r="E83" s="528">
        <v>1805.67</v>
      </c>
      <c r="F83" s="529">
        <v>9405.5500540000012</v>
      </c>
    </row>
    <row r="84" spans="3:6" x14ac:dyDescent="0.25">
      <c r="C84" s="527">
        <v>1205.33</v>
      </c>
      <c r="D84" s="528">
        <v>4804.5931930000015</v>
      </c>
      <c r="E84" s="528">
        <v>1806</v>
      </c>
      <c r="F84" s="529">
        <v>11152.947415000002</v>
      </c>
    </row>
    <row r="85" spans="3:6" x14ac:dyDescent="0.25">
      <c r="C85" s="527">
        <v>1205.67</v>
      </c>
      <c r="D85" s="528">
        <v>5068.4905540000018</v>
      </c>
      <c r="E85" s="528">
        <v>1806.33</v>
      </c>
      <c r="F85" s="529">
        <v>11416.844776000002</v>
      </c>
    </row>
    <row r="86" spans="3:6" x14ac:dyDescent="0.25">
      <c r="C86" s="527">
        <v>1206</v>
      </c>
      <c r="D86" s="528">
        <v>6815.8879150000021</v>
      </c>
      <c r="E86" s="528">
        <v>1806.67</v>
      </c>
      <c r="F86" s="529">
        <v>11681.742137000001</v>
      </c>
    </row>
    <row r="87" spans="3:6" x14ac:dyDescent="0.25">
      <c r="C87" s="527">
        <v>1206.33</v>
      </c>
      <c r="D87" s="528">
        <v>7080.7852760000023</v>
      </c>
      <c r="E87" s="528">
        <v>1807</v>
      </c>
      <c r="F87" s="529">
        <v>11945.639498000002</v>
      </c>
    </row>
    <row r="88" spans="3:6" x14ac:dyDescent="0.25">
      <c r="C88" s="527">
        <v>1206.67</v>
      </c>
      <c r="D88" s="528">
        <v>7344.6826370000017</v>
      </c>
      <c r="E88" s="528">
        <v>1807.33</v>
      </c>
      <c r="F88" s="529">
        <v>12209.536859000002</v>
      </c>
    </row>
    <row r="89" spans="3:6" x14ac:dyDescent="0.25">
      <c r="C89" s="527">
        <v>1207</v>
      </c>
      <c r="D89" s="528">
        <v>7608.5799980000029</v>
      </c>
      <c r="E89" s="528">
        <v>1807.67</v>
      </c>
      <c r="F89" s="529">
        <v>12474.434220000003</v>
      </c>
    </row>
    <row r="90" spans="3:6" x14ac:dyDescent="0.25">
      <c r="C90" s="527">
        <v>1207.33</v>
      </c>
      <c r="D90" s="528">
        <v>7872.4773590000023</v>
      </c>
      <c r="E90" s="528">
        <v>1808</v>
      </c>
      <c r="F90" s="529">
        <v>12738.331581000002</v>
      </c>
    </row>
    <row r="91" spans="3:6" x14ac:dyDescent="0.25">
      <c r="C91" s="527">
        <v>1207.67</v>
      </c>
      <c r="D91" s="528">
        <v>8137.3747200000016</v>
      </c>
      <c r="E91" s="528">
        <v>1808.33</v>
      </c>
      <c r="F91" s="529">
        <v>13002.228942000002</v>
      </c>
    </row>
    <row r="92" spans="3:6" x14ac:dyDescent="0.25">
      <c r="C92" s="527">
        <v>1208</v>
      </c>
      <c r="D92" s="528">
        <v>8401.2720810000028</v>
      </c>
      <c r="E92" s="528">
        <v>1808.67</v>
      </c>
      <c r="F92" s="529">
        <v>13266.126303000003</v>
      </c>
    </row>
    <row r="93" spans="3:6" x14ac:dyDescent="0.25">
      <c r="C93" s="527">
        <v>1208.33</v>
      </c>
      <c r="D93" s="528">
        <v>8665.1694420000022</v>
      </c>
      <c r="E93" s="528">
        <v>2400</v>
      </c>
      <c r="F93" s="529" t="e">
        <v>#N/A</v>
      </c>
    </row>
    <row r="94" spans="3:6" x14ac:dyDescent="0.25">
      <c r="C94" s="527">
        <v>1208.67</v>
      </c>
      <c r="D94" s="528">
        <v>8929.0668030000033</v>
      </c>
      <c r="E94" s="528">
        <v>2402</v>
      </c>
      <c r="F94" s="529">
        <v>10823.349580000002</v>
      </c>
    </row>
    <row r="95" spans="3:6" x14ac:dyDescent="0.25">
      <c r="C95" s="527">
        <v>1500</v>
      </c>
      <c r="D95" s="528" t="e">
        <v>#N/A</v>
      </c>
      <c r="E95" s="528">
        <v>2402.33</v>
      </c>
      <c r="F95" s="529">
        <v>11837.339440000002</v>
      </c>
    </row>
    <row r="96" spans="3:6" x14ac:dyDescent="0.25">
      <c r="C96" s="527">
        <v>1501.33</v>
      </c>
      <c r="D96" s="528">
        <v>3336.7960000000003</v>
      </c>
      <c r="E96" s="528">
        <v>2402.67</v>
      </c>
      <c r="F96" s="529">
        <v>12852.329300000001</v>
      </c>
    </row>
    <row r="97" spans="3:6" x14ac:dyDescent="0.25">
      <c r="C97" s="527">
        <v>1501.67</v>
      </c>
      <c r="D97" s="528">
        <v>3736.7920000000004</v>
      </c>
      <c r="E97" s="528">
        <v>2403</v>
      </c>
      <c r="F97" s="529">
        <v>13866.319160000003</v>
      </c>
    </row>
    <row r="98" spans="3:6" x14ac:dyDescent="0.25">
      <c r="C98" s="527">
        <v>1502</v>
      </c>
      <c r="D98" s="528">
        <v>4137.7880000000005</v>
      </c>
      <c r="E98" s="528">
        <v>2403.33</v>
      </c>
      <c r="F98" s="529">
        <v>14880.309020000002</v>
      </c>
    </row>
    <row r="99" spans="3:6" x14ac:dyDescent="0.25">
      <c r="C99" s="527">
        <v>1502.33</v>
      </c>
      <c r="D99" s="528">
        <v>4537.7840000000015</v>
      </c>
      <c r="E99" s="528">
        <v>2403.67</v>
      </c>
      <c r="F99" s="529">
        <v>15895.298880000004</v>
      </c>
    </row>
    <row r="100" spans="3:6" x14ac:dyDescent="0.25">
      <c r="C100" s="527">
        <v>1502.67</v>
      </c>
      <c r="D100" s="528">
        <v>4937.7800000000007</v>
      </c>
      <c r="E100" s="528">
        <v>2404</v>
      </c>
      <c r="F100" s="529">
        <v>14894.097249</v>
      </c>
    </row>
    <row r="101" spans="3:6" x14ac:dyDescent="0.25">
      <c r="C101" s="527">
        <v>1503</v>
      </c>
      <c r="D101" s="528">
        <v>5337.7760000000017</v>
      </c>
      <c r="E101" s="528">
        <v>2404.33</v>
      </c>
      <c r="F101" s="529">
        <v>15157.99461</v>
      </c>
    </row>
    <row r="102" spans="3:6" x14ac:dyDescent="0.25">
      <c r="C102" s="527">
        <v>1503.33</v>
      </c>
      <c r="D102" s="528">
        <v>5738.7720000000008</v>
      </c>
      <c r="E102" s="528">
        <v>2404.67</v>
      </c>
      <c r="F102" s="529">
        <v>15421.891971000001</v>
      </c>
    </row>
    <row r="103" spans="3:6" x14ac:dyDescent="0.25">
      <c r="C103" s="527">
        <v>1503.67</v>
      </c>
      <c r="D103" s="528">
        <v>6138.7680000000018</v>
      </c>
      <c r="E103" s="528">
        <v>2405</v>
      </c>
      <c r="F103" s="529">
        <v>15685.789332</v>
      </c>
    </row>
    <row r="104" spans="3:6" x14ac:dyDescent="0.25">
      <c r="C104" s="527">
        <v>1504</v>
      </c>
      <c r="D104" s="528">
        <v>6023.3542490000018</v>
      </c>
      <c r="E104" s="528">
        <v>2405.33</v>
      </c>
      <c r="F104" s="529">
        <v>15949.686693000001</v>
      </c>
    </row>
    <row r="105" spans="3:6" x14ac:dyDescent="0.25">
      <c r="C105" s="527">
        <v>1504.33</v>
      </c>
      <c r="D105" s="528">
        <v>6287.2516100000012</v>
      </c>
      <c r="E105" s="528">
        <v>2405.67</v>
      </c>
      <c r="F105" s="529">
        <v>16214.584054000001</v>
      </c>
    </row>
    <row r="106" spans="3:6" x14ac:dyDescent="0.25">
      <c r="C106" s="527">
        <v>1504.67</v>
      </c>
      <c r="D106" s="528">
        <v>6551.1489710000014</v>
      </c>
      <c r="E106" s="528">
        <v>2406</v>
      </c>
      <c r="F106" s="529">
        <v>17961.981415000002</v>
      </c>
    </row>
    <row r="107" spans="3:6" x14ac:dyDescent="0.25">
      <c r="C107" s="527">
        <v>1505</v>
      </c>
      <c r="D107" s="528">
        <v>6816.0463320000017</v>
      </c>
      <c r="E107" s="528">
        <v>2406.33</v>
      </c>
      <c r="F107" s="529">
        <v>18225.878776000001</v>
      </c>
    </row>
    <row r="108" spans="3:6" x14ac:dyDescent="0.25">
      <c r="C108" s="527">
        <v>1505.33</v>
      </c>
      <c r="D108" s="528">
        <v>7079.943693000002</v>
      </c>
      <c r="E108" s="528">
        <v>2406.67</v>
      </c>
      <c r="F108" s="529">
        <v>18489.776137000001</v>
      </c>
    </row>
    <row r="109" spans="3:6" x14ac:dyDescent="0.25">
      <c r="C109" s="527">
        <v>1505.67</v>
      </c>
      <c r="D109" s="528">
        <v>7343.8410540000023</v>
      </c>
      <c r="E109" s="528">
        <v>2407</v>
      </c>
      <c r="F109" s="529">
        <v>18754.673498</v>
      </c>
    </row>
    <row r="110" spans="3:6" x14ac:dyDescent="0.25">
      <c r="C110" s="527">
        <v>1506</v>
      </c>
      <c r="D110" s="528">
        <v>9091.2384150000034</v>
      </c>
      <c r="E110" s="528">
        <v>2407.33</v>
      </c>
      <c r="F110" s="529">
        <v>19018.570859000003</v>
      </c>
    </row>
    <row r="111" spans="3:6" x14ac:dyDescent="0.25">
      <c r="C111" s="527">
        <v>1506.33</v>
      </c>
      <c r="D111" s="528">
        <v>9356.1357760000028</v>
      </c>
      <c r="E111" s="528">
        <v>2407.67</v>
      </c>
      <c r="F111" s="529">
        <v>19282.468220000002</v>
      </c>
    </row>
    <row r="112" spans="3:6" x14ac:dyDescent="0.25">
      <c r="C112" s="527">
        <v>1506.67</v>
      </c>
      <c r="D112" s="528">
        <v>9620.0331370000022</v>
      </c>
      <c r="E112" s="528">
        <v>2408</v>
      </c>
      <c r="F112" s="529">
        <v>19547.365581000002</v>
      </c>
    </row>
    <row r="113" spans="3:6" x14ac:dyDescent="0.25">
      <c r="C113" s="527">
        <v>1507</v>
      </c>
      <c r="D113" s="528">
        <v>9883.9304980000015</v>
      </c>
      <c r="E113" s="528">
        <v>2408.33</v>
      </c>
      <c r="F113" s="529">
        <v>19811.262942000001</v>
      </c>
    </row>
    <row r="114" spans="3:6" x14ac:dyDescent="0.25">
      <c r="C114" s="527">
        <v>1507.33</v>
      </c>
      <c r="D114" s="528">
        <v>10148.827859000003</v>
      </c>
      <c r="E114" s="528">
        <v>2408.67</v>
      </c>
      <c r="F114" s="529">
        <v>20075.160303000001</v>
      </c>
    </row>
    <row r="115" spans="3:6" x14ac:dyDescent="0.25">
      <c r="C115" s="527">
        <v>1507.67</v>
      </c>
      <c r="D115" s="528">
        <v>10412.725220000004</v>
      </c>
      <c r="E115" s="530" t="s">
        <v>75</v>
      </c>
      <c r="F115" s="531">
        <v>518.5</v>
      </c>
    </row>
    <row r="116" spans="3:6" x14ac:dyDescent="0.25">
      <c r="C116" s="527">
        <v>1508</v>
      </c>
      <c r="D116" s="528">
        <v>10676.622581000003</v>
      </c>
      <c r="E116" s="530" t="s">
        <v>76</v>
      </c>
      <c r="F116" s="531">
        <v>700.9</v>
      </c>
    </row>
    <row r="117" spans="3:6" x14ac:dyDescent="0.25">
      <c r="C117" s="527">
        <v>1508.33</v>
      </c>
      <c r="D117" s="528">
        <v>10940.519942000003</v>
      </c>
      <c r="E117" s="530" t="s">
        <v>77</v>
      </c>
      <c r="F117" s="531">
        <v>700.9</v>
      </c>
    </row>
    <row r="118" spans="3:6" x14ac:dyDescent="0.25">
      <c r="C118" s="527">
        <v>1508.67</v>
      </c>
      <c r="D118" s="528">
        <v>11205.417303000004</v>
      </c>
      <c r="E118" s="530" t="s">
        <v>78</v>
      </c>
      <c r="F118" s="531">
        <v>1137.8</v>
      </c>
    </row>
    <row r="119" spans="3:6" x14ac:dyDescent="0.25">
      <c r="C119" s="532"/>
      <c r="D119" s="533"/>
      <c r="E119" s="534" t="s">
        <v>79</v>
      </c>
      <c r="F119" s="535">
        <v>1006.2</v>
      </c>
    </row>
  </sheetData>
  <mergeCells count="4">
    <mergeCell ref="V52:V53"/>
    <mergeCell ref="U52:U53"/>
    <mergeCell ref="T52:T53"/>
    <mergeCell ref="S52:S53"/>
  </mergeCells>
  <printOptions horizontalCentered="1" verticalCentered="1" gridLines="1"/>
  <pageMargins left="0.5" right="0.25" top="0.25" bottom="0.25" header="0.25" footer="0.25"/>
  <pageSetup paperSize="3" scale="72" fitToHeight="0" orientation="landscape" verticalDpi="597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transitionEvaluation="1"/>
  <dimension ref="A1:AG88"/>
  <sheetViews>
    <sheetView tabSelected="1" zoomScaleNormal="100" zoomScaleSheetLayoutView="100" workbookViewId="0">
      <selection activeCell="E14" sqref="E14"/>
    </sheetView>
  </sheetViews>
  <sheetFormatPr defaultColWidth="12.42578125" defaultRowHeight="15" x14ac:dyDescent="0.25"/>
  <cols>
    <col min="1" max="1" width="9.7109375" style="161" customWidth="1"/>
    <col min="2" max="2" width="21.7109375" style="131" customWidth="1"/>
    <col min="3" max="3" width="11.28515625" style="131" customWidth="1"/>
    <col min="4" max="5" width="7.5703125" style="131" customWidth="1"/>
    <col min="6" max="6" width="9.5703125" style="131" customWidth="1"/>
    <col min="7" max="7" width="7.140625" style="131" customWidth="1"/>
    <col min="8" max="8" width="10.5703125" style="131" bestFit="1" customWidth="1"/>
    <col min="9" max="9" width="9.85546875" style="131" customWidth="1"/>
    <col min="10" max="10" width="8.42578125" style="131" customWidth="1"/>
    <col min="11" max="11" width="9.85546875" style="131" customWidth="1"/>
    <col min="12" max="12" width="7.42578125" style="131" bestFit="1" customWidth="1"/>
    <col min="13" max="13" width="9.85546875" style="131" customWidth="1"/>
    <col min="14" max="14" width="8.85546875" style="131" customWidth="1"/>
    <col min="15" max="15" width="14" style="131" bestFit="1" customWidth="1"/>
    <col min="16" max="17" width="9" style="131" customWidth="1"/>
    <col min="18" max="18" width="9.140625" style="131" customWidth="1"/>
    <col min="19" max="19" width="9.85546875" style="131" customWidth="1"/>
    <col min="20" max="20" width="10.5703125" style="131" customWidth="1"/>
    <col min="21" max="21" width="12.140625" style="131" customWidth="1"/>
    <col min="22" max="22" width="11.140625" style="131" customWidth="1"/>
    <col min="23" max="23" width="11.5703125" style="131" bestFit="1" customWidth="1"/>
    <col min="24" max="24" width="12" style="131" bestFit="1" customWidth="1"/>
    <col min="25" max="25" width="16.28515625" style="131" bestFit="1" customWidth="1"/>
    <col min="26" max="26" width="13.42578125" style="131" customWidth="1"/>
    <col min="27" max="27" width="14.42578125" style="131" customWidth="1"/>
    <col min="28" max="28" width="18.7109375" style="131" bestFit="1" customWidth="1"/>
    <col min="29" max="29" width="7.85546875" style="131" hidden="1" customWidth="1"/>
    <col min="30" max="30" width="9.85546875" style="131" hidden="1" customWidth="1"/>
    <col min="31" max="31" width="13.28515625" style="131" customWidth="1"/>
    <col min="32" max="32" width="11.140625" style="131" bestFit="1" customWidth="1"/>
    <col min="33" max="16384" width="12.42578125" style="131"/>
  </cols>
  <sheetData>
    <row r="1" spans="1:31" x14ac:dyDescent="0.25">
      <c r="B1" s="249"/>
      <c r="C1" s="249" t="s">
        <v>373</v>
      </c>
      <c r="D1" s="249"/>
      <c r="E1" s="249"/>
      <c r="F1" s="249"/>
      <c r="G1" s="441" t="s">
        <v>374</v>
      </c>
      <c r="H1" s="249"/>
      <c r="I1" s="249"/>
      <c r="J1" s="249"/>
      <c r="K1" s="249"/>
      <c r="L1" s="249"/>
      <c r="M1" s="249"/>
      <c r="N1" s="249"/>
      <c r="O1" s="249"/>
      <c r="P1" s="249"/>
      <c r="Q1" s="249"/>
      <c r="R1" s="249"/>
      <c r="S1" s="249"/>
      <c r="T1" s="249"/>
      <c r="U1" s="249"/>
      <c r="V1" s="249"/>
      <c r="W1" s="249"/>
      <c r="X1" s="249"/>
      <c r="Y1" s="249"/>
      <c r="Z1" s="249"/>
      <c r="AA1" s="249"/>
      <c r="AB1" s="441">
        <f>B2</f>
        <v>0</v>
      </c>
      <c r="AC1" s="249"/>
      <c r="AD1" s="249"/>
      <c r="AE1" s="249"/>
    </row>
    <row r="2" spans="1:31" ht="15.75" thickBot="1" x14ac:dyDescent="0.3">
      <c r="A2" s="414" t="str">
        <f>'MANHOLES (1)'!A2</f>
        <v>PROJECT</v>
      </c>
      <c r="B2" s="519">
        <f>'MANHOLES (1)'!B2</f>
        <v>0</v>
      </c>
      <c r="C2" s="519" t="s">
        <v>365</v>
      </c>
      <c r="E2" s="249"/>
      <c r="AB2" s="441" t="str">
        <f>G1</f>
        <v>SEWER RUNS ESTIMATE</v>
      </c>
    </row>
    <row r="3" spans="1:31" x14ac:dyDescent="0.25">
      <c r="A3" s="414"/>
      <c r="B3" s="519"/>
      <c r="C3" s="132" t="s">
        <v>80</v>
      </c>
      <c r="D3" s="133"/>
      <c r="E3" s="134"/>
      <c r="F3" s="499">
        <v>1.2</v>
      </c>
      <c r="G3" s="411" t="s">
        <v>81</v>
      </c>
      <c r="H3" s="477"/>
      <c r="I3" s="489">
        <v>22</v>
      </c>
      <c r="J3" s="135"/>
      <c r="K3" s="172"/>
      <c r="L3" s="475" t="s">
        <v>82</v>
      </c>
      <c r="M3" s="491">
        <f>C87</f>
        <v>12</v>
      </c>
      <c r="O3" s="469" t="s">
        <v>83</v>
      </c>
      <c r="P3" s="494">
        <v>100</v>
      </c>
      <c r="Q3" s="137"/>
      <c r="U3" s="138" t="s">
        <v>84</v>
      </c>
      <c r="V3" s="139">
        <v>1</v>
      </c>
    </row>
    <row r="4" spans="1:31" x14ac:dyDescent="0.25">
      <c r="A4" s="414"/>
      <c r="B4" s="519"/>
      <c r="C4" s="140" t="s">
        <v>85</v>
      </c>
      <c r="D4" s="141"/>
      <c r="F4" s="500">
        <v>0.3</v>
      </c>
      <c r="G4" s="410" t="s">
        <v>86</v>
      </c>
      <c r="H4" s="249"/>
      <c r="I4" s="490">
        <v>35</v>
      </c>
      <c r="J4" s="135"/>
      <c r="K4" s="178"/>
      <c r="L4" s="474" t="s">
        <v>87</v>
      </c>
      <c r="M4" s="492">
        <f>D87</f>
        <v>24</v>
      </c>
      <c r="O4" s="470" t="s">
        <v>88</v>
      </c>
      <c r="P4" s="495">
        <v>1</v>
      </c>
      <c r="S4" s="142"/>
      <c r="U4" s="143" t="s">
        <v>89</v>
      </c>
      <c r="V4" s="144">
        <v>1</v>
      </c>
    </row>
    <row r="5" spans="1:31" x14ac:dyDescent="0.25">
      <c r="A5" s="414" t="str">
        <f>'MANHOLES (1)'!A5</f>
        <v>Date:</v>
      </c>
      <c r="B5" s="519">
        <f>'MANHOLES (1)'!B5</f>
        <v>0</v>
      </c>
      <c r="C5" s="140" t="s">
        <v>90</v>
      </c>
      <c r="D5" s="141"/>
      <c r="F5" s="500">
        <v>0</v>
      </c>
      <c r="G5" s="410" t="s">
        <v>91</v>
      </c>
      <c r="H5" s="249"/>
      <c r="I5" s="490">
        <v>10</v>
      </c>
      <c r="J5" s="135"/>
      <c r="K5" s="178"/>
      <c r="L5" s="474" t="s">
        <v>92</v>
      </c>
      <c r="M5" s="492">
        <f>E87</f>
        <v>34</v>
      </c>
      <c r="O5" s="470" t="s">
        <v>93</v>
      </c>
      <c r="P5" s="495">
        <v>1.1000000000000001</v>
      </c>
      <c r="Q5" s="131" t="s">
        <v>363</v>
      </c>
      <c r="S5" s="142"/>
      <c r="U5" s="143" t="s">
        <v>94</v>
      </c>
      <c r="V5" s="144">
        <f>(1-P8/100)*V4*V3</f>
        <v>0.75</v>
      </c>
      <c r="Y5" s="135"/>
    </row>
    <row r="6" spans="1:31" ht="15.75" thickBot="1" x14ac:dyDescent="0.3">
      <c r="A6" s="414" t="s">
        <v>365</v>
      </c>
      <c r="B6" s="410" t="s">
        <v>365</v>
      </c>
      <c r="C6" s="140" t="s">
        <v>95</v>
      </c>
      <c r="D6" s="141"/>
      <c r="E6" s="141"/>
      <c r="F6" s="481">
        <v>9000</v>
      </c>
      <c r="G6" s="410" t="s">
        <v>96</v>
      </c>
      <c r="H6" s="249"/>
      <c r="I6" s="490">
        <v>30</v>
      </c>
      <c r="J6" s="135"/>
      <c r="K6" s="178"/>
      <c r="L6" s="474" t="s">
        <v>97</v>
      </c>
      <c r="M6" s="492">
        <f>F87</f>
        <v>51</v>
      </c>
      <c r="O6" s="470" t="s">
        <v>98</v>
      </c>
      <c r="P6" s="496">
        <v>0.9</v>
      </c>
      <c r="Q6" s="145"/>
      <c r="S6" s="146"/>
      <c r="U6" s="147" t="s">
        <v>99</v>
      </c>
      <c r="V6" s="148">
        <f>(1-S4/100)*V3</f>
        <v>1</v>
      </c>
    </row>
    <row r="7" spans="1:31" ht="15.75" thickBot="1" x14ac:dyDescent="0.3">
      <c r="A7" s="414"/>
      <c r="B7" s="410"/>
      <c r="C7" s="140" t="s">
        <v>100</v>
      </c>
      <c r="D7" s="141"/>
      <c r="F7" s="481">
        <v>300</v>
      </c>
      <c r="G7" s="410" t="s">
        <v>101</v>
      </c>
      <c r="H7" s="249"/>
      <c r="I7" s="490">
        <f>'MANHOLES (1)'!F3</f>
        <v>10</v>
      </c>
      <c r="J7" s="135"/>
      <c r="K7" s="178"/>
      <c r="L7" s="474" t="s">
        <v>102</v>
      </c>
      <c r="M7" s="492">
        <f>G87</f>
        <v>73</v>
      </c>
      <c r="O7" s="471" t="s">
        <v>103</v>
      </c>
      <c r="P7" s="497">
        <v>0.8</v>
      </c>
    </row>
    <row r="8" spans="1:31" x14ac:dyDescent="0.25">
      <c r="A8" s="414"/>
      <c r="B8" s="410"/>
      <c r="C8" s="140" t="s">
        <v>104</v>
      </c>
      <c r="D8" s="141"/>
      <c r="E8" s="141"/>
      <c r="F8" s="481">
        <v>65</v>
      </c>
      <c r="G8" s="249"/>
      <c r="H8" s="249"/>
      <c r="I8" s="478"/>
      <c r="J8" s="135"/>
      <c r="K8" s="178"/>
      <c r="L8" s="474" t="s">
        <v>105</v>
      </c>
      <c r="M8" s="492">
        <f>H87</f>
        <v>97</v>
      </c>
      <c r="N8" s="472" t="s">
        <v>106</v>
      </c>
      <c r="O8" s="136"/>
      <c r="P8" s="536">
        <v>25</v>
      </c>
      <c r="R8" s="141"/>
    </row>
    <row r="9" spans="1:31" ht="15.75" thickBot="1" x14ac:dyDescent="0.3">
      <c r="B9" s="150" t="s">
        <v>365</v>
      </c>
      <c r="C9" s="189"/>
      <c r="D9" s="195"/>
      <c r="E9" s="195"/>
      <c r="F9" s="480"/>
      <c r="G9" s="195"/>
      <c r="H9" s="195"/>
      <c r="I9" s="479"/>
      <c r="J9" s="135"/>
      <c r="K9" s="189"/>
      <c r="L9" s="476" t="s">
        <v>107</v>
      </c>
      <c r="M9" s="493">
        <f>I87</f>
        <v>153</v>
      </c>
      <c r="N9" s="473" t="s">
        <v>108</v>
      </c>
      <c r="O9" s="149"/>
      <c r="P9" s="498">
        <v>0.3</v>
      </c>
      <c r="AB9" s="151"/>
      <c r="AE9" s="152"/>
    </row>
    <row r="10" spans="1:31" ht="15.75" thickBot="1" x14ac:dyDescent="0.3">
      <c r="L10" s="151"/>
    </row>
    <row r="11" spans="1:31" s="161" customFormat="1" x14ac:dyDescent="0.25">
      <c r="A11" s="153" t="s">
        <v>14</v>
      </c>
      <c r="B11" s="153" t="s">
        <v>109</v>
      </c>
      <c r="C11" s="153" t="s">
        <v>110</v>
      </c>
      <c r="D11" s="153" t="s">
        <v>111</v>
      </c>
      <c r="E11" s="153" t="s">
        <v>112</v>
      </c>
      <c r="F11" s="154" t="s">
        <v>113</v>
      </c>
      <c r="G11" s="153" t="s">
        <v>114</v>
      </c>
      <c r="H11" s="153" t="s">
        <v>115</v>
      </c>
      <c r="I11" s="153" t="s">
        <v>115</v>
      </c>
      <c r="J11" s="155" t="s">
        <v>116</v>
      </c>
      <c r="K11" s="155" t="s">
        <v>117</v>
      </c>
      <c r="L11" s="156"/>
      <c r="M11" s="155" t="s">
        <v>118</v>
      </c>
      <c r="N11" s="153" t="s">
        <v>119</v>
      </c>
      <c r="O11" s="153" t="s">
        <v>120</v>
      </c>
      <c r="P11" s="155" t="s">
        <v>121</v>
      </c>
      <c r="Q11" s="157" t="s">
        <v>122</v>
      </c>
      <c r="R11" s="155" t="s">
        <v>123</v>
      </c>
      <c r="S11" s="155" t="s">
        <v>124</v>
      </c>
      <c r="T11" s="155" t="s">
        <v>111</v>
      </c>
      <c r="U11" s="155" t="s">
        <v>125</v>
      </c>
      <c r="V11" s="158" t="s">
        <v>34</v>
      </c>
      <c r="W11" s="155" t="s">
        <v>34</v>
      </c>
      <c r="X11" s="155" t="s">
        <v>34</v>
      </c>
      <c r="Y11" s="155" t="s">
        <v>34</v>
      </c>
      <c r="Z11" s="155" t="s">
        <v>34</v>
      </c>
      <c r="AA11" s="155" t="s">
        <v>126</v>
      </c>
      <c r="AB11" s="159" t="s">
        <v>125</v>
      </c>
      <c r="AC11" s="157" t="s">
        <v>127</v>
      </c>
      <c r="AD11" s="160" t="s">
        <v>118</v>
      </c>
      <c r="AE11" s="155" t="s">
        <v>125</v>
      </c>
    </row>
    <row r="12" spans="1:31" s="161" customFormat="1" ht="15.75" thickBot="1" x14ac:dyDescent="0.3">
      <c r="A12" s="162" t="s">
        <v>128</v>
      </c>
      <c r="B12" s="163"/>
      <c r="C12" s="162" t="str">
        <f>IF(P4=1,"METER","FEET")</f>
        <v>METER</v>
      </c>
      <c r="D12" s="162" t="s">
        <v>129</v>
      </c>
      <c r="E12" s="162" t="s">
        <v>130</v>
      </c>
      <c r="F12" s="163" t="s">
        <v>131</v>
      </c>
      <c r="G12" s="162" t="s">
        <v>132</v>
      </c>
      <c r="H12" s="162" t="s">
        <v>133</v>
      </c>
      <c r="I12" s="162" t="s">
        <v>134</v>
      </c>
      <c r="J12" s="164" t="s">
        <v>132</v>
      </c>
      <c r="K12" s="164" t="s">
        <v>135</v>
      </c>
      <c r="L12" s="165" t="s">
        <v>353</v>
      </c>
      <c r="M12" s="164" t="s">
        <v>361</v>
      </c>
      <c r="N12" s="162" t="s">
        <v>136</v>
      </c>
      <c r="O12" s="162" t="s">
        <v>126</v>
      </c>
      <c r="P12" s="164" t="s">
        <v>137</v>
      </c>
      <c r="Q12" s="166" t="s">
        <v>123</v>
      </c>
      <c r="R12" s="164" t="s">
        <v>138</v>
      </c>
      <c r="S12" s="164" t="s">
        <v>139</v>
      </c>
      <c r="T12" s="164" t="s">
        <v>139</v>
      </c>
      <c r="U12" s="164" t="s">
        <v>140</v>
      </c>
      <c r="V12" s="167" t="s">
        <v>141</v>
      </c>
      <c r="W12" s="164" t="s">
        <v>142</v>
      </c>
      <c r="X12" s="164" t="s">
        <v>143</v>
      </c>
      <c r="Y12" s="164" t="s">
        <v>144</v>
      </c>
      <c r="Z12" s="164" t="s">
        <v>60</v>
      </c>
      <c r="AA12" s="164" t="str">
        <f>IF(P4=1,"$/METER","$/FOOT")</f>
        <v>$/METER</v>
      </c>
      <c r="AB12" s="168" t="s">
        <v>126</v>
      </c>
      <c r="AC12" s="166" t="s">
        <v>145</v>
      </c>
      <c r="AD12" s="169" t="s">
        <v>146</v>
      </c>
      <c r="AE12" s="164" t="s">
        <v>356</v>
      </c>
    </row>
    <row r="13" spans="1:31" x14ac:dyDescent="0.25">
      <c r="A13" s="154"/>
      <c r="B13" s="170" t="s">
        <v>362</v>
      </c>
      <c r="C13" s="171"/>
      <c r="D13" s="171"/>
      <c r="E13" s="171"/>
      <c r="F13" s="171"/>
      <c r="G13" s="171"/>
      <c r="H13" s="171"/>
      <c r="I13" s="171"/>
      <c r="J13" s="171"/>
      <c r="K13" s="171"/>
      <c r="L13" s="172"/>
      <c r="M13" s="171"/>
      <c r="N13" s="171"/>
      <c r="O13" s="171"/>
      <c r="P13" s="171"/>
      <c r="Q13" s="171"/>
      <c r="R13" s="171"/>
      <c r="S13" s="171"/>
      <c r="T13" s="171"/>
      <c r="U13" s="171"/>
      <c r="V13" s="172"/>
      <c r="W13" s="173"/>
      <c r="X13" s="171"/>
      <c r="Y13" s="171"/>
      <c r="Z13" s="171"/>
      <c r="AA13" s="171"/>
      <c r="AB13" s="171"/>
      <c r="AC13" s="171"/>
      <c r="AD13" s="172"/>
      <c r="AE13" s="173"/>
    </row>
    <row r="14" spans="1:31" x14ac:dyDescent="0.25">
      <c r="A14" s="250">
        <v>1</v>
      </c>
      <c r="B14" s="174"/>
      <c r="C14" s="173"/>
      <c r="D14" s="173"/>
      <c r="E14" s="175"/>
      <c r="F14" s="175"/>
      <c r="G14" s="173"/>
      <c r="H14" s="173"/>
      <c r="I14" s="173"/>
      <c r="J14" s="176">
        <f>0.00125*D14</f>
        <v>0</v>
      </c>
      <c r="K14" s="177">
        <f>IF(F14&lt;2,F$4,G14-(1.12*D14*0.001)-F$5)</f>
        <v>0.3</v>
      </c>
      <c r="L14" s="178">
        <f>(F14=2.1)*IF(G14&lt;3.1,J14+3*S$6,J14+0.6+2*S$6+G14*0.05)+(F14=2.2)*IF(G14&lt;3.1,J14+1.5*S$6+P$7/2,J14+0.3+S$6+G14*0.025)</f>
        <v>0</v>
      </c>
      <c r="M14" s="176">
        <f>(F14=1.1)*IF((J14+2*P$9)&lt;F$3,F$3,J14+2*P$9)+(F14=1.2)*(J14+P$9+P$7/2)+(F14=2.1)*IF(L14&lt;F$3,F$3,L14)+(F14=2.2)*L14</f>
        <v>0</v>
      </c>
      <c r="N14" s="175">
        <f>P$3</f>
        <v>100</v>
      </c>
      <c r="O14" s="179">
        <f t="shared" ref="O14:O54" si="0">F$6+HLOOKUP(G14,J$86:U$87,2)*F$7</f>
        <v>9000</v>
      </c>
      <c r="P14" s="176">
        <f>(M14*G14+(G14&gt;1.219)*(F14=1.1)*(G14-1.22)^2*P$6+(F14=1.2)*(G14-1.22)^2/2*P$6)*(C14&gt;0)</f>
        <v>0</v>
      </c>
      <c r="Q14" s="176">
        <f t="shared" ref="Q14:Q54" si="1">IF(C14=0,0,IF(TRUNC(F14)=1,HLOOKUP(G14,C$80:AC$81,2),HLOOKUP(G14,C$82:AC$83,2))*N14/100/IF((F14-TRUNC(F14))=0.2,P14*2,P14))</f>
        <v>0</v>
      </c>
      <c r="R14" s="176">
        <f>IF(Q14&gt;F$8,F$8,Q14)*((F14=1.1)*1+(F14=1.2)*0.95+(F14=2.1)*0.95+(F14=2.2)*1)</f>
        <v>0</v>
      </c>
      <c r="S14" s="177">
        <f>IF(C14=0,0,IF(OR(F14=1.2,F14=2.2),O14/R14/2,O14/R14))</f>
        <v>0</v>
      </c>
      <c r="T14" s="177" t="e" vm="1">
        <f>IF(TRUNC(E14)&gt;1,HLOOKUP(D14,C$86:I$87,2),IF(D14&lt;=980,HLOOKUP(D14+10*(E14-1),B$74:AG$75,2),HLOOKUP(D14+10*(E14-1),B$76:AG$77,2)))</f>
        <v>#VALUE!</v>
      </c>
      <c r="U14" s="176">
        <f>(IF(C14=0,0,IF(TRUNC(E14)=1,T14*C14*V$5,T14*C14*V$3)))*IF(P$4=1,1,1/3.28)</f>
        <v>0</v>
      </c>
      <c r="V14" s="180">
        <f>((M14*0.6*J14+0.005)-PI()*J14^2/8)*C14*2*I$4*IF(P$4=1,1,1/3.28)</f>
        <v>0</v>
      </c>
      <c r="W14" s="176">
        <f>(((0.5*J14+K14)*M14)-(PI()*J14^2/8))*C14*2*I$6*IF(P$4=1,1,1/3.28)</f>
        <v>0</v>
      </c>
      <c r="X14" s="176">
        <f>H14+U14+V14+W14</f>
        <v>0</v>
      </c>
      <c r="Y14" s="176">
        <f>I14+S14*C14*IF(P$4=1,1,1/3.28)</f>
        <v>0</v>
      </c>
      <c r="Z14" s="176">
        <f>((V14/I$4+W14/I$6)/2+PI()*J14^2/4*C14*IF(P$4=1,1,1/3.28))*I$7</f>
        <v>0</v>
      </c>
      <c r="AA14" s="176">
        <f>ROUND(IF(C14=0,0,(X14+Y14+Z14)/C14),2)</f>
        <v>0</v>
      </c>
      <c r="AB14" s="181">
        <f>X14+Y14+Z14</f>
        <v>0</v>
      </c>
      <c r="AC14" s="182">
        <f>P14*C14*IF(P$4=1,1,1/3.28)</f>
        <v>0</v>
      </c>
      <c r="AD14" s="183">
        <f>IF(C14=0,0,C14/((F14-TRUNC(F14))*10)*IF(P$4=1,1,1/3.28))</f>
        <v>0</v>
      </c>
      <c r="AE14" s="176">
        <f>AB14*$P$5</f>
        <v>0</v>
      </c>
    </row>
    <row r="15" spans="1:31" x14ac:dyDescent="0.25">
      <c r="A15" s="250">
        <f>A14+1</f>
        <v>2</v>
      </c>
      <c r="B15" s="174"/>
      <c r="C15" s="173"/>
      <c r="D15" s="173"/>
      <c r="E15" s="175"/>
      <c r="F15" s="175"/>
      <c r="G15" s="173"/>
      <c r="H15" s="173"/>
      <c r="I15" s="173"/>
      <c r="J15" s="176">
        <f t="shared" ref="J15:J34" si="2">0.00125*D15</f>
        <v>0</v>
      </c>
      <c r="K15" s="177">
        <f t="shared" ref="K15:K34" si="3">IF(F15&lt;2,F$4,G15-(1.12*D15*0.001)-F$5)</f>
        <v>0.3</v>
      </c>
      <c r="L15" s="178">
        <f t="shared" ref="L15:L34" si="4">(F15=2.1)*IF(G15&lt;3.1,J15+3*S$6,J15+0.6+2*S$6+G15*0.05)+(F15=2.2)*IF(G15&lt;3.1,J15+1.5*S$6+P$7/2,J15+0.3+S$6+G15*0.025)</f>
        <v>0</v>
      </c>
      <c r="M15" s="176">
        <f t="shared" ref="M15:M54" si="5">(F15=1.1)*IF((J15+2*P$9)&lt;F$3,F$3,J15+2*P$9)+(F15=1.2)*(J15+P$9+P$7/2)+(F15=2.1)*IF(L15&lt;F$3,F$3,L15)+(F15=2.2)*L15</f>
        <v>0</v>
      </c>
      <c r="N15" s="175">
        <f t="shared" ref="N15:N34" si="6">P$3</f>
        <v>100</v>
      </c>
      <c r="O15" s="179">
        <f t="shared" si="0"/>
        <v>9000</v>
      </c>
      <c r="P15" s="176">
        <f t="shared" ref="P15:P34" si="7">(M15*G15+(G15&gt;1.219)*(F15=1.1)*(G15-1.22)^2*P$6+(F15=1.2)*(G15-1.22)^2/2*P$6)*(C15&gt;0)</f>
        <v>0</v>
      </c>
      <c r="Q15" s="176">
        <f t="shared" si="1"/>
        <v>0</v>
      </c>
      <c r="R15" s="176">
        <f t="shared" ref="R15" si="8">IF(Q15&gt;F$8,F$8,Q15)*((F15=1.1)*1+(F15=1.2)*0.95+(F15=2.1)*0.95+(F15=2.2)*1)</f>
        <v>0</v>
      </c>
      <c r="S15" s="177">
        <f t="shared" ref="S15:S34" si="9">IF(C15=0,0,IF(OR(F15=1.2,F15=2.2),O15/R15/2,O15/R15))</f>
        <v>0</v>
      </c>
      <c r="T15" s="177" t="e" vm="1">
        <f t="shared" ref="T15:T54" si="10">IF(TRUNC(E15)&gt;1,HLOOKUP(D15,C$86:I$87,2),IF(D15&lt;=980,HLOOKUP(D15+10*(E15-1),B$74:AG$75,2),HLOOKUP(D15+10*(E15-1),B$76:AG$77,2)))</f>
        <v>#VALUE!</v>
      </c>
      <c r="U15" s="176">
        <f t="shared" ref="U15:U34" si="11">(IF(C15=0,0,IF(TRUNC(E15)=1,T15*C15*V$5,T15*C15*V$3)))*IF(P$4=1,1,1/3.28)</f>
        <v>0</v>
      </c>
      <c r="V15" s="180">
        <f t="shared" ref="V15:V34" si="12">((M15*0.6*J15+0.005)-PI()*J15^2/8)*C15*2*I$4*IF(P$4=1,1,1/3.28)</f>
        <v>0</v>
      </c>
      <c r="W15" s="176">
        <f t="shared" ref="W15:W34" si="13">(((0.5*J15+K15)*M15)-(PI()*J15^2/8))*C15*2*I$6*IF(P$4=1,1,1/3.28)</f>
        <v>0</v>
      </c>
      <c r="X15" s="176">
        <f t="shared" ref="X15:X34" si="14">H15+U15+V15+W15</f>
        <v>0</v>
      </c>
      <c r="Y15" s="176">
        <f t="shared" ref="Y15:Y34" si="15">I15+S15*C15*IF(P$4=1,1,1/3.28)</f>
        <v>0</v>
      </c>
      <c r="Z15" s="176">
        <f t="shared" ref="Z15:Z34" si="16">((V15/I$4+W15/I$6)/2+PI()*J15^2/4*C15*IF(P$4=1,1,1/3.28))*I$7</f>
        <v>0</v>
      </c>
      <c r="AA15" s="176">
        <f t="shared" ref="AA15:AA34" si="17">ROUND(IF(C15=0,0,(X15+Y15+Z15)/C15),2)</f>
        <v>0</v>
      </c>
      <c r="AB15" s="181">
        <f t="shared" ref="AB15:AB34" si="18">X15+Y15+Z15</f>
        <v>0</v>
      </c>
      <c r="AC15" s="182">
        <f t="shared" ref="AC15:AC34" si="19">P15*C15*IF(P$4=1,1,1/3.28)</f>
        <v>0</v>
      </c>
      <c r="AD15" s="183">
        <f t="shared" ref="AD15:AD34" si="20">IF(C15=0,0,C15/((F15-TRUNC(F15))*10)*IF(P$4=1,1,1/3.28))</f>
        <v>0</v>
      </c>
      <c r="AE15" s="176">
        <f t="shared" ref="AE15:AE54" si="21">AB15*$P$5</f>
        <v>0</v>
      </c>
    </row>
    <row r="16" spans="1:31" x14ac:dyDescent="0.25">
      <c r="A16" s="250">
        <f t="shared" ref="A16:A54" si="22">A15+1</f>
        <v>3</v>
      </c>
      <c r="B16" s="174"/>
      <c r="C16" s="173"/>
      <c r="D16" s="173"/>
      <c r="E16" s="175"/>
      <c r="F16" s="175"/>
      <c r="G16" s="173"/>
      <c r="H16" s="173"/>
      <c r="I16" s="173"/>
      <c r="J16" s="176">
        <f t="shared" si="2"/>
        <v>0</v>
      </c>
      <c r="K16" s="177">
        <f>IF(F16&lt;2,F$4,G16-(1.12*D16*0.001)-F$5)</f>
        <v>0.3</v>
      </c>
      <c r="L16" s="178">
        <f>(F16=2.1)*IF(G16&lt;3.1,J16+3*S$6,J16+0.6+2*S$6+G16*0.05)+(F16=2.2)*IF(G16&lt;3.1,J16+1.5*S$6+P$7/2,J16+0.3+S$6+G16*0.025)</f>
        <v>0</v>
      </c>
      <c r="M16" s="176">
        <f t="shared" si="5"/>
        <v>0</v>
      </c>
      <c r="N16" s="175">
        <f t="shared" si="6"/>
        <v>100</v>
      </c>
      <c r="O16" s="179">
        <f>F$6+HLOOKUP(G16,J$86:U$87,2)*F$7</f>
        <v>9000</v>
      </c>
      <c r="P16" s="176">
        <f>(M16*G16+(G16&gt;1.219)*(F16=1.1)*(G16-1.22)^2*P$6+(F16=1.2)*(G16-1.22)^2/2*P$6)*(C16&gt;0)</f>
        <v>0</v>
      </c>
      <c r="Q16" s="176">
        <f>IF(C16=0,0,IF(TRUNC(F16)=1,HLOOKUP(G16,C$80:AC$81,2),HLOOKUP(G16,C$82:AC$83,2))*N16/100/IF((F16-TRUNC(F16))=0.2,P16*2,P16))</f>
        <v>0</v>
      </c>
      <c r="R16" s="176">
        <f>IF(Q16&gt;F$8,F$8,Q16)*((F16=1.1)*1+(F16=1.2)*0.95+(F16=2.1)*0.95+(F16=2.2)*1)</f>
        <v>0</v>
      </c>
      <c r="S16" s="177">
        <f>IF(C16=0,0,IF(OR(F16=1.2,F16=2.2),O16/R16/2,O16/R16))</f>
        <v>0</v>
      </c>
      <c r="T16" s="177" t="e" vm="1">
        <f t="shared" si="10"/>
        <v>#VALUE!</v>
      </c>
      <c r="U16" s="176">
        <f t="shared" si="11"/>
        <v>0</v>
      </c>
      <c r="V16" s="180">
        <f t="shared" si="12"/>
        <v>0</v>
      </c>
      <c r="W16" s="176">
        <f t="shared" si="13"/>
        <v>0</v>
      </c>
      <c r="X16" s="176">
        <f t="shared" si="14"/>
        <v>0</v>
      </c>
      <c r="Y16" s="176">
        <f t="shared" si="15"/>
        <v>0</v>
      </c>
      <c r="Z16" s="176">
        <f t="shared" si="16"/>
        <v>0</v>
      </c>
      <c r="AA16" s="176">
        <f t="shared" si="17"/>
        <v>0</v>
      </c>
      <c r="AB16" s="181">
        <f t="shared" si="18"/>
        <v>0</v>
      </c>
      <c r="AC16" s="182">
        <f t="shared" si="19"/>
        <v>0</v>
      </c>
      <c r="AD16" s="183">
        <f>IF(C16=0,0,C16/((F16-TRUNC(F16))*10)*IF(P$4=1,1,1/3.28))</f>
        <v>0</v>
      </c>
      <c r="AE16" s="176">
        <f t="shared" si="21"/>
        <v>0</v>
      </c>
    </row>
    <row r="17" spans="1:31" x14ac:dyDescent="0.25">
      <c r="A17" s="250">
        <f t="shared" si="22"/>
        <v>4</v>
      </c>
      <c r="B17" s="174"/>
      <c r="C17" s="173"/>
      <c r="D17" s="173"/>
      <c r="E17" s="175"/>
      <c r="F17" s="175"/>
      <c r="G17" s="173"/>
      <c r="H17" s="173"/>
      <c r="I17" s="173"/>
      <c r="J17" s="176">
        <f t="shared" si="2"/>
        <v>0</v>
      </c>
      <c r="K17" s="177">
        <f t="shared" si="3"/>
        <v>0.3</v>
      </c>
      <c r="L17" s="178">
        <f t="shared" si="4"/>
        <v>0</v>
      </c>
      <c r="M17" s="176">
        <f t="shared" si="5"/>
        <v>0</v>
      </c>
      <c r="N17" s="175">
        <f t="shared" si="6"/>
        <v>100</v>
      </c>
      <c r="O17" s="179">
        <f t="shared" si="0"/>
        <v>9000</v>
      </c>
      <c r="P17" s="176">
        <f t="shared" si="7"/>
        <v>0</v>
      </c>
      <c r="Q17" s="176">
        <f t="shared" si="1"/>
        <v>0</v>
      </c>
      <c r="R17" s="176">
        <f t="shared" ref="R17:R34" si="23">IF(Q17&gt;F$8,F$8,Q17)*((F17=1.1)*1+(F17=1.2)*0.95+(F17=2.1)*0.95+(F17=2.2)*1)</f>
        <v>0</v>
      </c>
      <c r="S17" s="177">
        <f t="shared" si="9"/>
        <v>0</v>
      </c>
      <c r="T17" s="177" t="e" vm="1">
        <f t="shared" si="10"/>
        <v>#VALUE!</v>
      </c>
      <c r="U17" s="176">
        <f t="shared" si="11"/>
        <v>0</v>
      </c>
      <c r="V17" s="180">
        <f t="shared" si="12"/>
        <v>0</v>
      </c>
      <c r="W17" s="176">
        <f t="shared" si="13"/>
        <v>0</v>
      </c>
      <c r="X17" s="176">
        <f t="shared" si="14"/>
        <v>0</v>
      </c>
      <c r="Y17" s="176">
        <f t="shared" si="15"/>
        <v>0</v>
      </c>
      <c r="Z17" s="176">
        <f t="shared" si="16"/>
        <v>0</v>
      </c>
      <c r="AA17" s="176">
        <f t="shared" si="17"/>
        <v>0</v>
      </c>
      <c r="AB17" s="181">
        <f t="shared" si="18"/>
        <v>0</v>
      </c>
      <c r="AC17" s="182">
        <f t="shared" si="19"/>
        <v>0</v>
      </c>
      <c r="AD17" s="183">
        <f t="shared" si="20"/>
        <v>0</v>
      </c>
      <c r="AE17" s="176">
        <f t="shared" si="21"/>
        <v>0</v>
      </c>
    </row>
    <row r="18" spans="1:31" x14ac:dyDescent="0.25">
      <c r="A18" s="250">
        <f t="shared" si="22"/>
        <v>5</v>
      </c>
      <c r="B18" s="174"/>
      <c r="C18" s="173"/>
      <c r="D18" s="173"/>
      <c r="E18" s="175"/>
      <c r="F18" s="175"/>
      <c r="G18" s="173"/>
      <c r="H18" s="173"/>
      <c r="I18" s="173"/>
      <c r="J18" s="176">
        <f t="shared" si="2"/>
        <v>0</v>
      </c>
      <c r="K18" s="177">
        <f t="shared" si="3"/>
        <v>0.3</v>
      </c>
      <c r="L18" s="178">
        <f t="shared" si="4"/>
        <v>0</v>
      </c>
      <c r="M18" s="176">
        <f t="shared" si="5"/>
        <v>0</v>
      </c>
      <c r="N18" s="175">
        <f t="shared" si="6"/>
        <v>100</v>
      </c>
      <c r="O18" s="179">
        <f t="shared" si="0"/>
        <v>9000</v>
      </c>
      <c r="P18" s="176">
        <f t="shared" si="7"/>
        <v>0</v>
      </c>
      <c r="Q18" s="176">
        <f t="shared" si="1"/>
        <v>0</v>
      </c>
      <c r="R18" s="176">
        <f t="shared" si="23"/>
        <v>0</v>
      </c>
      <c r="S18" s="177">
        <f t="shared" si="9"/>
        <v>0</v>
      </c>
      <c r="T18" s="177" t="e" vm="1">
        <f t="shared" si="10"/>
        <v>#VALUE!</v>
      </c>
      <c r="U18" s="176">
        <f t="shared" si="11"/>
        <v>0</v>
      </c>
      <c r="V18" s="180">
        <f t="shared" si="12"/>
        <v>0</v>
      </c>
      <c r="W18" s="176">
        <f t="shared" si="13"/>
        <v>0</v>
      </c>
      <c r="X18" s="176">
        <f t="shared" si="14"/>
        <v>0</v>
      </c>
      <c r="Y18" s="176">
        <f t="shared" si="15"/>
        <v>0</v>
      </c>
      <c r="Z18" s="176">
        <f t="shared" si="16"/>
        <v>0</v>
      </c>
      <c r="AA18" s="176">
        <f t="shared" si="17"/>
        <v>0</v>
      </c>
      <c r="AB18" s="181">
        <f t="shared" si="18"/>
        <v>0</v>
      </c>
      <c r="AC18" s="182">
        <f t="shared" si="19"/>
        <v>0</v>
      </c>
      <c r="AD18" s="183">
        <f t="shared" si="20"/>
        <v>0</v>
      </c>
      <c r="AE18" s="176">
        <f t="shared" si="21"/>
        <v>0</v>
      </c>
    </row>
    <row r="19" spans="1:31" x14ac:dyDescent="0.25">
      <c r="A19" s="250">
        <f t="shared" si="22"/>
        <v>6</v>
      </c>
      <c r="B19" s="174"/>
      <c r="C19" s="173"/>
      <c r="D19" s="173"/>
      <c r="E19" s="175"/>
      <c r="F19" s="175"/>
      <c r="G19" s="173"/>
      <c r="H19" s="173"/>
      <c r="I19" s="173"/>
      <c r="J19" s="176">
        <f t="shared" si="2"/>
        <v>0</v>
      </c>
      <c r="K19" s="177">
        <f t="shared" si="3"/>
        <v>0.3</v>
      </c>
      <c r="L19" s="178">
        <f t="shared" si="4"/>
        <v>0</v>
      </c>
      <c r="M19" s="176">
        <f t="shared" si="5"/>
        <v>0</v>
      </c>
      <c r="N19" s="175">
        <f t="shared" si="6"/>
        <v>100</v>
      </c>
      <c r="O19" s="179">
        <f t="shared" si="0"/>
        <v>9000</v>
      </c>
      <c r="P19" s="176">
        <f t="shared" si="7"/>
        <v>0</v>
      </c>
      <c r="Q19" s="176">
        <f t="shared" si="1"/>
        <v>0</v>
      </c>
      <c r="R19" s="176">
        <f t="shared" si="23"/>
        <v>0</v>
      </c>
      <c r="S19" s="177">
        <f t="shared" si="9"/>
        <v>0</v>
      </c>
      <c r="T19" s="177" t="e" vm="1">
        <f t="shared" si="10"/>
        <v>#VALUE!</v>
      </c>
      <c r="U19" s="176">
        <f t="shared" si="11"/>
        <v>0</v>
      </c>
      <c r="V19" s="180">
        <f t="shared" si="12"/>
        <v>0</v>
      </c>
      <c r="W19" s="176">
        <f t="shared" si="13"/>
        <v>0</v>
      </c>
      <c r="X19" s="176">
        <f t="shared" si="14"/>
        <v>0</v>
      </c>
      <c r="Y19" s="176">
        <f t="shared" si="15"/>
        <v>0</v>
      </c>
      <c r="Z19" s="176">
        <f t="shared" si="16"/>
        <v>0</v>
      </c>
      <c r="AA19" s="176">
        <f t="shared" si="17"/>
        <v>0</v>
      </c>
      <c r="AB19" s="181">
        <f t="shared" si="18"/>
        <v>0</v>
      </c>
      <c r="AC19" s="182">
        <f t="shared" si="19"/>
        <v>0</v>
      </c>
      <c r="AD19" s="183">
        <f t="shared" si="20"/>
        <v>0</v>
      </c>
      <c r="AE19" s="176">
        <f t="shared" si="21"/>
        <v>0</v>
      </c>
    </row>
    <row r="20" spans="1:31" x14ac:dyDescent="0.25">
      <c r="A20" s="250">
        <f t="shared" si="22"/>
        <v>7</v>
      </c>
      <c r="B20" s="174"/>
      <c r="C20" s="173"/>
      <c r="D20" s="173"/>
      <c r="E20" s="175"/>
      <c r="F20" s="175"/>
      <c r="G20" s="173"/>
      <c r="H20" s="173"/>
      <c r="I20" s="173"/>
      <c r="J20" s="176">
        <f t="shared" si="2"/>
        <v>0</v>
      </c>
      <c r="K20" s="177">
        <f t="shared" si="3"/>
        <v>0.3</v>
      </c>
      <c r="L20" s="178">
        <f t="shared" si="4"/>
        <v>0</v>
      </c>
      <c r="M20" s="176">
        <f t="shared" si="5"/>
        <v>0</v>
      </c>
      <c r="N20" s="175">
        <f t="shared" si="6"/>
        <v>100</v>
      </c>
      <c r="O20" s="179">
        <f t="shared" si="0"/>
        <v>9000</v>
      </c>
      <c r="P20" s="176">
        <f t="shared" si="7"/>
        <v>0</v>
      </c>
      <c r="Q20" s="176">
        <f t="shared" si="1"/>
        <v>0</v>
      </c>
      <c r="R20" s="176">
        <f t="shared" si="23"/>
        <v>0</v>
      </c>
      <c r="S20" s="177">
        <f t="shared" si="9"/>
        <v>0</v>
      </c>
      <c r="T20" s="177" t="e" vm="1">
        <f t="shared" si="10"/>
        <v>#VALUE!</v>
      </c>
      <c r="U20" s="176">
        <f t="shared" si="11"/>
        <v>0</v>
      </c>
      <c r="V20" s="180">
        <f t="shared" si="12"/>
        <v>0</v>
      </c>
      <c r="W20" s="176">
        <f t="shared" si="13"/>
        <v>0</v>
      </c>
      <c r="X20" s="176">
        <f t="shared" si="14"/>
        <v>0</v>
      </c>
      <c r="Y20" s="176">
        <f t="shared" si="15"/>
        <v>0</v>
      </c>
      <c r="Z20" s="176">
        <f t="shared" si="16"/>
        <v>0</v>
      </c>
      <c r="AA20" s="176">
        <f t="shared" si="17"/>
        <v>0</v>
      </c>
      <c r="AB20" s="181">
        <f t="shared" si="18"/>
        <v>0</v>
      </c>
      <c r="AC20" s="182">
        <f t="shared" si="19"/>
        <v>0</v>
      </c>
      <c r="AD20" s="183">
        <f t="shared" si="20"/>
        <v>0</v>
      </c>
      <c r="AE20" s="176">
        <f t="shared" si="21"/>
        <v>0</v>
      </c>
    </row>
    <row r="21" spans="1:31" x14ac:dyDescent="0.25">
      <c r="A21" s="250">
        <f t="shared" si="22"/>
        <v>8</v>
      </c>
      <c r="B21" s="174"/>
      <c r="C21" s="173"/>
      <c r="D21" s="173"/>
      <c r="E21" s="175"/>
      <c r="F21" s="175"/>
      <c r="G21" s="173"/>
      <c r="H21" s="173"/>
      <c r="I21" s="173"/>
      <c r="J21" s="176">
        <f t="shared" si="2"/>
        <v>0</v>
      </c>
      <c r="K21" s="177">
        <f t="shared" si="3"/>
        <v>0.3</v>
      </c>
      <c r="L21" s="178">
        <f t="shared" si="4"/>
        <v>0</v>
      </c>
      <c r="M21" s="176">
        <f t="shared" si="5"/>
        <v>0</v>
      </c>
      <c r="N21" s="175">
        <f t="shared" si="6"/>
        <v>100</v>
      </c>
      <c r="O21" s="179">
        <f t="shared" si="0"/>
        <v>9000</v>
      </c>
      <c r="P21" s="176">
        <f t="shared" si="7"/>
        <v>0</v>
      </c>
      <c r="Q21" s="176">
        <f t="shared" si="1"/>
        <v>0</v>
      </c>
      <c r="R21" s="176">
        <f t="shared" si="23"/>
        <v>0</v>
      </c>
      <c r="S21" s="177">
        <f t="shared" si="9"/>
        <v>0</v>
      </c>
      <c r="T21" s="177" t="e" vm="1">
        <f t="shared" si="10"/>
        <v>#VALUE!</v>
      </c>
      <c r="U21" s="176">
        <f t="shared" si="11"/>
        <v>0</v>
      </c>
      <c r="V21" s="180">
        <f t="shared" si="12"/>
        <v>0</v>
      </c>
      <c r="W21" s="176">
        <f t="shared" si="13"/>
        <v>0</v>
      </c>
      <c r="X21" s="176">
        <f t="shared" si="14"/>
        <v>0</v>
      </c>
      <c r="Y21" s="176">
        <f t="shared" si="15"/>
        <v>0</v>
      </c>
      <c r="Z21" s="176">
        <f t="shared" si="16"/>
        <v>0</v>
      </c>
      <c r="AA21" s="176">
        <f t="shared" si="17"/>
        <v>0</v>
      </c>
      <c r="AB21" s="181">
        <f t="shared" si="18"/>
        <v>0</v>
      </c>
      <c r="AC21" s="182">
        <f t="shared" si="19"/>
        <v>0</v>
      </c>
      <c r="AD21" s="183">
        <f t="shared" si="20"/>
        <v>0</v>
      </c>
      <c r="AE21" s="176">
        <f t="shared" si="21"/>
        <v>0</v>
      </c>
    </row>
    <row r="22" spans="1:31" x14ac:dyDescent="0.25">
      <c r="A22" s="250">
        <f t="shared" si="22"/>
        <v>9</v>
      </c>
      <c r="B22" s="174"/>
      <c r="C22" s="173"/>
      <c r="D22" s="173"/>
      <c r="E22" s="175"/>
      <c r="F22" s="175"/>
      <c r="G22" s="173"/>
      <c r="H22" s="173"/>
      <c r="I22" s="173"/>
      <c r="J22" s="176">
        <f t="shared" si="2"/>
        <v>0</v>
      </c>
      <c r="K22" s="177">
        <f t="shared" si="3"/>
        <v>0.3</v>
      </c>
      <c r="L22" s="178">
        <f t="shared" si="4"/>
        <v>0</v>
      </c>
      <c r="M22" s="176">
        <f t="shared" si="5"/>
        <v>0</v>
      </c>
      <c r="N22" s="175">
        <f t="shared" si="6"/>
        <v>100</v>
      </c>
      <c r="O22" s="179">
        <f t="shared" si="0"/>
        <v>9000</v>
      </c>
      <c r="P22" s="176">
        <f t="shared" si="7"/>
        <v>0</v>
      </c>
      <c r="Q22" s="176">
        <f t="shared" si="1"/>
        <v>0</v>
      </c>
      <c r="R22" s="176">
        <f t="shared" si="23"/>
        <v>0</v>
      </c>
      <c r="S22" s="177">
        <f t="shared" si="9"/>
        <v>0</v>
      </c>
      <c r="T22" s="177" t="e" vm="1">
        <f t="shared" si="10"/>
        <v>#VALUE!</v>
      </c>
      <c r="U22" s="176">
        <f t="shared" si="11"/>
        <v>0</v>
      </c>
      <c r="V22" s="180">
        <f t="shared" si="12"/>
        <v>0</v>
      </c>
      <c r="W22" s="176">
        <f t="shared" si="13"/>
        <v>0</v>
      </c>
      <c r="X22" s="176">
        <f t="shared" si="14"/>
        <v>0</v>
      </c>
      <c r="Y22" s="176">
        <f t="shared" si="15"/>
        <v>0</v>
      </c>
      <c r="Z22" s="176">
        <f t="shared" si="16"/>
        <v>0</v>
      </c>
      <c r="AA22" s="176">
        <f t="shared" si="17"/>
        <v>0</v>
      </c>
      <c r="AB22" s="181">
        <f t="shared" si="18"/>
        <v>0</v>
      </c>
      <c r="AC22" s="182">
        <f t="shared" si="19"/>
        <v>0</v>
      </c>
      <c r="AD22" s="183">
        <f t="shared" si="20"/>
        <v>0</v>
      </c>
      <c r="AE22" s="176">
        <f t="shared" si="21"/>
        <v>0</v>
      </c>
    </row>
    <row r="23" spans="1:31" x14ac:dyDescent="0.25">
      <c r="A23" s="250">
        <f t="shared" si="22"/>
        <v>10</v>
      </c>
      <c r="B23" s="174"/>
      <c r="C23" s="173"/>
      <c r="D23" s="173"/>
      <c r="E23" s="175"/>
      <c r="F23" s="175"/>
      <c r="G23" s="173"/>
      <c r="H23" s="173"/>
      <c r="I23" s="173"/>
      <c r="J23" s="176">
        <f t="shared" si="2"/>
        <v>0</v>
      </c>
      <c r="K23" s="177">
        <f t="shared" si="3"/>
        <v>0.3</v>
      </c>
      <c r="L23" s="178">
        <f t="shared" si="4"/>
        <v>0</v>
      </c>
      <c r="M23" s="176">
        <f t="shared" si="5"/>
        <v>0</v>
      </c>
      <c r="N23" s="175">
        <f t="shared" si="6"/>
        <v>100</v>
      </c>
      <c r="O23" s="179">
        <f t="shared" si="0"/>
        <v>9000</v>
      </c>
      <c r="P23" s="176">
        <f t="shared" si="7"/>
        <v>0</v>
      </c>
      <c r="Q23" s="176">
        <f t="shared" si="1"/>
        <v>0</v>
      </c>
      <c r="R23" s="176">
        <f t="shared" si="23"/>
        <v>0</v>
      </c>
      <c r="S23" s="177">
        <f t="shared" si="9"/>
        <v>0</v>
      </c>
      <c r="T23" s="177" t="e" vm="1">
        <f t="shared" si="10"/>
        <v>#VALUE!</v>
      </c>
      <c r="U23" s="176">
        <f t="shared" si="11"/>
        <v>0</v>
      </c>
      <c r="V23" s="180">
        <f t="shared" si="12"/>
        <v>0</v>
      </c>
      <c r="W23" s="176">
        <f t="shared" si="13"/>
        <v>0</v>
      </c>
      <c r="X23" s="176">
        <f t="shared" si="14"/>
        <v>0</v>
      </c>
      <c r="Y23" s="176">
        <f t="shared" si="15"/>
        <v>0</v>
      </c>
      <c r="Z23" s="176">
        <f t="shared" si="16"/>
        <v>0</v>
      </c>
      <c r="AA23" s="176">
        <f t="shared" si="17"/>
        <v>0</v>
      </c>
      <c r="AB23" s="181">
        <f t="shared" si="18"/>
        <v>0</v>
      </c>
      <c r="AC23" s="182">
        <f t="shared" si="19"/>
        <v>0</v>
      </c>
      <c r="AD23" s="183">
        <f t="shared" si="20"/>
        <v>0</v>
      </c>
      <c r="AE23" s="176">
        <f t="shared" si="21"/>
        <v>0</v>
      </c>
    </row>
    <row r="24" spans="1:31" x14ac:dyDescent="0.25">
      <c r="A24" s="250">
        <f t="shared" si="22"/>
        <v>11</v>
      </c>
      <c r="B24" s="174"/>
      <c r="C24" s="173"/>
      <c r="D24" s="173"/>
      <c r="E24" s="175"/>
      <c r="F24" s="175"/>
      <c r="G24" s="173"/>
      <c r="H24" s="173"/>
      <c r="I24" s="173"/>
      <c r="J24" s="176">
        <f t="shared" si="2"/>
        <v>0</v>
      </c>
      <c r="K24" s="177">
        <f t="shared" si="3"/>
        <v>0.3</v>
      </c>
      <c r="L24" s="178">
        <f t="shared" si="4"/>
        <v>0</v>
      </c>
      <c r="M24" s="176">
        <f t="shared" si="5"/>
        <v>0</v>
      </c>
      <c r="N24" s="175">
        <f t="shared" si="6"/>
        <v>100</v>
      </c>
      <c r="O24" s="179">
        <f t="shared" si="0"/>
        <v>9000</v>
      </c>
      <c r="P24" s="176">
        <f t="shared" si="7"/>
        <v>0</v>
      </c>
      <c r="Q24" s="176">
        <f t="shared" si="1"/>
        <v>0</v>
      </c>
      <c r="R24" s="176">
        <f t="shared" si="23"/>
        <v>0</v>
      </c>
      <c r="S24" s="177">
        <f t="shared" si="9"/>
        <v>0</v>
      </c>
      <c r="T24" s="177" t="e" vm="1">
        <f t="shared" si="10"/>
        <v>#VALUE!</v>
      </c>
      <c r="U24" s="176">
        <f t="shared" si="11"/>
        <v>0</v>
      </c>
      <c r="V24" s="180">
        <f t="shared" si="12"/>
        <v>0</v>
      </c>
      <c r="W24" s="176">
        <f t="shared" si="13"/>
        <v>0</v>
      </c>
      <c r="X24" s="176">
        <f t="shared" si="14"/>
        <v>0</v>
      </c>
      <c r="Y24" s="176">
        <f t="shared" si="15"/>
        <v>0</v>
      </c>
      <c r="Z24" s="176">
        <f t="shared" si="16"/>
        <v>0</v>
      </c>
      <c r="AA24" s="176">
        <f t="shared" si="17"/>
        <v>0</v>
      </c>
      <c r="AB24" s="181">
        <f t="shared" si="18"/>
        <v>0</v>
      </c>
      <c r="AC24" s="182">
        <f t="shared" si="19"/>
        <v>0</v>
      </c>
      <c r="AD24" s="183">
        <f t="shared" si="20"/>
        <v>0</v>
      </c>
      <c r="AE24" s="176">
        <f t="shared" si="21"/>
        <v>0</v>
      </c>
    </row>
    <row r="25" spans="1:31" x14ac:dyDescent="0.25">
      <c r="A25" s="250">
        <f t="shared" si="22"/>
        <v>12</v>
      </c>
      <c r="B25" s="174"/>
      <c r="C25" s="173"/>
      <c r="D25" s="173"/>
      <c r="E25" s="175"/>
      <c r="F25" s="175"/>
      <c r="G25" s="173"/>
      <c r="H25" s="173"/>
      <c r="I25" s="173"/>
      <c r="J25" s="176">
        <f t="shared" si="2"/>
        <v>0</v>
      </c>
      <c r="K25" s="177">
        <f t="shared" si="3"/>
        <v>0.3</v>
      </c>
      <c r="L25" s="178">
        <f t="shared" si="4"/>
        <v>0</v>
      </c>
      <c r="M25" s="176">
        <f t="shared" si="5"/>
        <v>0</v>
      </c>
      <c r="N25" s="175">
        <f t="shared" si="6"/>
        <v>100</v>
      </c>
      <c r="O25" s="179">
        <f t="shared" si="0"/>
        <v>9000</v>
      </c>
      <c r="P25" s="176">
        <f t="shared" si="7"/>
        <v>0</v>
      </c>
      <c r="Q25" s="176">
        <f t="shared" si="1"/>
        <v>0</v>
      </c>
      <c r="R25" s="176">
        <f t="shared" si="23"/>
        <v>0</v>
      </c>
      <c r="S25" s="177">
        <f t="shared" si="9"/>
        <v>0</v>
      </c>
      <c r="T25" s="177" t="e" vm="1">
        <f t="shared" si="10"/>
        <v>#VALUE!</v>
      </c>
      <c r="U25" s="176">
        <f t="shared" si="11"/>
        <v>0</v>
      </c>
      <c r="V25" s="180">
        <f t="shared" si="12"/>
        <v>0</v>
      </c>
      <c r="W25" s="176">
        <f t="shared" si="13"/>
        <v>0</v>
      </c>
      <c r="X25" s="176">
        <f t="shared" si="14"/>
        <v>0</v>
      </c>
      <c r="Y25" s="176">
        <f t="shared" si="15"/>
        <v>0</v>
      </c>
      <c r="Z25" s="176">
        <f t="shared" si="16"/>
        <v>0</v>
      </c>
      <c r="AA25" s="176">
        <f t="shared" si="17"/>
        <v>0</v>
      </c>
      <c r="AB25" s="181">
        <f t="shared" si="18"/>
        <v>0</v>
      </c>
      <c r="AC25" s="182">
        <f t="shared" si="19"/>
        <v>0</v>
      </c>
      <c r="AD25" s="183">
        <f t="shared" si="20"/>
        <v>0</v>
      </c>
      <c r="AE25" s="176">
        <f t="shared" si="21"/>
        <v>0</v>
      </c>
    </row>
    <row r="26" spans="1:31" x14ac:dyDescent="0.25">
      <c r="A26" s="250">
        <f t="shared" si="22"/>
        <v>13</v>
      </c>
      <c r="B26" s="174"/>
      <c r="C26" s="173"/>
      <c r="D26" s="173"/>
      <c r="E26" s="175"/>
      <c r="F26" s="175"/>
      <c r="G26" s="173"/>
      <c r="H26" s="173"/>
      <c r="I26" s="173"/>
      <c r="J26" s="176">
        <f t="shared" si="2"/>
        <v>0</v>
      </c>
      <c r="K26" s="177">
        <f t="shared" si="3"/>
        <v>0.3</v>
      </c>
      <c r="L26" s="178">
        <f t="shared" si="4"/>
        <v>0</v>
      </c>
      <c r="M26" s="176">
        <f t="shared" si="5"/>
        <v>0</v>
      </c>
      <c r="N26" s="175">
        <f t="shared" si="6"/>
        <v>100</v>
      </c>
      <c r="O26" s="179">
        <f t="shared" si="0"/>
        <v>9000</v>
      </c>
      <c r="P26" s="176">
        <f t="shared" si="7"/>
        <v>0</v>
      </c>
      <c r="Q26" s="176">
        <f t="shared" si="1"/>
        <v>0</v>
      </c>
      <c r="R26" s="176">
        <f t="shared" si="23"/>
        <v>0</v>
      </c>
      <c r="S26" s="177">
        <f t="shared" si="9"/>
        <v>0</v>
      </c>
      <c r="T26" s="177" t="e" vm="1">
        <f t="shared" si="10"/>
        <v>#VALUE!</v>
      </c>
      <c r="U26" s="176">
        <f t="shared" si="11"/>
        <v>0</v>
      </c>
      <c r="V26" s="180">
        <f t="shared" si="12"/>
        <v>0</v>
      </c>
      <c r="W26" s="176">
        <f t="shared" si="13"/>
        <v>0</v>
      </c>
      <c r="X26" s="176">
        <f t="shared" si="14"/>
        <v>0</v>
      </c>
      <c r="Y26" s="176">
        <f t="shared" si="15"/>
        <v>0</v>
      </c>
      <c r="Z26" s="176">
        <f t="shared" si="16"/>
        <v>0</v>
      </c>
      <c r="AA26" s="176">
        <f t="shared" si="17"/>
        <v>0</v>
      </c>
      <c r="AB26" s="181">
        <f t="shared" si="18"/>
        <v>0</v>
      </c>
      <c r="AC26" s="182">
        <f t="shared" si="19"/>
        <v>0</v>
      </c>
      <c r="AD26" s="183">
        <f t="shared" si="20"/>
        <v>0</v>
      </c>
      <c r="AE26" s="176">
        <f t="shared" si="21"/>
        <v>0</v>
      </c>
    </row>
    <row r="27" spans="1:31" x14ac:dyDescent="0.25">
      <c r="A27" s="250">
        <f t="shared" si="22"/>
        <v>14</v>
      </c>
      <c r="B27" s="174"/>
      <c r="C27" s="173"/>
      <c r="D27" s="173"/>
      <c r="E27" s="175"/>
      <c r="F27" s="175"/>
      <c r="G27" s="173"/>
      <c r="H27" s="173"/>
      <c r="I27" s="173"/>
      <c r="J27" s="176">
        <f t="shared" si="2"/>
        <v>0</v>
      </c>
      <c r="K27" s="177">
        <f t="shared" si="3"/>
        <v>0.3</v>
      </c>
      <c r="L27" s="178">
        <f t="shared" si="4"/>
        <v>0</v>
      </c>
      <c r="M27" s="176">
        <f t="shared" si="5"/>
        <v>0</v>
      </c>
      <c r="N27" s="175">
        <f t="shared" si="6"/>
        <v>100</v>
      </c>
      <c r="O27" s="179">
        <f t="shared" si="0"/>
        <v>9000</v>
      </c>
      <c r="P27" s="176">
        <f t="shared" si="7"/>
        <v>0</v>
      </c>
      <c r="Q27" s="176">
        <f t="shared" si="1"/>
        <v>0</v>
      </c>
      <c r="R27" s="176">
        <f t="shared" si="23"/>
        <v>0</v>
      </c>
      <c r="S27" s="177">
        <f t="shared" si="9"/>
        <v>0</v>
      </c>
      <c r="T27" s="177" t="e" vm="1">
        <f t="shared" si="10"/>
        <v>#VALUE!</v>
      </c>
      <c r="U27" s="176">
        <f t="shared" si="11"/>
        <v>0</v>
      </c>
      <c r="V27" s="180">
        <f t="shared" si="12"/>
        <v>0</v>
      </c>
      <c r="W27" s="176">
        <f t="shared" si="13"/>
        <v>0</v>
      </c>
      <c r="X27" s="176">
        <f t="shared" si="14"/>
        <v>0</v>
      </c>
      <c r="Y27" s="176">
        <f t="shared" si="15"/>
        <v>0</v>
      </c>
      <c r="Z27" s="176">
        <f t="shared" si="16"/>
        <v>0</v>
      </c>
      <c r="AA27" s="176">
        <f t="shared" si="17"/>
        <v>0</v>
      </c>
      <c r="AB27" s="181">
        <f t="shared" si="18"/>
        <v>0</v>
      </c>
      <c r="AC27" s="182">
        <f t="shared" si="19"/>
        <v>0</v>
      </c>
      <c r="AD27" s="183">
        <f t="shared" si="20"/>
        <v>0</v>
      </c>
      <c r="AE27" s="176">
        <f t="shared" si="21"/>
        <v>0</v>
      </c>
    </row>
    <row r="28" spans="1:31" x14ac:dyDescent="0.25">
      <c r="A28" s="250">
        <f t="shared" si="22"/>
        <v>15</v>
      </c>
      <c r="B28" s="174"/>
      <c r="C28" s="173"/>
      <c r="D28" s="173"/>
      <c r="E28" s="175"/>
      <c r="F28" s="175"/>
      <c r="G28" s="173"/>
      <c r="H28" s="173"/>
      <c r="I28" s="173"/>
      <c r="J28" s="176">
        <f t="shared" si="2"/>
        <v>0</v>
      </c>
      <c r="K28" s="177">
        <f t="shared" si="3"/>
        <v>0.3</v>
      </c>
      <c r="L28" s="178">
        <f t="shared" si="4"/>
        <v>0</v>
      </c>
      <c r="M28" s="176">
        <f t="shared" si="5"/>
        <v>0</v>
      </c>
      <c r="N28" s="175">
        <f t="shared" si="6"/>
        <v>100</v>
      </c>
      <c r="O28" s="179">
        <f t="shared" si="0"/>
        <v>9000</v>
      </c>
      <c r="P28" s="176">
        <f t="shared" si="7"/>
        <v>0</v>
      </c>
      <c r="Q28" s="176">
        <f t="shared" si="1"/>
        <v>0</v>
      </c>
      <c r="R28" s="176">
        <f t="shared" si="23"/>
        <v>0</v>
      </c>
      <c r="S28" s="177">
        <f t="shared" si="9"/>
        <v>0</v>
      </c>
      <c r="T28" s="177" t="e" vm="1">
        <f t="shared" si="10"/>
        <v>#VALUE!</v>
      </c>
      <c r="U28" s="176">
        <f t="shared" si="11"/>
        <v>0</v>
      </c>
      <c r="V28" s="180">
        <f t="shared" si="12"/>
        <v>0</v>
      </c>
      <c r="W28" s="176">
        <f t="shared" si="13"/>
        <v>0</v>
      </c>
      <c r="X28" s="176">
        <f t="shared" si="14"/>
        <v>0</v>
      </c>
      <c r="Y28" s="176">
        <f t="shared" si="15"/>
        <v>0</v>
      </c>
      <c r="Z28" s="176">
        <f t="shared" si="16"/>
        <v>0</v>
      </c>
      <c r="AA28" s="176">
        <f t="shared" si="17"/>
        <v>0</v>
      </c>
      <c r="AB28" s="181">
        <f t="shared" si="18"/>
        <v>0</v>
      </c>
      <c r="AC28" s="182">
        <f t="shared" si="19"/>
        <v>0</v>
      </c>
      <c r="AD28" s="183">
        <f t="shared" si="20"/>
        <v>0</v>
      </c>
      <c r="AE28" s="176">
        <f t="shared" si="21"/>
        <v>0</v>
      </c>
    </row>
    <row r="29" spans="1:31" x14ac:dyDescent="0.25">
      <c r="A29" s="250">
        <f t="shared" si="22"/>
        <v>16</v>
      </c>
      <c r="B29" s="174"/>
      <c r="C29" s="173"/>
      <c r="D29" s="173"/>
      <c r="E29" s="175"/>
      <c r="F29" s="175"/>
      <c r="G29" s="173"/>
      <c r="H29" s="173"/>
      <c r="I29" s="173"/>
      <c r="J29" s="176">
        <f t="shared" si="2"/>
        <v>0</v>
      </c>
      <c r="K29" s="177">
        <f t="shared" si="3"/>
        <v>0.3</v>
      </c>
      <c r="L29" s="178">
        <f t="shared" si="4"/>
        <v>0</v>
      </c>
      <c r="M29" s="176">
        <f t="shared" si="5"/>
        <v>0</v>
      </c>
      <c r="N29" s="175">
        <f t="shared" si="6"/>
        <v>100</v>
      </c>
      <c r="O29" s="179">
        <f t="shared" si="0"/>
        <v>9000</v>
      </c>
      <c r="P29" s="176">
        <f t="shared" si="7"/>
        <v>0</v>
      </c>
      <c r="Q29" s="176">
        <f t="shared" si="1"/>
        <v>0</v>
      </c>
      <c r="R29" s="176">
        <f t="shared" si="23"/>
        <v>0</v>
      </c>
      <c r="S29" s="177">
        <f t="shared" si="9"/>
        <v>0</v>
      </c>
      <c r="T29" s="177" t="e" vm="1">
        <f t="shared" si="10"/>
        <v>#VALUE!</v>
      </c>
      <c r="U29" s="176">
        <f t="shared" si="11"/>
        <v>0</v>
      </c>
      <c r="V29" s="180">
        <f t="shared" si="12"/>
        <v>0</v>
      </c>
      <c r="W29" s="176">
        <f t="shared" si="13"/>
        <v>0</v>
      </c>
      <c r="X29" s="176">
        <f t="shared" si="14"/>
        <v>0</v>
      </c>
      <c r="Y29" s="176">
        <f t="shared" si="15"/>
        <v>0</v>
      </c>
      <c r="Z29" s="176">
        <f t="shared" si="16"/>
        <v>0</v>
      </c>
      <c r="AA29" s="176">
        <f t="shared" si="17"/>
        <v>0</v>
      </c>
      <c r="AB29" s="181">
        <f t="shared" si="18"/>
        <v>0</v>
      </c>
      <c r="AC29" s="182">
        <f t="shared" si="19"/>
        <v>0</v>
      </c>
      <c r="AD29" s="183">
        <f t="shared" si="20"/>
        <v>0</v>
      </c>
      <c r="AE29" s="176">
        <f t="shared" si="21"/>
        <v>0</v>
      </c>
    </row>
    <row r="30" spans="1:31" x14ac:dyDescent="0.25">
      <c r="A30" s="250">
        <f t="shared" si="22"/>
        <v>17</v>
      </c>
      <c r="B30" s="174"/>
      <c r="C30" s="173"/>
      <c r="D30" s="173"/>
      <c r="E30" s="175"/>
      <c r="F30" s="175"/>
      <c r="G30" s="173"/>
      <c r="H30" s="173"/>
      <c r="I30" s="173"/>
      <c r="J30" s="176">
        <f t="shared" si="2"/>
        <v>0</v>
      </c>
      <c r="K30" s="177">
        <f t="shared" si="3"/>
        <v>0.3</v>
      </c>
      <c r="L30" s="178">
        <f t="shared" si="4"/>
        <v>0</v>
      </c>
      <c r="M30" s="176">
        <f t="shared" si="5"/>
        <v>0</v>
      </c>
      <c r="N30" s="175">
        <f t="shared" si="6"/>
        <v>100</v>
      </c>
      <c r="O30" s="179">
        <f t="shared" si="0"/>
        <v>9000</v>
      </c>
      <c r="P30" s="176">
        <f t="shared" si="7"/>
        <v>0</v>
      </c>
      <c r="Q30" s="176">
        <f t="shared" si="1"/>
        <v>0</v>
      </c>
      <c r="R30" s="176">
        <f t="shared" si="23"/>
        <v>0</v>
      </c>
      <c r="S30" s="177">
        <f t="shared" si="9"/>
        <v>0</v>
      </c>
      <c r="T30" s="177" t="e" vm="1">
        <f t="shared" si="10"/>
        <v>#VALUE!</v>
      </c>
      <c r="U30" s="176">
        <f t="shared" si="11"/>
        <v>0</v>
      </c>
      <c r="V30" s="180">
        <f t="shared" si="12"/>
        <v>0</v>
      </c>
      <c r="W30" s="176">
        <f t="shared" si="13"/>
        <v>0</v>
      </c>
      <c r="X30" s="176">
        <f t="shared" si="14"/>
        <v>0</v>
      </c>
      <c r="Y30" s="176">
        <f t="shared" si="15"/>
        <v>0</v>
      </c>
      <c r="Z30" s="176">
        <f t="shared" si="16"/>
        <v>0</v>
      </c>
      <c r="AA30" s="176">
        <f t="shared" si="17"/>
        <v>0</v>
      </c>
      <c r="AB30" s="181">
        <f t="shared" si="18"/>
        <v>0</v>
      </c>
      <c r="AC30" s="182">
        <f t="shared" si="19"/>
        <v>0</v>
      </c>
      <c r="AD30" s="183">
        <f t="shared" si="20"/>
        <v>0</v>
      </c>
      <c r="AE30" s="176">
        <f t="shared" si="21"/>
        <v>0</v>
      </c>
    </row>
    <row r="31" spans="1:31" x14ac:dyDescent="0.25">
      <c r="A31" s="250">
        <f t="shared" si="22"/>
        <v>18</v>
      </c>
      <c r="B31" s="174"/>
      <c r="C31" s="173"/>
      <c r="D31" s="173"/>
      <c r="E31" s="175"/>
      <c r="F31" s="175"/>
      <c r="G31" s="173"/>
      <c r="H31" s="173"/>
      <c r="I31" s="173"/>
      <c r="J31" s="176">
        <f t="shared" si="2"/>
        <v>0</v>
      </c>
      <c r="K31" s="177">
        <f t="shared" si="3"/>
        <v>0.3</v>
      </c>
      <c r="L31" s="178">
        <f t="shared" si="4"/>
        <v>0</v>
      </c>
      <c r="M31" s="176">
        <f>(F31=1.1)*IF((J31+2*P$9)&lt;F$3,F$3,J31+2*P$9)+(F31=1.2)*(J31+P$9+P$7/2)+(F31=2.1)*IF(L31&lt;F$3,F$3,L31)+(F31=2.2)*L31</f>
        <v>0</v>
      </c>
      <c r="N31" s="175">
        <f t="shared" si="6"/>
        <v>100</v>
      </c>
      <c r="O31" s="179">
        <f t="shared" si="0"/>
        <v>9000</v>
      </c>
      <c r="P31" s="176">
        <f t="shared" si="7"/>
        <v>0</v>
      </c>
      <c r="Q31" s="176">
        <f t="shared" si="1"/>
        <v>0</v>
      </c>
      <c r="R31" s="176">
        <f t="shared" si="23"/>
        <v>0</v>
      </c>
      <c r="S31" s="177">
        <f t="shared" si="9"/>
        <v>0</v>
      </c>
      <c r="T31" s="177" t="e" vm="1">
        <f t="shared" si="10"/>
        <v>#VALUE!</v>
      </c>
      <c r="U31" s="176">
        <f t="shared" si="11"/>
        <v>0</v>
      </c>
      <c r="V31" s="180">
        <f t="shared" si="12"/>
        <v>0</v>
      </c>
      <c r="W31" s="176">
        <f t="shared" si="13"/>
        <v>0</v>
      </c>
      <c r="X31" s="176">
        <f t="shared" si="14"/>
        <v>0</v>
      </c>
      <c r="Y31" s="176">
        <f t="shared" si="15"/>
        <v>0</v>
      </c>
      <c r="Z31" s="176">
        <f t="shared" si="16"/>
        <v>0</v>
      </c>
      <c r="AA31" s="176">
        <f t="shared" si="17"/>
        <v>0</v>
      </c>
      <c r="AB31" s="181">
        <f t="shared" si="18"/>
        <v>0</v>
      </c>
      <c r="AC31" s="182">
        <f t="shared" si="19"/>
        <v>0</v>
      </c>
      <c r="AD31" s="183">
        <f t="shared" si="20"/>
        <v>0</v>
      </c>
      <c r="AE31" s="176">
        <f t="shared" si="21"/>
        <v>0</v>
      </c>
    </row>
    <row r="32" spans="1:31" x14ac:dyDescent="0.25">
      <c r="A32" s="250">
        <f t="shared" si="22"/>
        <v>19</v>
      </c>
      <c r="B32" s="174"/>
      <c r="C32" s="173"/>
      <c r="D32" s="173"/>
      <c r="E32" s="175"/>
      <c r="F32" s="175"/>
      <c r="G32" s="173"/>
      <c r="H32" s="173"/>
      <c r="I32" s="173"/>
      <c r="J32" s="176">
        <f t="shared" si="2"/>
        <v>0</v>
      </c>
      <c r="K32" s="177">
        <f t="shared" si="3"/>
        <v>0.3</v>
      </c>
      <c r="L32" s="178">
        <f t="shared" si="4"/>
        <v>0</v>
      </c>
      <c r="M32" s="176">
        <f t="shared" si="5"/>
        <v>0</v>
      </c>
      <c r="N32" s="175">
        <f t="shared" si="6"/>
        <v>100</v>
      </c>
      <c r="O32" s="179">
        <f t="shared" si="0"/>
        <v>9000</v>
      </c>
      <c r="P32" s="176">
        <f t="shared" si="7"/>
        <v>0</v>
      </c>
      <c r="Q32" s="176">
        <f t="shared" si="1"/>
        <v>0</v>
      </c>
      <c r="R32" s="176">
        <f t="shared" si="23"/>
        <v>0</v>
      </c>
      <c r="S32" s="177">
        <f t="shared" si="9"/>
        <v>0</v>
      </c>
      <c r="T32" s="177" t="e" vm="1">
        <f t="shared" si="10"/>
        <v>#VALUE!</v>
      </c>
      <c r="U32" s="176">
        <f t="shared" si="11"/>
        <v>0</v>
      </c>
      <c r="V32" s="180">
        <f t="shared" si="12"/>
        <v>0</v>
      </c>
      <c r="W32" s="176">
        <f t="shared" si="13"/>
        <v>0</v>
      </c>
      <c r="X32" s="176">
        <f t="shared" si="14"/>
        <v>0</v>
      </c>
      <c r="Y32" s="176">
        <f t="shared" si="15"/>
        <v>0</v>
      </c>
      <c r="Z32" s="176">
        <f t="shared" si="16"/>
        <v>0</v>
      </c>
      <c r="AA32" s="176">
        <f t="shared" si="17"/>
        <v>0</v>
      </c>
      <c r="AB32" s="181">
        <f t="shared" si="18"/>
        <v>0</v>
      </c>
      <c r="AC32" s="182">
        <f t="shared" si="19"/>
        <v>0</v>
      </c>
      <c r="AD32" s="183">
        <f t="shared" si="20"/>
        <v>0</v>
      </c>
      <c r="AE32" s="176">
        <f t="shared" si="21"/>
        <v>0</v>
      </c>
    </row>
    <row r="33" spans="1:31" x14ac:dyDescent="0.25">
      <c r="A33" s="250">
        <f t="shared" si="22"/>
        <v>20</v>
      </c>
      <c r="B33" s="174"/>
      <c r="C33" s="173"/>
      <c r="D33" s="173"/>
      <c r="E33" s="175"/>
      <c r="F33" s="175"/>
      <c r="G33" s="173"/>
      <c r="H33" s="173"/>
      <c r="I33" s="173"/>
      <c r="J33" s="176">
        <f t="shared" si="2"/>
        <v>0</v>
      </c>
      <c r="K33" s="177">
        <f t="shared" si="3"/>
        <v>0.3</v>
      </c>
      <c r="L33" s="178">
        <f t="shared" si="4"/>
        <v>0</v>
      </c>
      <c r="M33" s="176">
        <f t="shared" si="5"/>
        <v>0</v>
      </c>
      <c r="N33" s="175">
        <f t="shared" si="6"/>
        <v>100</v>
      </c>
      <c r="O33" s="179">
        <f t="shared" si="0"/>
        <v>9000</v>
      </c>
      <c r="P33" s="176">
        <f t="shared" si="7"/>
        <v>0</v>
      </c>
      <c r="Q33" s="176">
        <f t="shared" si="1"/>
        <v>0</v>
      </c>
      <c r="R33" s="176">
        <f t="shared" si="23"/>
        <v>0</v>
      </c>
      <c r="S33" s="177">
        <f t="shared" si="9"/>
        <v>0</v>
      </c>
      <c r="T33" s="177" t="e" vm="1">
        <f t="shared" si="10"/>
        <v>#VALUE!</v>
      </c>
      <c r="U33" s="176">
        <f t="shared" si="11"/>
        <v>0</v>
      </c>
      <c r="V33" s="180">
        <f t="shared" si="12"/>
        <v>0</v>
      </c>
      <c r="W33" s="176">
        <f t="shared" si="13"/>
        <v>0</v>
      </c>
      <c r="X33" s="176">
        <f t="shared" si="14"/>
        <v>0</v>
      </c>
      <c r="Y33" s="176">
        <f t="shared" si="15"/>
        <v>0</v>
      </c>
      <c r="Z33" s="176">
        <f t="shared" si="16"/>
        <v>0</v>
      </c>
      <c r="AA33" s="176">
        <f t="shared" si="17"/>
        <v>0</v>
      </c>
      <c r="AB33" s="181">
        <f t="shared" si="18"/>
        <v>0</v>
      </c>
      <c r="AC33" s="182">
        <f t="shared" si="19"/>
        <v>0</v>
      </c>
      <c r="AD33" s="183">
        <f t="shared" si="20"/>
        <v>0</v>
      </c>
      <c r="AE33" s="176">
        <f t="shared" si="21"/>
        <v>0</v>
      </c>
    </row>
    <row r="34" spans="1:31" x14ac:dyDescent="0.25">
      <c r="A34" s="250">
        <f t="shared" si="22"/>
        <v>21</v>
      </c>
      <c r="B34" s="174"/>
      <c r="C34" s="173"/>
      <c r="D34" s="173"/>
      <c r="E34" s="175"/>
      <c r="F34" s="175"/>
      <c r="G34" s="173"/>
      <c r="H34" s="173"/>
      <c r="I34" s="173"/>
      <c r="J34" s="176">
        <f t="shared" si="2"/>
        <v>0</v>
      </c>
      <c r="K34" s="177">
        <f t="shared" si="3"/>
        <v>0.3</v>
      </c>
      <c r="L34" s="178">
        <f t="shared" si="4"/>
        <v>0</v>
      </c>
      <c r="M34" s="176">
        <f t="shared" si="5"/>
        <v>0</v>
      </c>
      <c r="N34" s="175">
        <f t="shared" si="6"/>
        <v>100</v>
      </c>
      <c r="O34" s="179">
        <f t="shared" si="0"/>
        <v>9000</v>
      </c>
      <c r="P34" s="176">
        <f t="shared" si="7"/>
        <v>0</v>
      </c>
      <c r="Q34" s="176">
        <f t="shared" si="1"/>
        <v>0</v>
      </c>
      <c r="R34" s="176">
        <f t="shared" si="23"/>
        <v>0</v>
      </c>
      <c r="S34" s="177">
        <f t="shared" si="9"/>
        <v>0</v>
      </c>
      <c r="T34" s="177" t="e" vm="1">
        <f t="shared" si="10"/>
        <v>#VALUE!</v>
      </c>
      <c r="U34" s="176">
        <f t="shared" si="11"/>
        <v>0</v>
      </c>
      <c r="V34" s="180">
        <f t="shared" si="12"/>
        <v>0</v>
      </c>
      <c r="W34" s="176">
        <f t="shared" si="13"/>
        <v>0</v>
      </c>
      <c r="X34" s="176">
        <f t="shared" si="14"/>
        <v>0</v>
      </c>
      <c r="Y34" s="176">
        <f t="shared" si="15"/>
        <v>0</v>
      </c>
      <c r="Z34" s="176">
        <f t="shared" si="16"/>
        <v>0</v>
      </c>
      <c r="AA34" s="176">
        <f t="shared" si="17"/>
        <v>0</v>
      </c>
      <c r="AB34" s="181">
        <f t="shared" si="18"/>
        <v>0</v>
      </c>
      <c r="AC34" s="182">
        <f t="shared" si="19"/>
        <v>0</v>
      </c>
      <c r="AD34" s="183">
        <f t="shared" si="20"/>
        <v>0</v>
      </c>
      <c r="AE34" s="176">
        <f t="shared" si="21"/>
        <v>0</v>
      </c>
    </row>
    <row r="35" spans="1:31" x14ac:dyDescent="0.25">
      <c r="A35" s="250">
        <f t="shared" si="22"/>
        <v>22</v>
      </c>
      <c r="B35" s="174"/>
      <c r="C35" s="173"/>
      <c r="D35" s="173"/>
      <c r="E35" s="175"/>
      <c r="F35" s="175"/>
      <c r="G35" s="173"/>
      <c r="H35" s="173"/>
      <c r="I35" s="173"/>
      <c r="J35" s="176">
        <f>0.00125*D35</f>
        <v>0</v>
      </c>
      <c r="K35" s="177">
        <f>IF(F35&lt;2,F$4,G35-(1.12*D35*0.001)-F$5)</f>
        <v>0.3</v>
      </c>
      <c r="L35" s="178">
        <f>(F35=2.1)*IF(G35&lt;3.1,J35+3*S$6,J35+0.6+2*S$6+G35*0.05)+(F35=2.2)*IF(G35&lt;3.1,J35+1.5*S$6+P$7/2,J35+0.3+S$6+G35*0.025)</f>
        <v>0</v>
      </c>
      <c r="M35" s="176">
        <f t="shared" si="5"/>
        <v>0</v>
      </c>
      <c r="N35" s="175">
        <f>P$3</f>
        <v>100</v>
      </c>
      <c r="O35" s="179">
        <f t="shared" si="0"/>
        <v>9000</v>
      </c>
      <c r="P35" s="176">
        <f>(M35*G35+(G35&gt;1.219)*(F35=1.1)*(G35-1.22)^2*P$6+(F35=1.2)*(G35-1.22)^2/2*P$6)*(C35&gt;0)</f>
        <v>0</v>
      </c>
      <c r="Q35" s="176">
        <f t="shared" si="1"/>
        <v>0</v>
      </c>
      <c r="R35" s="176">
        <f>IF(Q35&gt;F$8,F$8,Q35)*((F35=1.1)*1+(F35=1.2)*0.95+(F35=2.1)*0.95+(F35=2.2)*1)</f>
        <v>0</v>
      </c>
      <c r="S35" s="177">
        <f>IF(C35=0,0,IF(OR(F35=1.2,F35=2.2),O35/R35/2,O35/R35))</f>
        <v>0</v>
      </c>
      <c r="T35" s="177" t="e" vm="1">
        <f t="shared" si="10"/>
        <v>#VALUE!</v>
      </c>
      <c r="U35" s="176">
        <f>(IF(C35=0,0,IF(TRUNC(E35)=1,T35*C35*V$5,T35*C35*V$3)))*IF(P$4=1,1,1/3.28)</f>
        <v>0</v>
      </c>
      <c r="V35" s="180">
        <f>((M35*0.6*J35+0.005)-PI()*J35^2/8)*C35*2*I$4*IF(P$4=1,1,1/3.28)</f>
        <v>0</v>
      </c>
      <c r="W35" s="176">
        <f>(((0.5*J35+K35)*M35)-(PI()*J35^2/8))*C35*2*I$6*IF(P$4=1,1,1/3.28)</f>
        <v>0</v>
      </c>
      <c r="X35" s="176">
        <f>H35+U35+V35+W35</f>
        <v>0</v>
      </c>
      <c r="Y35" s="176">
        <f>I35+S35*C35*IF(P$4=1,1,1/3.28)</f>
        <v>0</v>
      </c>
      <c r="Z35" s="176">
        <f>((V35/I$4+W35/I$6)/2+PI()*J35^2/4*C35*IF(P$4=1,1,1/3.28))*I$7</f>
        <v>0</v>
      </c>
      <c r="AA35" s="176">
        <f>ROUND(IF(C35=0,0,(X35+Y35+Z35)/C35),2)</f>
        <v>0</v>
      </c>
      <c r="AB35" s="181">
        <f>X35+Y35+Z35</f>
        <v>0</v>
      </c>
      <c r="AC35" s="182">
        <f>P35*C35*IF(P$4=1,1,1/3.28)</f>
        <v>0</v>
      </c>
      <c r="AD35" s="183">
        <f>IF(C35=0,0,C35/((F35-TRUNC(F35))*10)*IF(P$4=1,1,1/3.28))</f>
        <v>0</v>
      </c>
      <c r="AE35" s="176">
        <f t="shared" si="21"/>
        <v>0</v>
      </c>
    </row>
    <row r="36" spans="1:31" x14ac:dyDescent="0.25">
      <c r="A36" s="250">
        <f t="shared" si="22"/>
        <v>23</v>
      </c>
      <c r="B36" s="174"/>
      <c r="C36" s="173"/>
      <c r="D36" s="173"/>
      <c r="E36" s="175"/>
      <c r="F36" s="175"/>
      <c r="G36" s="173"/>
      <c r="H36" s="173"/>
      <c r="I36" s="173"/>
      <c r="J36" s="176">
        <f>0.00125*D36</f>
        <v>0</v>
      </c>
      <c r="K36" s="177">
        <f>IF(F36&lt;2,F$4,G36-(1.12*D36*0.001)-F$5)</f>
        <v>0.3</v>
      </c>
      <c r="L36" s="178">
        <f>(F36=2.1)*IF(G36&lt;3.1,J36+3*S$6,J36+0.6+2*S$6+G36*0.05)+(F36=2.2)*IF(G36&lt;3.1,J36+1.5*S$6+P$7/2,J36+0.3+S$6+G36*0.025)</f>
        <v>0</v>
      </c>
      <c r="M36" s="176">
        <f t="shared" si="5"/>
        <v>0</v>
      </c>
      <c r="N36" s="175">
        <f>P$3</f>
        <v>100</v>
      </c>
      <c r="O36" s="179">
        <f t="shared" si="0"/>
        <v>9000</v>
      </c>
      <c r="P36" s="176">
        <f>(M36*G36+(G36&gt;1.219)*(F36=1.1)*(G36-1.22)^2*P$6+(F36=1.2)*(G36-1.22)^2/2*P$6)*(C36&gt;0)</f>
        <v>0</v>
      </c>
      <c r="Q36" s="176">
        <f t="shared" si="1"/>
        <v>0</v>
      </c>
      <c r="R36" s="176">
        <f>IF(Q36&gt;F$8,F$8,Q36)*((F36=1.1)*1+(F36=1.2)*0.95+(F36=2.1)*0.95+(F36=2.2)*1)</f>
        <v>0</v>
      </c>
      <c r="S36" s="177">
        <f>IF(C36=0,0,IF(OR(F36=1.2,F36=2.2),O36/R36/2,O36/R36))</f>
        <v>0</v>
      </c>
      <c r="T36" s="177" t="e" vm="1">
        <f t="shared" si="10"/>
        <v>#VALUE!</v>
      </c>
      <c r="U36" s="176">
        <f>(IF(C36=0,0,IF(TRUNC(E36)=1,T36*C36*V$5,T36*C36*V$3)))*IF(P$4=1,1,1/3.28)</f>
        <v>0</v>
      </c>
      <c r="V36" s="180">
        <f>((M36*0.6*J36+0.005)-PI()*J36^2/8)*C36*2*I$4*IF(P$4=1,1,1/3.28)</f>
        <v>0</v>
      </c>
      <c r="W36" s="176">
        <f>(((0.5*J36+K36)*M36)-(PI()*J36^2/8))*C36*2*I$6*IF(P$4=1,1,1/3.28)</f>
        <v>0</v>
      </c>
      <c r="X36" s="176">
        <f>H36+U36+V36+W36</f>
        <v>0</v>
      </c>
      <c r="Y36" s="176">
        <f>I36+S36*C36*IF(P$4=1,1,1/3.28)</f>
        <v>0</v>
      </c>
      <c r="Z36" s="176">
        <f>((V36/I$4+W36/I$6)/2+PI()*J36^2/4*C36*IF(P$4=1,1,1/3.28))*I$7</f>
        <v>0</v>
      </c>
      <c r="AA36" s="176">
        <f>ROUND(IF(C36=0,0,(X36+Y36+Z36)/C36),2)</f>
        <v>0</v>
      </c>
      <c r="AB36" s="181">
        <f>X36+Y36+Z36</f>
        <v>0</v>
      </c>
      <c r="AC36" s="182">
        <f>P36*C36*IF(P$4=1,1,1/3.28)</f>
        <v>0</v>
      </c>
      <c r="AD36" s="183">
        <f>IF(C36=0,0,C36/((F36-TRUNC(F36))*10)*IF(P$4=1,1,1/3.28))</f>
        <v>0</v>
      </c>
      <c r="AE36" s="176">
        <f t="shared" si="21"/>
        <v>0</v>
      </c>
    </row>
    <row r="37" spans="1:31" x14ac:dyDescent="0.25">
      <c r="A37" s="250">
        <f t="shared" si="22"/>
        <v>24</v>
      </c>
      <c r="B37" s="174"/>
      <c r="C37" s="173"/>
      <c r="D37" s="173"/>
      <c r="E37" s="175"/>
      <c r="F37" s="175"/>
      <c r="G37" s="173"/>
      <c r="H37" s="173"/>
      <c r="I37" s="173"/>
      <c r="J37" s="176">
        <f t="shared" ref="J37:J47" si="24">0.00125*D37</f>
        <v>0</v>
      </c>
      <c r="K37" s="177">
        <f t="shared" ref="K37:K47" si="25">IF(F37&lt;2,F$4,G37-(1.12*D37*0.001)-F$5)</f>
        <v>0.3</v>
      </c>
      <c r="L37" s="178">
        <f t="shared" ref="L37:L47" si="26">(F37=2.1)*IF(G37&lt;3.1,J37+3*S$6,J37+0.6+2*S$6+G37*0.05)+(F37=2.2)*IF(G37&lt;3.1,J37+1.5*S$6+P$7/2,J37+0.3+S$6+G37*0.025)</f>
        <v>0</v>
      </c>
      <c r="M37" s="176">
        <f t="shared" si="5"/>
        <v>0</v>
      </c>
      <c r="N37" s="175">
        <f t="shared" ref="N37:N47" si="27">P$3</f>
        <v>100</v>
      </c>
      <c r="O37" s="179">
        <f t="shared" si="0"/>
        <v>9000</v>
      </c>
      <c r="P37" s="176">
        <f t="shared" ref="P37:P47" si="28">(M37*G37+(G37&gt;1.219)*(F37=1.1)*(G37-1.22)^2*P$6+(F37=1.2)*(G37-1.22)^2/2*P$6)*(C37&gt;0)</f>
        <v>0</v>
      </c>
      <c r="Q37" s="176">
        <f t="shared" si="1"/>
        <v>0</v>
      </c>
      <c r="R37" s="176">
        <f t="shared" ref="R37:R47" si="29">IF(Q37&gt;F$8,F$8,Q37)*((F37=1.1)*1+(F37=1.2)*0.95+(F37=2.1)*0.95+(F37=2.2)*1)</f>
        <v>0</v>
      </c>
      <c r="S37" s="177">
        <f t="shared" ref="S37:S47" si="30">IF(C37=0,0,IF(OR(F37=1.2,F37=2.2),O37/R37/2,O37/R37))</f>
        <v>0</v>
      </c>
      <c r="T37" s="177" t="e" vm="1">
        <f t="shared" si="10"/>
        <v>#VALUE!</v>
      </c>
      <c r="U37" s="176">
        <f t="shared" ref="U37:U47" si="31">(IF(C37=0,0,IF(TRUNC(E37)=1,T37*C37*V$5,T37*C37*V$3)))*IF(P$4=1,1,1/3.28)</f>
        <v>0</v>
      </c>
      <c r="V37" s="180">
        <f t="shared" ref="V37:V47" si="32">((M37*0.6*J37+0.005)-PI()*J37^2/8)*C37*2*I$4*IF(P$4=1,1,1/3.28)</f>
        <v>0</v>
      </c>
      <c r="W37" s="176">
        <f t="shared" ref="W37:W47" si="33">(((0.5*J37+K37)*M37)-(PI()*J37^2/8))*C37*2*I$6*IF(P$4=1,1,1/3.28)</f>
        <v>0</v>
      </c>
      <c r="X37" s="176">
        <f t="shared" ref="X37:X47" si="34">H37+U37+V37+W37</f>
        <v>0</v>
      </c>
      <c r="Y37" s="176">
        <f t="shared" ref="Y37:Y47" si="35">I37+S37*C37*IF(P$4=1,1,1/3.28)</f>
        <v>0</v>
      </c>
      <c r="Z37" s="176">
        <f t="shared" ref="Z37:Z47" si="36">((V37/I$4+W37/I$6)/2+PI()*J37^2/4*C37*IF(P$4=1,1,1/3.28))*I$7</f>
        <v>0</v>
      </c>
      <c r="AA37" s="176">
        <f t="shared" ref="AA37:AA47" si="37">ROUND(IF(C37=0,0,(X37+Y37+Z37)/C37),2)</f>
        <v>0</v>
      </c>
      <c r="AB37" s="181">
        <f t="shared" ref="AB37:AB47" si="38">X37+Y37+Z37</f>
        <v>0</v>
      </c>
      <c r="AC37" s="182">
        <f t="shared" ref="AC37:AC47" si="39">P37*C37*IF(P$4=1,1,1/3.28)</f>
        <v>0</v>
      </c>
      <c r="AD37" s="183">
        <f t="shared" ref="AD37:AD47" si="40">IF(C37=0,0,C37/((F37-TRUNC(F37))*10)*IF(P$4=1,1,1/3.28))</f>
        <v>0</v>
      </c>
      <c r="AE37" s="176">
        <f t="shared" si="21"/>
        <v>0</v>
      </c>
    </row>
    <row r="38" spans="1:31" x14ac:dyDescent="0.25">
      <c r="A38" s="250">
        <f t="shared" si="22"/>
        <v>25</v>
      </c>
      <c r="B38" s="174"/>
      <c r="C38" s="173"/>
      <c r="D38" s="173"/>
      <c r="E38" s="175"/>
      <c r="F38" s="175"/>
      <c r="G38" s="173"/>
      <c r="H38" s="173"/>
      <c r="I38" s="173"/>
      <c r="J38" s="176">
        <f t="shared" si="24"/>
        <v>0</v>
      </c>
      <c r="K38" s="177">
        <f t="shared" si="25"/>
        <v>0.3</v>
      </c>
      <c r="L38" s="178">
        <f t="shared" si="26"/>
        <v>0</v>
      </c>
      <c r="M38" s="176">
        <f t="shared" si="5"/>
        <v>0</v>
      </c>
      <c r="N38" s="175">
        <f t="shared" si="27"/>
        <v>100</v>
      </c>
      <c r="O38" s="179">
        <f t="shared" si="0"/>
        <v>9000</v>
      </c>
      <c r="P38" s="176">
        <f t="shared" si="28"/>
        <v>0</v>
      </c>
      <c r="Q38" s="176">
        <f t="shared" si="1"/>
        <v>0</v>
      </c>
      <c r="R38" s="176">
        <f t="shared" si="29"/>
        <v>0</v>
      </c>
      <c r="S38" s="177">
        <f t="shared" si="30"/>
        <v>0</v>
      </c>
      <c r="T38" s="177" t="e" vm="1">
        <f t="shared" si="10"/>
        <v>#VALUE!</v>
      </c>
      <c r="U38" s="176">
        <f t="shared" si="31"/>
        <v>0</v>
      </c>
      <c r="V38" s="180">
        <f t="shared" si="32"/>
        <v>0</v>
      </c>
      <c r="W38" s="176">
        <f t="shared" si="33"/>
        <v>0</v>
      </c>
      <c r="X38" s="176">
        <f t="shared" si="34"/>
        <v>0</v>
      </c>
      <c r="Y38" s="176">
        <f t="shared" si="35"/>
        <v>0</v>
      </c>
      <c r="Z38" s="176">
        <f t="shared" si="36"/>
        <v>0</v>
      </c>
      <c r="AA38" s="176">
        <f t="shared" si="37"/>
        <v>0</v>
      </c>
      <c r="AB38" s="181">
        <f t="shared" si="38"/>
        <v>0</v>
      </c>
      <c r="AC38" s="182">
        <f t="shared" si="39"/>
        <v>0</v>
      </c>
      <c r="AD38" s="183">
        <f t="shared" si="40"/>
        <v>0</v>
      </c>
      <c r="AE38" s="176">
        <f t="shared" si="21"/>
        <v>0</v>
      </c>
    </row>
    <row r="39" spans="1:31" x14ac:dyDescent="0.25">
      <c r="A39" s="250">
        <f t="shared" si="22"/>
        <v>26</v>
      </c>
      <c r="B39" s="174"/>
      <c r="C39" s="173"/>
      <c r="D39" s="173"/>
      <c r="E39" s="175"/>
      <c r="F39" s="175"/>
      <c r="G39" s="173"/>
      <c r="H39" s="173"/>
      <c r="I39" s="173"/>
      <c r="J39" s="176">
        <f t="shared" si="24"/>
        <v>0</v>
      </c>
      <c r="K39" s="177">
        <f t="shared" si="25"/>
        <v>0.3</v>
      </c>
      <c r="L39" s="178">
        <f t="shared" si="26"/>
        <v>0</v>
      </c>
      <c r="M39" s="176">
        <f t="shared" si="5"/>
        <v>0</v>
      </c>
      <c r="N39" s="175">
        <f t="shared" si="27"/>
        <v>100</v>
      </c>
      <c r="O39" s="179">
        <f t="shared" si="0"/>
        <v>9000</v>
      </c>
      <c r="P39" s="176">
        <f t="shared" si="28"/>
        <v>0</v>
      </c>
      <c r="Q39" s="176">
        <f t="shared" si="1"/>
        <v>0</v>
      </c>
      <c r="R39" s="176">
        <f t="shared" si="29"/>
        <v>0</v>
      </c>
      <c r="S39" s="177">
        <f t="shared" si="30"/>
        <v>0</v>
      </c>
      <c r="T39" s="177" t="e" vm="1">
        <f t="shared" si="10"/>
        <v>#VALUE!</v>
      </c>
      <c r="U39" s="176">
        <f t="shared" si="31"/>
        <v>0</v>
      </c>
      <c r="V39" s="180">
        <f t="shared" si="32"/>
        <v>0</v>
      </c>
      <c r="W39" s="176">
        <f t="shared" si="33"/>
        <v>0</v>
      </c>
      <c r="X39" s="176">
        <f t="shared" si="34"/>
        <v>0</v>
      </c>
      <c r="Y39" s="176">
        <f t="shared" si="35"/>
        <v>0</v>
      </c>
      <c r="Z39" s="176">
        <f t="shared" si="36"/>
        <v>0</v>
      </c>
      <c r="AA39" s="176">
        <f t="shared" si="37"/>
        <v>0</v>
      </c>
      <c r="AB39" s="181">
        <f t="shared" si="38"/>
        <v>0</v>
      </c>
      <c r="AC39" s="182">
        <f t="shared" si="39"/>
        <v>0</v>
      </c>
      <c r="AD39" s="183">
        <f t="shared" si="40"/>
        <v>0</v>
      </c>
      <c r="AE39" s="176">
        <f>AB39*$P$5</f>
        <v>0</v>
      </c>
    </row>
    <row r="40" spans="1:31" x14ac:dyDescent="0.25">
      <c r="A40" s="250">
        <f t="shared" si="22"/>
        <v>27</v>
      </c>
      <c r="B40" s="174"/>
      <c r="C40" s="173"/>
      <c r="D40" s="173"/>
      <c r="E40" s="175"/>
      <c r="F40" s="175"/>
      <c r="G40" s="173"/>
      <c r="H40" s="173"/>
      <c r="I40" s="173"/>
      <c r="J40" s="176">
        <f t="shared" si="24"/>
        <v>0</v>
      </c>
      <c r="K40" s="177">
        <f t="shared" si="25"/>
        <v>0.3</v>
      </c>
      <c r="L40" s="178">
        <f t="shared" si="26"/>
        <v>0</v>
      </c>
      <c r="M40" s="176">
        <f t="shared" si="5"/>
        <v>0</v>
      </c>
      <c r="N40" s="175">
        <f t="shared" si="27"/>
        <v>100</v>
      </c>
      <c r="O40" s="179">
        <f t="shared" si="0"/>
        <v>9000</v>
      </c>
      <c r="P40" s="176">
        <f t="shared" si="28"/>
        <v>0</v>
      </c>
      <c r="Q40" s="176">
        <f t="shared" si="1"/>
        <v>0</v>
      </c>
      <c r="R40" s="176">
        <f t="shared" si="29"/>
        <v>0</v>
      </c>
      <c r="S40" s="177">
        <f t="shared" si="30"/>
        <v>0</v>
      </c>
      <c r="T40" s="177" t="e" vm="1">
        <f t="shared" si="10"/>
        <v>#VALUE!</v>
      </c>
      <c r="U40" s="176">
        <f t="shared" si="31"/>
        <v>0</v>
      </c>
      <c r="V40" s="180">
        <f t="shared" si="32"/>
        <v>0</v>
      </c>
      <c r="W40" s="176">
        <f t="shared" si="33"/>
        <v>0</v>
      </c>
      <c r="X40" s="176">
        <f t="shared" si="34"/>
        <v>0</v>
      </c>
      <c r="Y40" s="176">
        <f t="shared" si="35"/>
        <v>0</v>
      </c>
      <c r="Z40" s="176">
        <f t="shared" si="36"/>
        <v>0</v>
      </c>
      <c r="AA40" s="176">
        <f t="shared" si="37"/>
        <v>0</v>
      </c>
      <c r="AB40" s="181">
        <f t="shared" si="38"/>
        <v>0</v>
      </c>
      <c r="AC40" s="182">
        <f t="shared" si="39"/>
        <v>0</v>
      </c>
      <c r="AD40" s="183">
        <f t="shared" si="40"/>
        <v>0</v>
      </c>
      <c r="AE40" s="176">
        <f t="shared" si="21"/>
        <v>0</v>
      </c>
    </row>
    <row r="41" spans="1:31" x14ac:dyDescent="0.25">
      <c r="A41" s="250">
        <f t="shared" si="22"/>
        <v>28</v>
      </c>
      <c r="B41" s="174"/>
      <c r="C41" s="173"/>
      <c r="D41" s="173"/>
      <c r="E41" s="175"/>
      <c r="F41" s="175"/>
      <c r="G41" s="173"/>
      <c r="H41" s="173"/>
      <c r="I41" s="173"/>
      <c r="J41" s="176">
        <f t="shared" si="24"/>
        <v>0</v>
      </c>
      <c r="K41" s="177">
        <f t="shared" si="25"/>
        <v>0.3</v>
      </c>
      <c r="L41" s="178">
        <f t="shared" si="26"/>
        <v>0</v>
      </c>
      <c r="M41" s="176">
        <f t="shared" si="5"/>
        <v>0</v>
      </c>
      <c r="N41" s="175">
        <f t="shared" si="27"/>
        <v>100</v>
      </c>
      <c r="O41" s="179">
        <f t="shared" si="0"/>
        <v>9000</v>
      </c>
      <c r="P41" s="176">
        <f t="shared" si="28"/>
        <v>0</v>
      </c>
      <c r="Q41" s="176">
        <f t="shared" si="1"/>
        <v>0</v>
      </c>
      <c r="R41" s="176">
        <f t="shared" si="29"/>
        <v>0</v>
      </c>
      <c r="S41" s="177">
        <f t="shared" si="30"/>
        <v>0</v>
      </c>
      <c r="T41" s="177" t="e" vm="1">
        <f t="shared" si="10"/>
        <v>#VALUE!</v>
      </c>
      <c r="U41" s="176">
        <f t="shared" si="31"/>
        <v>0</v>
      </c>
      <c r="V41" s="180">
        <f t="shared" si="32"/>
        <v>0</v>
      </c>
      <c r="W41" s="176">
        <f t="shared" si="33"/>
        <v>0</v>
      </c>
      <c r="X41" s="176">
        <f t="shared" si="34"/>
        <v>0</v>
      </c>
      <c r="Y41" s="176">
        <f t="shared" si="35"/>
        <v>0</v>
      </c>
      <c r="Z41" s="176">
        <f t="shared" si="36"/>
        <v>0</v>
      </c>
      <c r="AA41" s="176">
        <f t="shared" si="37"/>
        <v>0</v>
      </c>
      <c r="AB41" s="181">
        <f t="shared" si="38"/>
        <v>0</v>
      </c>
      <c r="AC41" s="182">
        <f t="shared" si="39"/>
        <v>0</v>
      </c>
      <c r="AD41" s="183">
        <f t="shared" si="40"/>
        <v>0</v>
      </c>
      <c r="AE41" s="176">
        <f t="shared" si="21"/>
        <v>0</v>
      </c>
    </row>
    <row r="42" spans="1:31" x14ac:dyDescent="0.25">
      <c r="A42" s="250">
        <f t="shared" si="22"/>
        <v>29</v>
      </c>
      <c r="B42" s="174"/>
      <c r="C42" s="173"/>
      <c r="D42" s="173"/>
      <c r="E42" s="175"/>
      <c r="F42" s="175"/>
      <c r="G42" s="173"/>
      <c r="H42" s="173"/>
      <c r="I42" s="173"/>
      <c r="J42" s="176">
        <f t="shared" si="24"/>
        <v>0</v>
      </c>
      <c r="K42" s="177">
        <f t="shared" si="25"/>
        <v>0.3</v>
      </c>
      <c r="L42" s="178">
        <f t="shared" si="26"/>
        <v>0</v>
      </c>
      <c r="M42" s="176">
        <f t="shared" si="5"/>
        <v>0</v>
      </c>
      <c r="N42" s="175">
        <f t="shared" si="27"/>
        <v>100</v>
      </c>
      <c r="O42" s="179">
        <f t="shared" si="0"/>
        <v>9000</v>
      </c>
      <c r="P42" s="176">
        <f t="shared" si="28"/>
        <v>0</v>
      </c>
      <c r="Q42" s="176">
        <f t="shared" si="1"/>
        <v>0</v>
      </c>
      <c r="R42" s="176">
        <f t="shared" si="29"/>
        <v>0</v>
      </c>
      <c r="S42" s="177">
        <f t="shared" si="30"/>
        <v>0</v>
      </c>
      <c r="T42" s="177" t="e" vm="1">
        <f t="shared" si="10"/>
        <v>#VALUE!</v>
      </c>
      <c r="U42" s="176">
        <f t="shared" si="31"/>
        <v>0</v>
      </c>
      <c r="V42" s="180">
        <f t="shared" si="32"/>
        <v>0</v>
      </c>
      <c r="W42" s="176">
        <f t="shared" si="33"/>
        <v>0</v>
      </c>
      <c r="X42" s="176">
        <f t="shared" si="34"/>
        <v>0</v>
      </c>
      <c r="Y42" s="176">
        <f t="shared" si="35"/>
        <v>0</v>
      </c>
      <c r="Z42" s="176">
        <f t="shared" si="36"/>
        <v>0</v>
      </c>
      <c r="AA42" s="176">
        <f t="shared" si="37"/>
        <v>0</v>
      </c>
      <c r="AB42" s="181">
        <f t="shared" si="38"/>
        <v>0</v>
      </c>
      <c r="AC42" s="182">
        <f t="shared" si="39"/>
        <v>0</v>
      </c>
      <c r="AD42" s="183">
        <f t="shared" si="40"/>
        <v>0</v>
      </c>
      <c r="AE42" s="176">
        <f t="shared" si="21"/>
        <v>0</v>
      </c>
    </row>
    <row r="43" spans="1:31" x14ac:dyDescent="0.25">
      <c r="A43" s="250">
        <f t="shared" si="22"/>
        <v>30</v>
      </c>
      <c r="B43" s="174"/>
      <c r="C43" s="173"/>
      <c r="D43" s="173"/>
      <c r="E43" s="175"/>
      <c r="F43" s="175"/>
      <c r="G43" s="173"/>
      <c r="H43" s="173"/>
      <c r="I43" s="173"/>
      <c r="J43" s="176">
        <f t="shared" si="24"/>
        <v>0</v>
      </c>
      <c r="K43" s="177">
        <f t="shared" si="25"/>
        <v>0.3</v>
      </c>
      <c r="L43" s="178">
        <f t="shared" si="26"/>
        <v>0</v>
      </c>
      <c r="M43" s="176">
        <f t="shared" si="5"/>
        <v>0</v>
      </c>
      <c r="N43" s="175">
        <f t="shared" si="27"/>
        <v>100</v>
      </c>
      <c r="O43" s="179">
        <f t="shared" si="0"/>
        <v>9000</v>
      </c>
      <c r="P43" s="176">
        <f t="shared" si="28"/>
        <v>0</v>
      </c>
      <c r="Q43" s="176">
        <f t="shared" si="1"/>
        <v>0</v>
      </c>
      <c r="R43" s="176">
        <f t="shared" si="29"/>
        <v>0</v>
      </c>
      <c r="S43" s="177">
        <f t="shared" si="30"/>
        <v>0</v>
      </c>
      <c r="T43" s="177" t="e" vm="1">
        <f t="shared" si="10"/>
        <v>#VALUE!</v>
      </c>
      <c r="U43" s="176">
        <f t="shared" si="31"/>
        <v>0</v>
      </c>
      <c r="V43" s="180">
        <f t="shared" si="32"/>
        <v>0</v>
      </c>
      <c r="W43" s="176">
        <f t="shared" si="33"/>
        <v>0</v>
      </c>
      <c r="X43" s="176">
        <f t="shared" si="34"/>
        <v>0</v>
      </c>
      <c r="Y43" s="176">
        <f t="shared" si="35"/>
        <v>0</v>
      </c>
      <c r="Z43" s="176">
        <f t="shared" si="36"/>
        <v>0</v>
      </c>
      <c r="AA43" s="176">
        <f t="shared" si="37"/>
        <v>0</v>
      </c>
      <c r="AB43" s="181">
        <f t="shared" si="38"/>
        <v>0</v>
      </c>
      <c r="AC43" s="182">
        <f t="shared" si="39"/>
        <v>0</v>
      </c>
      <c r="AD43" s="183">
        <f t="shared" si="40"/>
        <v>0</v>
      </c>
      <c r="AE43" s="176">
        <f t="shared" si="21"/>
        <v>0</v>
      </c>
    </row>
    <row r="44" spans="1:31" x14ac:dyDescent="0.25">
      <c r="A44" s="250">
        <f t="shared" si="22"/>
        <v>31</v>
      </c>
      <c r="B44" s="174"/>
      <c r="C44" s="173"/>
      <c r="D44" s="173"/>
      <c r="E44" s="175"/>
      <c r="F44" s="175"/>
      <c r="G44" s="173"/>
      <c r="H44" s="173"/>
      <c r="I44" s="173"/>
      <c r="J44" s="176">
        <f t="shared" si="24"/>
        <v>0</v>
      </c>
      <c r="K44" s="177">
        <f t="shared" si="25"/>
        <v>0.3</v>
      </c>
      <c r="L44" s="178">
        <f t="shared" si="26"/>
        <v>0</v>
      </c>
      <c r="M44" s="176">
        <f t="shared" si="5"/>
        <v>0</v>
      </c>
      <c r="N44" s="175">
        <f t="shared" si="27"/>
        <v>100</v>
      </c>
      <c r="O44" s="179">
        <f t="shared" si="0"/>
        <v>9000</v>
      </c>
      <c r="P44" s="176">
        <f t="shared" si="28"/>
        <v>0</v>
      </c>
      <c r="Q44" s="176">
        <f t="shared" si="1"/>
        <v>0</v>
      </c>
      <c r="R44" s="176">
        <f t="shared" si="29"/>
        <v>0</v>
      </c>
      <c r="S44" s="177">
        <f t="shared" si="30"/>
        <v>0</v>
      </c>
      <c r="T44" s="177" t="e" vm="1">
        <f t="shared" si="10"/>
        <v>#VALUE!</v>
      </c>
      <c r="U44" s="176">
        <f t="shared" si="31"/>
        <v>0</v>
      </c>
      <c r="V44" s="180">
        <f t="shared" si="32"/>
        <v>0</v>
      </c>
      <c r="W44" s="176">
        <f t="shared" si="33"/>
        <v>0</v>
      </c>
      <c r="X44" s="176">
        <f t="shared" si="34"/>
        <v>0</v>
      </c>
      <c r="Y44" s="176">
        <f t="shared" si="35"/>
        <v>0</v>
      </c>
      <c r="Z44" s="176">
        <f t="shared" si="36"/>
        <v>0</v>
      </c>
      <c r="AA44" s="176">
        <f t="shared" si="37"/>
        <v>0</v>
      </c>
      <c r="AB44" s="181">
        <f t="shared" si="38"/>
        <v>0</v>
      </c>
      <c r="AC44" s="182">
        <f t="shared" si="39"/>
        <v>0</v>
      </c>
      <c r="AD44" s="183">
        <f t="shared" si="40"/>
        <v>0</v>
      </c>
      <c r="AE44" s="176">
        <f t="shared" si="21"/>
        <v>0</v>
      </c>
    </row>
    <row r="45" spans="1:31" x14ac:dyDescent="0.25">
      <c r="A45" s="250">
        <f t="shared" si="22"/>
        <v>32</v>
      </c>
      <c r="B45" s="174"/>
      <c r="C45" s="173"/>
      <c r="D45" s="173"/>
      <c r="E45" s="175"/>
      <c r="F45" s="175"/>
      <c r="G45" s="173"/>
      <c r="H45" s="173"/>
      <c r="I45" s="173"/>
      <c r="J45" s="176">
        <f t="shared" si="24"/>
        <v>0</v>
      </c>
      <c r="K45" s="177">
        <f t="shared" si="25"/>
        <v>0.3</v>
      </c>
      <c r="L45" s="178">
        <f t="shared" si="26"/>
        <v>0</v>
      </c>
      <c r="M45" s="176">
        <f t="shared" si="5"/>
        <v>0</v>
      </c>
      <c r="N45" s="175">
        <f t="shared" si="27"/>
        <v>100</v>
      </c>
      <c r="O45" s="179">
        <f t="shared" si="0"/>
        <v>9000</v>
      </c>
      <c r="P45" s="176">
        <f t="shared" si="28"/>
        <v>0</v>
      </c>
      <c r="Q45" s="176">
        <f t="shared" si="1"/>
        <v>0</v>
      </c>
      <c r="R45" s="176">
        <f t="shared" si="29"/>
        <v>0</v>
      </c>
      <c r="S45" s="177">
        <f t="shared" si="30"/>
        <v>0</v>
      </c>
      <c r="T45" s="177" t="e" vm="1">
        <f t="shared" si="10"/>
        <v>#VALUE!</v>
      </c>
      <c r="U45" s="176">
        <f t="shared" si="31"/>
        <v>0</v>
      </c>
      <c r="V45" s="180">
        <f t="shared" si="32"/>
        <v>0</v>
      </c>
      <c r="W45" s="176">
        <f t="shared" si="33"/>
        <v>0</v>
      </c>
      <c r="X45" s="176">
        <f t="shared" si="34"/>
        <v>0</v>
      </c>
      <c r="Y45" s="176">
        <f t="shared" si="35"/>
        <v>0</v>
      </c>
      <c r="Z45" s="176">
        <f t="shared" si="36"/>
        <v>0</v>
      </c>
      <c r="AA45" s="176">
        <f t="shared" si="37"/>
        <v>0</v>
      </c>
      <c r="AB45" s="181">
        <f t="shared" si="38"/>
        <v>0</v>
      </c>
      <c r="AC45" s="182">
        <f t="shared" si="39"/>
        <v>0</v>
      </c>
      <c r="AD45" s="183">
        <f t="shared" si="40"/>
        <v>0</v>
      </c>
      <c r="AE45" s="176">
        <f t="shared" si="21"/>
        <v>0</v>
      </c>
    </row>
    <row r="46" spans="1:31" x14ac:dyDescent="0.25">
      <c r="A46" s="250">
        <f t="shared" si="22"/>
        <v>33</v>
      </c>
      <c r="B46" s="174"/>
      <c r="C46" s="173"/>
      <c r="D46" s="173"/>
      <c r="E46" s="175"/>
      <c r="F46" s="175"/>
      <c r="G46" s="173"/>
      <c r="H46" s="173"/>
      <c r="I46" s="173"/>
      <c r="J46" s="176">
        <f t="shared" si="24"/>
        <v>0</v>
      </c>
      <c r="K46" s="177">
        <f t="shared" si="25"/>
        <v>0.3</v>
      </c>
      <c r="L46" s="178">
        <f t="shared" si="26"/>
        <v>0</v>
      </c>
      <c r="M46" s="176">
        <f t="shared" si="5"/>
        <v>0</v>
      </c>
      <c r="N46" s="175">
        <f t="shared" si="27"/>
        <v>100</v>
      </c>
      <c r="O46" s="179">
        <f t="shared" si="0"/>
        <v>9000</v>
      </c>
      <c r="P46" s="176">
        <f t="shared" si="28"/>
        <v>0</v>
      </c>
      <c r="Q46" s="176">
        <f t="shared" si="1"/>
        <v>0</v>
      </c>
      <c r="R46" s="176">
        <f t="shared" si="29"/>
        <v>0</v>
      </c>
      <c r="S46" s="177">
        <f t="shared" si="30"/>
        <v>0</v>
      </c>
      <c r="T46" s="177" t="e" vm="1">
        <f>IF(TRUNC(E46)&gt;1,HLOOKUP(D46,C$86:I$87,2),IF(D46&lt;=980,HLOOKUP(D46+10*(E46-1),B$74:AG$75,2),HLOOKUP(D46+10*(E46-1),B$76:AG$77,2)))</f>
        <v>#VALUE!</v>
      </c>
      <c r="U46" s="176">
        <f t="shared" si="31"/>
        <v>0</v>
      </c>
      <c r="V46" s="180">
        <f t="shared" si="32"/>
        <v>0</v>
      </c>
      <c r="W46" s="176">
        <f t="shared" si="33"/>
        <v>0</v>
      </c>
      <c r="X46" s="176">
        <f t="shared" si="34"/>
        <v>0</v>
      </c>
      <c r="Y46" s="176">
        <f t="shared" si="35"/>
        <v>0</v>
      </c>
      <c r="Z46" s="176">
        <f t="shared" si="36"/>
        <v>0</v>
      </c>
      <c r="AA46" s="176">
        <f t="shared" si="37"/>
        <v>0</v>
      </c>
      <c r="AB46" s="181">
        <f t="shared" si="38"/>
        <v>0</v>
      </c>
      <c r="AC46" s="182">
        <f t="shared" si="39"/>
        <v>0</v>
      </c>
      <c r="AD46" s="183">
        <f t="shared" si="40"/>
        <v>0</v>
      </c>
      <c r="AE46" s="176">
        <f t="shared" si="21"/>
        <v>0</v>
      </c>
    </row>
    <row r="47" spans="1:31" x14ac:dyDescent="0.25">
      <c r="A47" s="250">
        <f t="shared" si="22"/>
        <v>34</v>
      </c>
      <c r="B47" s="174"/>
      <c r="C47" s="173"/>
      <c r="D47" s="173"/>
      <c r="E47" s="175"/>
      <c r="F47" s="175"/>
      <c r="G47" s="173"/>
      <c r="H47" s="173"/>
      <c r="I47" s="173"/>
      <c r="J47" s="176">
        <f t="shared" si="24"/>
        <v>0</v>
      </c>
      <c r="K47" s="177">
        <f t="shared" si="25"/>
        <v>0.3</v>
      </c>
      <c r="L47" s="178">
        <f t="shared" si="26"/>
        <v>0</v>
      </c>
      <c r="M47" s="176">
        <f t="shared" si="5"/>
        <v>0</v>
      </c>
      <c r="N47" s="175">
        <f t="shared" si="27"/>
        <v>100</v>
      </c>
      <c r="O47" s="179">
        <f t="shared" si="0"/>
        <v>9000</v>
      </c>
      <c r="P47" s="176">
        <f t="shared" si="28"/>
        <v>0</v>
      </c>
      <c r="Q47" s="176">
        <f t="shared" si="1"/>
        <v>0</v>
      </c>
      <c r="R47" s="176">
        <f t="shared" si="29"/>
        <v>0</v>
      </c>
      <c r="S47" s="177">
        <f t="shared" si="30"/>
        <v>0</v>
      </c>
      <c r="T47" s="177" t="e" vm="1">
        <f t="shared" si="10"/>
        <v>#VALUE!</v>
      </c>
      <c r="U47" s="176">
        <f t="shared" si="31"/>
        <v>0</v>
      </c>
      <c r="V47" s="180">
        <f t="shared" si="32"/>
        <v>0</v>
      </c>
      <c r="W47" s="176">
        <f t="shared" si="33"/>
        <v>0</v>
      </c>
      <c r="X47" s="176">
        <f t="shared" si="34"/>
        <v>0</v>
      </c>
      <c r="Y47" s="176">
        <f t="shared" si="35"/>
        <v>0</v>
      </c>
      <c r="Z47" s="176">
        <f t="shared" si="36"/>
        <v>0</v>
      </c>
      <c r="AA47" s="176">
        <f t="shared" si="37"/>
        <v>0</v>
      </c>
      <c r="AB47" s="181">
        <f t="shared" si="38"/>
        <v>0</v>
      </c>
      <c r="AC47" s="182">
        <f t="shared" si="39"/>
        <v>0</v>
      </c>
      <c r="AD47" s="183">
        <f t="shared" si="40"/>
        <v>0</v>
      </c>
      <c r="AE47" s="176">
        <f t="shared" si="21"/>
        <v>0</v>
      </c>
    </row>
    <row r="48" spans="1:31" x14ac:dyDescent="0.25">
      <c r="A48" s="250">
        <f t="shared" si="22"/>
        <v>35</v>
      </c>
      <c r="B48" s="174"/>
      <c r="C48" s="173"/>
      <c r="D48" s="173"/>
      <c r="E48" s="175"/>
      <c r="F48" s="175"/>
      <c r="G48" s="173"/>
      <c r="H48" s="173"/>
      <c r="I48" s="173"/>
      <c r="J48" s="176">
        <f t="shared" ref="J48:J53" si="41">0.00125*D48</f>
        <v>0</v>
      </c>
      <c r="K48" s="177">
        <f t="shared" ref="K48:K53" si="42">IF(F48&lt;2,F$4,G48-(1.12*D48*0.001)-F$5)</f>
        <v>0.3</v>
      </c>
      <c r="L48" s="178">
        <f t="shared" ref="L48:L53" si="43">(F48=2.1)*IF(G48&lt;3.1,J48+3*S$6,J48+0.6+2*S$6+G48*0.05)+(F48=2.2)*IF(G48&lt;3.1,J48+1.5*S$6+P$7/2,J48+0.3+S$6+G48*0.025)</f>
        <v>0</v>
      </c>
      <c r="M48" s="176">
        <f t="shared" si="5"/>
        <v>0</v>
      </c>
      <c r="N48" s="175">
        <f t="shared" ref="N48:N53" si="44">P$3</f>
        <v>100</v>
      </c>
      <c r="O48" s="179">
        <f t="shared" si="0"/>
        <v>9000</v>
      </c>
      <c r="P48" s="176">
        <f t="shared" ref="P48:P53" si="45">(M48*G48+(G48&gt;1.219)*(F48=1.1)*(G48-1.22)^2*P$6+(F48=1.2)*(G48-1.22)^2/2*P$6)*(C48&gt;0)</f>
        <v>0</v>
      </c>
      <c r="Q48" s="176">
        <f t="shared" si="1"/>
        <v>0</v>
      </c>
      <c r="R48" s="176">
        <f t="shared" ref="R48:R53" si="46">IF(Q48&gt;F$8,F$8,Q48)*((F48=1.1)*1+(F48=1.2)*0.95+(F48=2.1)*0.95+(F48=2.2)*1)</f>
        <v>0</v>
      </c>
      <c r="S48" s="177">
        <f t="shared" ref="S48:S53" si="47">IF(C48=0,0,IF(OR(F48=1.2,F48=2.2),O48/R48/2,O48/R48))</f>
        <v>0</v>
      </c>
      <c r="T48" s="177" t="e" vm="1">
        <f t="shared" si="10"/>
        <v>#VALUE!</v>
      </c>
      <c r="U48" s="176">
        <f t="shared" ref="U48:U53" si="48">(IF(C48=0,0,IF(TRUNC(E48)=1,T48*C48*V$5,T48*C48*V$3)))*IF(P$4=1,1,1/3.28)</f>
        <v>0</v>
      </c>
      <c r="V48" s="180">
        <f t="shared" ref="V48:V53" si="49">((M48*0.6*J48+0.005)-PI()*J48^2/8)*C48*2*I$4*IF(P$4=1,1,1/3.28)</f>
        <v>0</v>
      </c>
      <c r="W48" s="176">
        <f t="shared" ref="W48:W53" si="50">(((0.5*J48+K48)*M48)-(PI()*J48^2/8))*C48*2*I$6*IF(P$4=1,1,1/3.28)</f>
        <v>0</v>
      </c>
      <c r="X48" s="176">
        <f t="shared" ref="X48:X53" si="51">H48+U48+V48+W48</f>
        <v>0</v>
      </c>
      <c r="Y48" s="176">
        <f t="shared" ref="Y48:Y53" si="52">I48+S48*C48*IF(P$4=1,1,1/3.28)</f>
        <v>0</v>
      </c>
      <c r="Z48" s="176">
        <f t="shared" ref="Z48:Z53" si="53">((V48/I$4+W48/I$6)/2+PI()*J48^2/4*C48*IF(P$4=1,1,1/3.28))*I$7</f>
        <v>0</v>
      </c>
      <c r="AA48" s="176">
        <f t="shared" ref="AA48:AA53" si="54">ROUND(IF(C48=0,0,(X48+Y48+Z48)/C48),2)</f>
        <v>0</v>
      </c>
      <c r="AB48" s="181">
        <f t="shared" ref="AB48:AB53" si="55">X48+Y48+Z48</f>
        <v>0</v>
      </c>
      <c r="AC48" s="182">
        <f t="shared" ref="AC48:AC53" si="56">P48*C48*IF(P$4=1,1,1/3.28)</f>
        <v>0</v>
      </c>
      <c r="AD48" s="183">
        <f t="shared" ref="AD48:AD53" si="57">IF(C48=0,0,C48/((F48-TRUNC(F48))*10)*IF(P$4=1,1,1/3.28))</f>
        <v>0</v>
      </c>
      <c r="AE48" s="176">
        <f t="shared" si="21"/>
        <v>0</v>
      </c>
    </row>
    <row r="49" spans="1:31" x14ac:dyDescent="0.25">
      <c r="A49" s="250">
        <f t="shared" si="22"/>
        <v>36</v>
      </c>
      <c r="B49" s="174"/>
      <c r="C49" s="173"/>
      <c r="D49" s="173"/>
      <c r="E49" s="175"/>
      <c r="F49" s="175"/>
      <c r="G49" s="173"/>
      <c r="H49" s="173"/>
      <c r="I49" s="173"/>
      <c r="J49" s="176">
        <f t="shared" si="41"/>
        <v>0</v>
      </c>
      <c r="K49" s="177">
        <f t="shared" si="42"/>
        <v>0.3</v>
      </c>
      <c r="L49" s="178">
        <f t="shared" si="43"/>
        <v>0</v>
      </c>
      <c r="M49" s="176">
        <f t="shared" si="5"/>
        <v>0</v>
      </c>
      <c r="N49" s="175">
        <f t="shared" si="44"/>
        <v>100</v>
      </c>
      <c r="O49" s="179">
        <f t="shared" si="0"/>
        <v>9000</v>
      </c>
      <c r="P49" s="176">
        <f t="shared" si="45"/>
        <v>0</v>
      </c>
      <c r="Q49" s="176">
        <f t="shared" si="1"/>
        <v>0</v>
      </c>
      <c r="R49" s="176">
        <f t="shared" si="46"/>
        <v>0</v>
      </c>
      <c r="S49" s="177">
        <f t="shared" si="47"/>
        <v>0</v>
      </c>
      <c r="T49" s="177" t="e" vm="1">
        <f t="shared" si="10"/>
        <v>#VALUE!</v>
      </c>
      <c r="U49" s="176">
        <f t="shared" si="48"/>
        <v>0</v>
      </c>
      <c r="V49" s="180">
        <f t="shared" si="49"/>
        <v>0</v>
      </c>
      <c r="W49" s="176">
        <f t="shared" si="50"/>
        <v>0</v>
      </c>
      <c r="X49" s="176">
        <f t="shared" si="51"/>
        <v>0</v>
      </c>
      <c r="Y49" s="176">
        <f t="shared" si="52"/>
        <v>0</v>
      </c>
      <c r="Z49" s="176">
        <f t="shared" si="53"/>
        <v>0</v>
      </c>
      <c r="AA49" s="176">
        <f t="shared" si="54"/>
        <v>0</v>
      </c>
      <c r="AB49" s="181">
        <f t="shared" si="55"/>
        <v>0</v>
      </c>
      <c r="AC49" s="182">
        <f t="shared" si="56"/>
        <v>0</v>
      </c>
      <c r="AD49" s="183">
        <f t="shared" si="57"/>
        <v>0</v>
      </c>
      <c r="AE49" s="176">
        <f t="shared" si="21"/>
        <v>0</v>
      </c>
    </row>
    <row r="50" spans="1:31" x14ac:dyDescent="0.25">
      <c r="A50" s="250">
        <f t="shared" si="22"/>
        <v>37</v>
      </c>
      <c r="B50" s="174"/>
      <c r="C50" s="173"/>
      <c r="D50" s="173"/>
      <c r="E50" s="175"/>
      <c r="F50" s="175"/>
      <c r="G50" s="173"/>
      <c r="H50" s="173"/>
      <c r="I50" s="173"/>
      <c r="J50" s="176">
        <f t="shared" si="41"/>
        <v>0</v>
      </c>
      <c r="K50" s="177">
        <f t="shared" si="42"/>
        <v>0.3</v>
      </c>
      <c r="L50" s="178">
        <f t="shared" si="43"/>
        <v>0</v>
      </c>
      <c r="M50" s="176">
        <f t="shared" si="5"/>
        <v>0</v>
      </c>
      <c r="N50" s="175">
        <f t="shared" si="44"/>
        <v>100</v>
      </c>
      <c r="O50" s="179">
        <f t="shared" si="0"/>
        <v>9000</v>
      </c>
      <c r="P50" s="176">
        <f t="shared" si="45"/>
        <v>0</v>
      </c>
      <c r="Q50" s="176">
        <f t="shared" si="1"/>
        <v>0</v>
      </c>
      <c r="R50" s="176">
        <f t="shared" si="46"/>
        <v>0</v>
      </c>
      <c r="S50" s="177">
        <f t="shared" si="47"/>
        <v>0</v>
      </c>
      <c r="T50" s="177" t="e" vm="1">
        <f t="shared" si="10"/>
        <v>#VALUE!</v>
      </c>
      <c r="U50" s="176">
        <f t="shared" si="48"/>
        <v>0</v>
      </c>
      <c r="V50" s="180">
        <f t="shared" si="49"/>
        <v>0</v>
      </c>
      <c r="W50" s="176">
        <f t="shared" si="50"/>
        <v>0</v>
      </c>
      <c r="X50" s="176">
        <f t="shared" si="51"/>
        <v>0</v>
      </c>
      <c r="Y50" s="176">
        <f t="shared" si="52"/>
        <v>0</v>
      </c>
      <c r="Z50" s="176">
        <f t="shared" si="53"/>
        <v>0</v>
      </c>
      <c r="AA50" s="176">
        <f t="shared" si="54"/>
        <v>0</v>
      </c>
      <c r="AB50" s="181">
        <f t="shared" si="55"/>
        <v>0</v>
      </c>
      <c r="AC50" s="182">
        <f t="shared" si="56"/>
        <v>0</v>
      </c>
      <c r="AD50" s="183">
        <f t="shared" si="57"/>
        <v>0</v>
      </c>
      <c r="AE50" s="176">
        <f t="shared" si="21"/>
        <v>0</v>
      </c>
    </row>
    <row r="51" spans="1:31" x14ac:dyDescent="0.25">
      <c r="A51" s="250">
        <f t="shared" si="22"/>
        <v>38</v>
      </c>
      <c r="B51" s="174"/>
      <c r="C51" s="173"/>
      <c r="D51" s="173"/>
      <c r="E51" s="175"/>
      <c r="F51" s="175"/>
      <c r="G51" s="173"/>
      <c r="H51" s="173"/>
      <c r="I51" s="173"/>
      <c r="J51" s="176">
        <f t="shared" si="41"/>
        <v>0</v>
      </c>
      <c r="K51" s="177">
        <f t="shared" si="42"/>
        <v>0.3</v>
      </c>
      <c r="L51" s="178">
        <f t="shared" si="43"/>
        <v>0</v>
      </c>
      <c r="M51" s="176">
        <f>(F51=1.1)*IF((J51+2*P$9)&lt;F$3,F$3,J51+2*P$9)+(F51=1.2)*(J51+P$9+P$7/2)+(F51=2.1)*IF(L51&lt;F$3,F$3,L51)+(F51=2.2)*L51</f>
        <v>0</v>
      </c>
      <c r="N51" s="175">
        <f t="shared" si="44"/>
        <v>100</v>
      </c>
      <c r="O51" s="179">
        <f t="shared" si="0"/>
        <v>9000</v>
      </c>
      <c r="P51" s="176">
        <f t="shared" si="45"/>
        <v>0</v>
      </c>
      <c r="Q51" s="176">
        <f t="shared" si="1"/>
        <v>0</v>
      </c>
      <c r="R51" s="176">
        <f t="shared" si="46"/>
        <v>0</v>
      </c>
      <c r="S51" s="177">
        <f t="shared" si="47"/>
        <v>0</v>
      </c>
      <c r="T51" s="177" t="e" vm="1">
        <f t="shared" si="10"/>
        <v>#VALUE!</v>
      </c>
      <c r="U51" s="176">
        <f t="shared" si="48"/>
        <v>0</v>
      </c>
      <c r="V51" s="180">
        <f t="shared" si="49"/>
        <v>0</v>
      </c>
      <c r="W51" s="176">
        <f t="shared" si="50"/>
        <v>0</v>
      </c>
      <c r="X51" s="176">
        <f t="shared" si="51"/>
        <v>0</v>
      </c>
      <c r="Y51" s="176">
        <f t="shared" si="52"/>
        <v>0</v>
      </c>
      <c r="Z51" s="176">
        <f t="shared" si="53"/>
        <v>0</v>
      </c>
      <c r="AA51" s="176">
        <f t="shared" si="54"/>
        <v>0</v>
      </c>
      <c r="AB51" s="181">
        <f t="shared" si="55"/>
        <v>0</v>
      </c>
      <c r="AC51" s="182">
        <f t="shared" si="56"/>
        <v>0</v>
      </c>
      <c r="AD51" s="183">
        <f t="shared" si="57"/>
        <v>0</v>
      </c>
      <c r="AE51" s="176">
        <f t="shared" si="21"/>
        <v>0</v>
      </c>
    </row>
    <row r="52" spans="1:31" x14ac:dyDescent="0.25">
      <c r="A52" s="250">
        <f t="shared" si="22"/>
        <v>39</v>
      </c>
      <c r="B52" s="174" t="s">
        <v>383</v>
      </c>
      <c r="C52" s="173"/>
      <c r="D52" s="173"/>
      <c r="E52" s="175"/>
      <c r="F52" s="175"/>
      <c r="G52" s="173"/>
      <c r="H52" s="173">
        <f>15*C57</f>
        <v>0</v>
      </c>
      <c r="I52" s="173"/>
      <c r="J52" s="176">
        <f t="shared" si="41"/>
        <v>0</v>
      </c>
      <c r="K52" s="177">
        <f t="shared" si="42"/>
        <v>0.3</v>
      </c>
      <c r="L52" s="178">
        <f t="shared" si="43"/>
        <v>0</v>
      </c>
      <c r="M52" s="176">
        <f t="shared" si="5"/>
        <v>0</v>
      </c>
      <c r="N52" s="175">
        <f t="shared" si="44"/>
        <v>100</v>
      </c>
      <c r="O52" s="179">
        <f t="shared" si="0"/>
        <v>9000</v>
      </c>
      <c r="P52" s="176">
        <f t="shared" si="45"/>
        <v>0</v>
      </c>
      <c r="Q52" s="176">
        <f t="shared" si="1"/>
        <v>0</v>
      </c>
      <c r="R52" s="176">
        <f t="shared" si="46"/>
        <v>0</v>
      </c>
      <c r="S52" s="177">
        <f t="shared" si="47"/>
        <v>0</v>
      </c>
      <c r="T52" s="177" t="e" vm="1">
        <f t="shared" si="10"/>
        <v>#VALUE!</v>
      </c>
      <c r="U52" s="176">
        <f t="shared" si="48"/>
        <v>0</v>
      </c>
      <c r="V52" s="180">
        <f t="shared" si="49"/>
        <v>0</v>
      </c>
      <c r="W52" s="176">
        <f t="shared" si="50"/>
        <v>0</v>
      </c>
      <c r="X52" s="176">
        <f t="shared" si="51"/>
        <v>0</v>
      </c>
      <c r="Y52" s="176">
        <f t="shared" si="52"/>
        <v>0</v>
      </c>
      <c r="Z52" s="176">
        <f t="shared" si="53"/>
        <v>0</v>
      </c>
      <c r="AA52" s="176">
        <f t="shared" si="54"/>
        <v>0</v>
      </c>
      <c r="AB52" s="181">
        <f t="shared" si="55"/>
        <v>0</v>
      </c>
      <c r="AC52" s="182">
        <f t="shared" si="56"/>
        <v>0</v>
      </c>
      <c r="AD52" s="183">
        <f t="shared" si="57"/>
        <v>0</v>
      </c>
      <c r="AE52" s="176">
        <f t="shared" si="21"/>
        <v>0</v>
      </c>
    </row>
    <row r="53" spans="1:31" x14ac:dyDescent="0.25">
      <c r="A53" s="250">
        <f t="shared" si="22"/>
        <v>40</v>
      </c>
      <c r="B53" s="174" t="s">
        <v>379</v>
      </c>
      <c r="C53" s="173"/>
      <c r="D53" s="173"/>
      <c r="E53" s="175"/>
      <c r="F53" s="175"/>
      <c r="G53" s="173"/>
      <c r="H53" s="173">
        <v>5000</v>
      </c>
      <c r="I53" s="173"/>
      <c r="J53" s="176">
        <f t="shared" si="41"/>
        <v>0</v>
      </c>
      <c r="K53" s="177">
        <f t="shared" si="42"/>
        <v>0.3</v>
      </c>
      <c r="L53" s="178">
        <f t="shared" si="43"/>
        <v>0</v>
      </c>
      <c r="M53" s="176">
        <f t="shared" si="5"/>
        <v>0</v>
      </c>
      <c r="N53" s="175">
        <f t="shared" si="44"/>
        <v>100</v>
      </c>
      <c r="O53" s="179">
        <f t="shared" si="0"/>
        <v>9000</v>
      </c>
      <c r="P53" s="176">
        <f t="shared" si="45"/>
        <v>0</v>
      </c>
      <c r="Q53" s="176">
        <f t="shared" si="1"/>
        <v>0</v>
      </c>
      <c r="R53" s="176">
        <f t="shared" si="46"/>
        <v>0</v>
      </c>
      <c r="S53" s="177">
        <f t="shared" si="47"/>
        <v>0</v>
      </c>
      <c r="T53" s="177" t="e" vm="1">
        <f t="shared" si="10"/>
        <v>#VALUE!</v>
      </c>
      <c r="U53" s="176">
        <f t="shared" si="48"/>
        <v>0</v>
      </c>
      <c r="V53" s="180">
        <f t="shared" si="49"/>
        <v>0</v>
      </c>
      <c r="W53" s="176">
        <f t="shared" si="50"/>
        <v>0</v>
      </c>
      <c r="X53" s="176">
        <f t="shared" si="51"/>
        <v>5000</v>
      </c>
      <c r="Y53" s="176">
        <f t="shared" si="52"/>
        <v>0</v>
      </c>
      <c r="Z53" s="176">
        <f t="shared" si="53"/>
        <v>0</v>
      </c>
      <c r="AA53" s="176">
        <f t="shared" si="54"/>
        <v>0</v>
      </c>
      <c r="AB53" s="181">
        <f t="shared" si="55"/>
        <v>5000</v>
      </c>
      <c r="AC53" s="182">
        <f t="shared" si="56"/>
        <v>0</v>
      </c>
      <c r="AD53" s="183">
        <f t="shared" si="57"/>
        <v>0</v>
      </c>
      <c r="AE53" s="176">
        <f t="shared" si="21"/>
        <v>5500</v>
      </c>
    </row>
    <row r="54" spans="1:31" s="195" customFormat="1" ht="15.75" thickBot="1" x14ac:dyDescent="0.3">
      <c r="A54" s="163">
        <f t="shared" si="22"/>
        <v>41</v>
      </c>
      <c r="B54" s="184" t="s">
        <v>384</v>
      </c>
      <c r="C54" s="185"/>
      <c r="D54" s="185"/>
      <c r="E54" s="186"/>
      <c r="F54" s="186"/>
      <c r="G54" s="185"/>
      <c r="H54" s="185">
        <v>5000</v>
      </c>
      <c r="I54" s="185"/>
      <c r="J54" s="187">
        <f>0.00125*D54</f>
        <v>0</v>
      </c>
      <c r="K54" s="188">
        <f>IF(F54&lt;2,F$4,G54-(1.12*D54*0.001)-F$5)</f>
        <v>0.3</v>
      </c>
      <c r="L54" s="189">
        <f>(F54=2.1)*IF(G54&lt;3.1,J54+3*S$6,J54+0.6+2*S$6+G54*0.05)+(F54=2.2)*IF(G54&lt;3.1,J54+1.5*S$6+P$7/2,J54+0.3+S$6+G54*0.025)</f>
        <v>0</v>
      </c>
      <c r="M54" s="176">
        <f t="shared" si="5"/>
        <v>0</v>
      </c>
      <c r="N54" s="186">
        <f>P$3</f>
        <v>100</v>
      </c>
      <c r="O54" s="190">
        <f t="shared" si="0"/>
        <v>9000</v>
      </c>
      <c r="P54" s="187">
        <f>(M54*G54+(G54&gt;1.219)*(F54=1.1)*(G54-1.22)^2*P$6+(F54=1.2)*(G54-1.22)^2/2*P$6)*(C54&gt;0)</f>
        <v>0</v>
      </c>
      <c r="Q54" s="187">
        <f t="shared" si="1"/>
        <v>0</v>
      </c>
      <c r="R54" s="187">
        <f>IF(Q54&gt;F$8,F$8,Q54)*((F54=1.1)*1+(F54=1.2)*0.95+(F54=2.1)*0.95+(F54=2.2)*1)</f>
        <v>0</v>
      </c>
      <c r="S54" s="188">
        <f>IF(C54=0,0,IF(OR(F54=1.2,F54=2.2),O54/R54/2,O54/R54))</f>
        <v>0</v>
      </c>
      <c r="T54" s="177" t="e" vm="1">
        <f t="shared" si="10"/>
        <v>#VALUE!</v>
      </c>
      <c r="U54" s="187">
        <f>(IF(C54=0,0,IF(TRUNC(E54)=1,T54*C54*V$5,T54*C54*V$3)))*IF(P$4=1,1,1/3.28)</f>
        <v>0</v>
      </c>
      <c r="V54" s="191">
        <f>((M54*0.6*J54+0.005)-PI()*J54^2/8)*C54*2*I$4*IF(P$4=1,1,1/3.28)</f>
        <v>0</v>
      </c>
      <c r="W54" s="187">
        <f>(((0.5*J54+K54)*M54)-(PI()*J54^2/8))*C54*2*I$6*IF(P$4=1,1,1/3.28)</f>
        <v>0</v>
      </c>
      <c r="X54" s="187">
        <f>H54+U54+V54+W54</f>
        <v>5000</v>
      </c>
      <c r="Y54" s="187">
        <f>I54+S54*C54*IF(P$4=1,1,1/3.28)</f>
        <v>0</v>
      </c>
      <c r="Z54" s="187">
        <f>((V54/I$4+W54/I$6)/2+PI()*J54^2/4*C54*IF(P$4=1,1,1/3.28))*I$7</f>
        <v>0</v>
      </c>
      <c r="AA54" s="187">
        <f>ROUND(IF(C54=0,0,(X54+Y54+Z54)/C54),2)</f>
        <v>0</v>
      </c>
      <c r="AB54" s="192">
        <f>X54+Y54+Z54</f>
        <v>5000</v>
      </c>
      <c r="AC54" s="193">
        <f>P54*C54*IF(P$4=1,1,1/3.28)</f>
        <v>0</v>
      </c>
      <c r="AD54" s="194">
        <f>IF(C54=0,0,C54/((F54-TRUNC(F54))*10)*IF(P$4=1,1,1/3.28))</f>
        <v>0</v>
      </c>
      <c r="AE54" s="187">
        <f t="shared" si="21"/>
        <v>5500</v>
      </c>
    </row>
    <row r="56" spans="1:31" s="197" customFormat="1" x14ac:dyDescent="0.25">
      <c r="A56" s="251"/>
      <c r="B56" s="196" t="s">
        <v>147</v>
      </c>
      <c r="H56" s="198">
        <f>SUM(H13:H55)</f>
        <v>10000</v>
      </c>
      <c r="I56" s="198">
        <f>SUM(I13:I55)</f>
        <v>0</v>
      </c>
      <c r="U56" s="199">
        <f>SUM(U14:U54)</f>
        <v>0</v>
      </c>
      <c r="V56" s="199">
        <f>SUM(V13:V54)</f>
        <v>0</v>
      </c>
      <c r="W56" s="199">
        <f>SUM(W13:W55)</f>
        <v>0</v>
      </c>
      <c r="X56" s="199">
        <f>SUM(X14:X54)</f>
        <v>10000</v>
      </c>
      <c r="Y56" s="199">
        <f>SUM(Y13:Y55)</f>
        <v>0</v>
      </c>
      <c r="Z56" s="199">
        <f>SUM(Z14:Z54)</f>
        <v>0</v>
      </c>
      <c r="AB56" s="200">
        <f>SUM(AB14:AB54)</f>
        <v>10000</v>
      </c>
      <c r="AC56" s="196"/>
      <c r="AD56" s="196"/>
      <c r="AE56" s="199">
        <f>SUM(AE14:AE54)</f>
        <v>11000</v>
      </c>
    </row>
    <row r="57" spans="1:31" s="197" customFormat="1" x14ac:dyDescent="0.25">
      <c r="A57" s="252"/>
      <c r="B57" s="201" t="s">
        <v>148</v>
      </c>
      <c r="C57" s="196">
        <f>SUM(C14:C54)</f>
        <v>0</v>
      </c>
      <c r="D57" s="202" t="str">
        <f>IF(P4=1,"METERS","FEET")</f>
        <v>METERS</v>
      </c>
      <c r="V57" s="203">
        <f>V56/I$4</f>
        <v>0</v>
      </c>
      <c r="W57" s="204">
        <f>W56/I$6</f>
        <v>0</v>
      </c>
      <c r="Z57" s="205">
        <f>Z56/I$7</f>
        <v>0</v>
      </c>
      <c r="AC57" s="196">
        <f>SUM(AC13:AC54)</f>
        <v>0</v>
      </c>
      <c r="AD57" s="198">
        <f>SUM(AD13:AD54)</f>
        <v>0</v>
      </c>
      <c r="AE57" s="203"/>
    </row>
    <row r="58" spans="1:31" ht="15.75" thickBot="1" x14ac:dyDescent="0.3"/>
    <row r="59" spans="1:31" ht="15.75" thickBot="1" x14ac:dyDescent="0.3">
      <c r="Y59" s="206"/>
      <c r="Z59" s="207"/>
      <c r="AA59" s="207"/>
      <c r="AB59" s="208"/>
    </row>
    <row r="60" spans="1:31" ht="15.75" thickBot="1" x14ac:dyDescent="0.3">
      <c r="B60" s="419" t="s">
        <v>369</v>
      </c>
      <c r="C60" s="423">
        <f>SUMIFS(U14:U54,E14:E54,"&gt;1",E14:E54,"&lt;2")</f>
        <v>0</v>
      </c>
      <c r="D60" s="141"/>
      <c r="F60" s="172"/>
      <c r="G60" s="411"/>
      <c r="H60" s="413" t="s">
        <v>149</v>
      </c>
      <c r="I60" s="157">
        <f>AC57</f>
        <v>0</v>
      </c>
      <c r="K60" s="135"/>
      <c r="M60" s="416"/>
      <c r="N60" s="416" t="s">
        <v>150</v>
      </c>
      <c r="O60" s="426">
        <f>IF(AC57=0,0,Y56/AC57)</f>
        <v>0</v>
      </c>
      <c r="X60" s="135"/>
      <c r="Y60" s="209" t="s">
        <v>53</v>
      </c>
      <c r="Z60" s="210" t="s">
        <v>54</v>
      </c>
      <c r="AA60" s="210" t="s">
        <v>151</v>
      </c>
      <c r="AB60" s="211" t="s">
        <v>152</v>
      </c>
    </row>
    <row r="61" spans="1:31" x14ac:dyDescent="0.25">
      <c r="B61" s="420" t="s">
        <v>370</v>
      </c>
      <c r="C61" s="423">
        <f>SUMIFS(U14:U54,E14:E54,"&gt;=2",E14:E54,"&lt;3")</f>
        <v>0</v>
      </c>
      <c r="D61" s="141"/>
      <c r="F61" s="178"/>
      <c r="G61" s="410"/>
      <c r="H61" s="414" t="s">
        <v>153</v>
      </c>
      <c r="I61" s="422">
        <f>AD57</f>
        <v>0</v>
      </c>
      <c r="K61" s="135"/>
      <c r="M61" s="417"/>
      <c r="N61" s="417" t="s">
        <v>154</v>
      </c>
      <c r="O61" s="427">
        <f>Y56/F6</f>
        <v>0</v>
      </c>
      <c r="X61" s="135"/>
      <c r="Y61" s="212"/>
      <c r="Z61" s="213"/>
      <c r="AA61" s="213"/>
      <c r="AB61" s="214"/>
    </row>
    <row r="62" spans="1:31" x14ac:dyDescent="0.25">
      <c r="B62" s="420" t="s">
        <v>155</v>
      </c>
      <c r="C62" s="424">
        <f>V56</f>
        <v>0</v>
      </c>
      <c r="D62" s="141"/>
      <c r="F62" s="178"/>
      <c r="G62" s="410"/>
      <c r="H62" s="414" t="s">
        <v>156</v>
      </c>
      <c r="I62" s="422">
        <f>AD57*3.28</f>
        <v>0</v>
      </c>
      <c r="K62" s="135"/>
      <c r="M62" s="417"/>
      <c r="N62" s="417" t="s">
        <v>157</v>
      </c>
      <c r="O62" s="427">
        <f>IF(O61=0,0,AC57/O61)</f>
        <v>0</v>
      </c>
      <c r="X62" s="135"/>
      <c r="Y62" s="143" t="s">
        <v>158</v>
      </c>
      <c r="Z62" s="215">
        <f>X56</f>
        <v>10000</v>
      </c>
      <c r="AA62" s="215">
        <f>(P5-TRUNC(P5))*Z62</f>
        <v>1000.0000000000009</v>
      </c>
      <c r="AB62" s="216">
        <f>Z62+AA62</f>
        <v>11000</v>
      </c>
    </row>
    <row r="63" spans="1:31" x14ac:dyDescent="0.25">
      <c r="B63" s="420" t="s">
        <v>159</v>
      </c>
      <c r="C63" s="424">
        <f>H56</f>
        <v>10000</v>
      </c>
      <c r="D63" s="141"/>
      <c r="F63" s="178"/>
      <c r="G63" s="410"/>
      <c r="H63" s="414" t="s">
        <v>160</v>
      </c>
      <c r="I63" s="422">
        <f>IF(P4=1,C57,C57*1/3.28)</f>
        <v>0</v>
      </c>
      <c r="K63" s="135"/>
      <c r="M63" s="417"/>
      <c r="N63" s="417" t="s">
        <v>161</v>
      </c>
      <c r="O63" s="427">
        <f>IF(O61=0,0,I61/O61)</f>
        <v>0</v>
      </c>
      <c r="X63" s="135"/>
      <c r="Y63" s="143" t="s">
        <v>162</v>
      </c>
      <c r="Z63" s="215">
        <f>Y56</f>
        <v>0</v>
      </c>
      <c r="AA63" s="215">
        <f>(P5-TRUNC(P5))*Z63</f>
        <v>0</v>
      </c>
      <c r="AB63" s="216">
        <f>Z63+AA63</f>
        <v>0</v>
      </c>
    </row>
    <row r="64" spans="1:31" x14ac:dyDescent="0.25">
      <c r="B64" s="420" t="s">
        <v>163</v>
      </c>
      <c r="C64" s="424">
        <f>X56</f>
        <v>10000</v>
      </c>
      <c r="D64" s="141"/>
      <c r="F64" s="178"/>
      <c r="G64" s="410"/>
      <c r="H64" s="414" t="s">
        <v>164</v>
      </c>
      <c r="I64" s="422">
        <f>IF(P4=0,C57,C57*3.28)</f>
        <v>0</v>
      </c>
      <c r="K64" s="135"/>
      <c r="M64" s="417"/>
      <c r="N64" s="417" t="s">
        <v>165</v>
      </c>
      <c r="O64" s="427">
        <f>O63*3.28</f>
        <v>0</v>
      </c>
      <c r="X64" s="135"/>
      <c r="Y64" s="143" t="s">
        <v>166</v>
      </c>
      <c r="Z64" s="215">
        <f>Z56</f>
        <v>0</v>
      </c>
      <c r="AA64" s="215">
        <f>(P5-TRUNC(P5))*Z64</f>
        <v>0</v>
      </c>
      <c r="AB64" s="216">
        <f>Z64+AA64</f>
        <v>0</v>
      </c>
    </row>
    <row r="65" spans="1:33" ht="15.75" thickBot="1" x14ac:dyDescent="0.3">
      <c r="B65" s="420" t="s">
        <v>167</v>
      </c>
      <c r="C65" s="424">
        <f>0.7*Y56</f>
        <v>0</v>
      </c>
      <c r="D65" s="141"/>
      <c r="F65" s="178"/>
      <c r="G65" s="410"/>
      <c r="H65" s="414" t="s">
        <v>168</v>
      </c>
      <c r="I65" s="422">
        <f>IF(AB56=0,0,X56/AB56*100)</f>
        <v>100</v>
      </c>
      <c r="K65" s="135"/>
      <c r="M65" s="417"/>
      <c r="N65" s="417" t="s">
        <v>169</v>
      </c>
      <c r="O65" s="427">
        <f>IF(O61=0,0,I63/O61)</f>
        <v>0</v>
      </c>
      <c r="X65" s="135"/>
      <c r="Y65" s="217"/>
      <c r="Z65" s="218"/>
      <c r="AA65" s="219"/>
      <c r="AB65" s="220"/>
    </row>
    <row r="66" spans="1:33" x14ac:dyDescent="0.25">
      <c r="B66" s="420" t="s">
        <v>170</v>
      </c>
      <c r="C66" s="424">
        <f>0.3*Y56</f>
        <v>0</v>
      </c>
      <c r="D66" s="141"/>
      <c r="F66" s="178"/>
      <c r="G66" s="410"/>
      <c r="H66" s="414" t="s">
        <v>171</v>
      </c>
      <c r="I66" s="422">
        <f>IF(AB56=0,0,Y56/AB56*100)</f>
        <v>0</v>
      </c>
      <c r="K66" s="135"/>
      <c r="M66" s="417"/>
      <c r="N66" s="417" t="s">
        <v>172</v>
      </c>
      <c r="O66" s="427">
        <f>IF(O61=0,0,I64/O61)</f>
        <v>0</v>
      </c>
      <c r="X66" s="135"/>
      <c r="Y66" s="221"/>
      <c r="Z66" s="222"/>
      <c r="AA66" s="223"/>
      <c r="AB66" s="224"/>
    </row>
    <row r="67" spans="1:33" ht="15.75" thickBot="1" x14ac:dyDescent="0.3">
      <c r="B67" s="420" t="s">
        <v>173</v>
      </c>
      <c r="C67" s="424">
        <f>Y56</f>
        <v>0</v>
      </c>
      <c r="D67" s="141"/>
      <c r="F67" s="189"/>
      <c r="G67" s="412"/>
      <c r="H67" s="415" t="s">
        <v>174</v>
      </c>
      <c r="I67" s="166">
        <f>IF(I65=0,0,100-I65-I66)</f>
        <v>0</v>
      </c>
      <c r="K67" s="135"/>
      <c r="M67" s="417"/>
      <c r="N67" s="417" t="s">
        <v>175</v>
      </c>
      <c r="O67" s="427">
        <f>IF(I63=0,0,Y56/I63)</f>
        <v>0</v>
      </c>
      <c r="X67" s="135"/>
      <c r="Y67" s="225" t="s">
        <v>176</v>
      </c>
      <c r="Z67" s="226">
        <f>SUM(Z61:Z65)</f>
        <v>10000</v>
      </c>
      <c r="AA67" s="226">
        <f>SUM(AA61:AA65)</f>
        <v>1000.0000000000009</v>
      </c>
      <c r="AB67" s="227">
        <f>SUM(AB61:AB65)</f>
        <v>11000</v>
      </c>
    </row>
    <row r="68" spans="1:33" ht="15.75" thickBot="1" x14ac:dyDescent="0.3">
      <c r="B68" s="421" t="s">
        <v>177</v>
      </c>
      <c r="C68" s="425">
        <f>Z56</f>
        <v>0</v>
      </c>
      <c r="D68" s="141"/>
      <c r="I68" s="161"/>
      <c r="K68" s="135"/>
      <c r="M68" s="418"/>
      <c r="N68" s="418" t="s">
        <v>178</v>
      </c>
      <c r="O68" s="428">
        <f>IF(I61=0,0,Y56/I61)</f>
        <v>0</v>
      </c>
      <c r="X68" s="135"/>
      <c r="Y68" s="228"/>
      <c r="Z68" s="229"/>
      <c r="AA68" s="229"/>
      <c r="AB68" s="230"/>
    </row>
    <row r="69" spans="1:33" x14ac:dyDescent="0.25">
      <c r="B69" s="141"/>
    </row>
    <row r="70" spans="1:33" x14ac:dyDescent="0.25">
      <c r="B70" s="141"/>
    </row>
    <row r="71" spans="1:33" x14ac:dyDescent="0.25">
      <c r="B71" s="141"/>
    </row>
    <row r="72" spans="1:33" x14ac:dyDescent="0.25">
      <c r="B72" s="141"/>
    </row>
    <row r="73" spans="1:33" ht="15.75" thickBot="1" x14ac:dyDescent="0.3">
      <c r="A73" s="141" t="s">
        <v>382</v>
      </c>
      <c r="B73" s="231"/>
      <c r="F73" s="232"/>
    </row>
    <row r="74" spans="1:33" x14ac:dyDescent="0.25">
      <c r="A74" s="253" t="s">
        <v>179</v>
      </c>
      <c r="B74" s="233">
        <v>151</v>
      </c>
      <c r="C74" s="233">
        <v>201</v>
      </c>
      <c r="D74" s="233">
        <v>251</v>
      </c>
      <c r="E74" s="233">
        <v>301</v>
      </c>
      <c r="F74" s="234">
        <v>302</v>
      </c>
      <c r="G74" s="233">
        <v>376</v>
      </c>
      <c r="H74" s="233">
        <v>377</v>
      </c>
      <c r="I74" s="233">
        <v>451</v>
      </c>
      <c r="J74" s="233">
        <v>452</v>
      </c>
      <c r="K74" s="233">
        <v>455</v>
      </c>
      <c r="L74" s="233">
        <v>527</v>
      </c>
      <c r="M74" s="233">
        <v>529</v>
      </c>
      <c r="N74" s="233">
        <v>530</v>
      </c>
      <c r="O74" s="233">
        <v>602</v>
      </c>
      <c r="P74" s="233">
        <v>604</v>
      </c>
      <c r="Q74" s="233">
        <v>605</v>
      </c>
      <c r="R74" s="233">
        <v>677</v>
      </c>
      <c r="S74" s="233">
        <v>679</v>
      </c>
      <c r="T74" s="233">
        <v>680</v>
      </c>
      <c r="U74" s="233">
        <v>752</v>
      </c>
      <c r="V74" s="233">
        <v>754</v>
      </c>
      <c r="W74" s="233">
        <v>755</v>
      </c>
      <c r="X74" s="233">
        <v>827</v>
      </c>
      <c r="Y74" s="233">
        <v>829</v>
      </c>
      <c r="Z74" s="233">
        <v>830</v>
      </c>
      <c r="AA74" s="233">
        <v>902</v>
      </c>
      <c r="AB74" s="233">
        <v>904</v>
      </c>
      <c r="AC74" s="233">
        <v>905</v>
      </c>
      <c r="AD74" s="233">
        <v>977</v>
      </c>
      <c r="AE74" s="233">
        <v>978</v>
      </c>
      <c r="AF74" s="233">
        <v>979</v>
      </c>
      <c r="AG74" s="233">
        <v>980</v>
      </c>
    </row>
    <row r="75" spans="1:33" x14ac:dyDescent="0.25">
      <c r="A75" s="254" t="s">
        <v>180</v>
      </c>
      <c r="B75" s="234">
        <v>14.9</v>
      </c>
      <c r="C75" s="234">
        <v>22.6</v>
      </c>
      <c r="D75" s="234">
        <v>29.3</v>
      </c>
      <c r="E75" s="234">
        <v>95.1</v>
      </c>
      <c r="F75" s="234">
        <v>95.1</v>
      </c>
      <c r="G75" s="234">
        <v>117.2</v>
      </c>
      <c r="H75" s="234">
        <v>117.2</v>
      </c>
      <c r="I75" s="234">
        <v>120.8</v>
      </c>
      <c r="J75" s="235">
        <v>120.8</v>
      </c>
      <c r="K75" s="235">
        <v>151</v>
      </c>
      <c r="L75" s="234">
        <v>131.69999999999999</v>
      </c>
      <c r="M75" s="235">
        <v>153.80000000000001</v>
      </c>
      <c r="N75" s="234">
        <v>181.7</v>
      </c>
      <c r="O75" s="234">
        <v>177.3</v>
      </c>
      <c r="P75" s="235">
        <v>203.7</v>
      </c>
      <c r="Q75" s="236">
        <v>239.6</v>
      </c>
      <c r="R75" s="235">
        <v>271.8</v>
      </c>
      <c r="S75" s="235">
        <v>309.5</v>
      </c>
      <c r="T75" s="235">
        <v>362.5</v>
      </c>
      <c r="U75" s="235">
        <v>358.2</v>
      </c>
      <c r="V75" s="235">
        <v>409.5</v>
      </c>
      <c r="W75" s="235">
        <v>478.7</v>
      </c>
      <c r="X75" s="235">
        <v>415.6</v>
      </c>
      <c r="Y75" s="235">
        <v>528.6</v>
      </c>
      <c r="Z75" s="235">
        <v>555.29999999999995</v>
      </c>
      <c r="AA75" s="235">
        <v>498.6</v>
      </c>
      <c r="AB75" s="237">
        <v>570.4</v>
      </c>
      <c r="AC75" s="236">
        <v>665.9</v>
      </c>
      <c r="AD75" s="236">
        <v>547</v>
      </c>
      <c r="AE75" s="235">
        <v>575.9</v>
      </c>
      <c r="AF75" s="235">
        <v>655.4</v>
      </c>
      <c r="AG75" s="235">
        <v>767</v>
      </c>
    </row>
    <row r="76" spans="1:33" x14ac:dyDescent="0.25">
      <c r="A76" s="255">
        <v>42064</v>
      </c>
      <c r="B76" s="234">
        <v>1052</v>
      </c>
      <c r="C76" s="234">
        <v>1053</v>
      </c>
      <c r="D76" s="234">
        <v>1054</v>
      </c>
      <c r="E76" s="234">
        <v>1055</v>
      </c>
      <c r="F76" s="234">
        <v>1202</v>
      </c>
      <c r="G76" s="234">
        <v>1203</v>
      </c>
      <c r="H76" s="234">
        <v>1204</v>
      </c>
      <c r="I76" s="234">
        <v>1205</v>
      </c>
      <c r="J76" s="234">
        <v>1352</v>
      </c>
      <c r="K76" s="234">
        <v>1353</v>
      </c>
      <c r="L76" s="234">
        <v>1354</v>
      </c>
      <c r="M76" s="234">
        <v>1355</v>
      </c>
      <c r="N76" s="234">
        <v>1502</v>
      </c>
      <c r="O76" s="234">
        <v>1503</v>
      </c>
      <c r="P76" s="234">
        <v>1504</v>
      </c>
      <c r="Q76" s="234">
        <v>1505</v>
      </c>
      <c r="R76" s="234">
        <v>1652</v>
      </c>
      <c r="S76" s="234">
        <v>1653</v>
      </c>
      <c r="T76" s="234">
        <v>1654</v>
      </c>
      <c r="U76" s="234">
        <v>1655</v>
      </c>
      <c r="V76" s="234">
        <v>1802</v>
      </c>
      <c r="W76" s="234">
        <v>1803</v>
      </c>
      <c r="X76" s="234">
        <v>1804</v>
      </c>
      <c r="Y76" s="234">
        <v>1805</v>
      </c>
      <c r="Z76" s="234">
        <v>1952</v>
      </c>
      <c r="AA76" s="234">
        <v>1953</v>
      </c>
      <c r="AB76" s="234">
        <v>1954</v>
      </c>
      <c r="AC76" s="234">
        <v>1955</v>
      </c>
      <c r="AD76" s="234">
        <v>2102</v>
      </c>
      <c r="AE76" s="234">
        <v>2103</v>
      </c>
      <c r="AF76" s="234">
        <v>2104</v>
      </c>
      <c r="AG76" s="234">
        <v>2105</v>
      </c>
    </row>
    <row r="77" spans="1:33" ht="15.75" thickBot="1" x14ac:dyDescent="0.3">
      <c r="A77" s="256" t="s">
        <v>181</v>
      </c>
      <c r="B77" s="238">
        <v>626.5</v>
      </c>
      <c r="C77" s="238">
        <v>657.9</v>
      </c>
      <c r="D77" s="238">
        <v>753.4</v>
      </c>
      <c r="E77" s="238">
        <v>877.6</v>
      </c>
      <c r="F77" s="238">
        <v>785.2</v>
      </c>
      <c r="G77" s="238">
        <v>824.8</v>
      </c>
      <c r="H77" s="238">
        <v>943.7</v>
      </c>
      <c r="I77" s="238">
        <v>1099.5</v>
      </c>
      <c r="J77" s="239">
        <v>1009.8</v>
      </c>
      <c r="K77" s="239">
        <v>1060.3</v>
      </c>
      <c r="L77" s="238">
        <v>1212.9000000000001</v>
      </c>
      <c r="M77" s="239">
        <v>1412.6</v>
      </c>
      <c r="N77" s="238">
        <v>1235.2</v>
      </c>
      <c r="O77" s="238">
        <v>1296.3</v>
      </c>
      <c r="P77" s="239">
        <v>1482.1</v>
      </c>
      <c r="Q77" s="240">
        <v>1729.1</v>
      </c>
      <c r="R77" s="239">
        <v>1479.1</v>
      </c>
      <c r="S77" s="239">
        <v>1554.2</v>
      </c>
      <c r="T77" s="239">
        <v>1776.4</v>
      </c>
      <c r="U77" s="239">
        <v>2071.1</v>
      </c>
      <c r="V77" s="239">
        <v>1787.3</v>
      </c>
      <c r="W77" s="239">
        <v>1879.2</v>
      </c>
      <c r="X77" s="239">
        <v>2145.4</v>
      </c>
      <c r="Y77" s="239">
        <v>2503.4</v>
      </c>
      <c r="Z77" s="239">
        <v>2072.8000000000002</v>
      </c>
      <c r="AA77" s="239">
        <v>2178.9</v>
      </c>
      <c r="AB77" s="238">
        <v>2486.9</v>
      </c>
      <c r="AC77" s="240">
        <v>2903.1</v>
      </c>
      <c r="AD77" s="240">
        <v>2378.6</v>
      </c>
      <c r="AE77" s="239">
        <v>2495</v>
      </c>
      <c r="AF77" s="239">
        <v>2853.5</v>
      </c>
      <c r="AG77" s="239">
        <v>3328.1</v>
      </c>
    </row>
    <row r="78" spans="1:33" x14ac:dyDescent="0.25">
      <c r="J78" s="241"/>
      <c r="K78" s="241"/>
      <c r="M78" s="241"/>
      <c r="P78" s="241"/>
      <c r="Q78" s="242"/>
      <c r="R78" s="241"/>
      <c r="S78" s="241"/>
      <c r="T78" s="241"/>
      <c r="U78" s="241"/>
      <c r="V78" s="241"/>
      <c r="W78" s="241"/>
      <c r="X78" s="241"/>
      <c r="Y78" s="241"/>
      <c r="Z78" s="241"/>
      <c r="AA78" s="241"/>
      <c r="AC78" s="242"/>
      <c r="AD78" s="242"/>
      <c r="AE78" s="241"/>
    </row>
    <row r="79" spans="1:33" ht="15.75" thickBot="1" x14ac:dyDescent="0.3">
      <c r="A79" s="141" t="s">
        <v>182</v>
      </c>
      <c r="J79" s="241"/>
      <c r="K79" s="241"/>
      <c r="M79" s="241"/>
      <c r="P79" s="241"/>
      <c r="Q79" s="242"/>
      <c r="R79" s="241"/>
      <c r="S79" s="241"/>
      <c r="T79" s="241"/>
      <c r="U79" s="241"/>
      <c r="V79" s="241"/>
      <c r="W79" s="241"/>
      <c r="X79" s="241"/>
      <c r="Y79" s="241"/>
      <c r="Z79" s="241"/>
      <c r="AA79" s="241"/>
      <c r="AC79" s="242"/>
      <c r="AD79" s="242"/>
      <c r="AE79" s="241"/>
    </row>
    <row r="80" spans="1:33" x14ac:dyDescent="0.25">
      <c r="A80" s="257" t="s">
        <v>183</v>
      </c>
      <c r="B80" s="243"/>
      <c r="C80" s="243">
        <v>1</v>
      </c>
      <c r="D80" s="243">
        <v>1.2</v>
      </c>
      <c r="E80" s="243">
        <v>1.4</v>
      </c>
      <c r="F80" s="243">
        <v>1.6</v>
      </c>
      <c r="G80" s="243">
        <v>1.8</v>
      </c>
      <c r="H80" s="243">
        <v>2</v>
      </c>
      <c r="I80" s="243">
        <v>2.2000000000000002</v>
      </c>
      <c r="J80" s="243">
        <v>2.2999999999999998</v>
      </c>
      <c r="K80" s="243">
        <v>2.4</v>
      </c>
      <c r="L80" s="243">
        <v>2.6</v>
      </c>
      <c r="M80" s="243">
        <v>2.8</v>
      </c>
      <c r="N80" s="243">
        <v>3</v>
      </c>
      <c r="O80" s="243">
        <v>3.2</v>
      </c>
      <c r="P80" s="243">
        <v>3.4</v>
      </c>
      <c r="Q80" s="243">
        <v>3.6</v>
      </c>
      <c r="R80" s="243">
        <v>3.8</v>
      </c>
      <c r="S80" s="243">
        <v>4</v>
      </c>
      <c r="T80" s="243">
        <v>4.2</v>
      </c>
      <c r="U80" s="243">
        <v>4.4000000000000004</v>
      </c>
      <c r="V80" s="243">
        <v>4.5999999999999996</v>
      </c>
      <c r="W80" s="243">
        <v>4.8</v>
      </c>
      <c r="X80" s="243">
        <v>5</v>
      </c>
      <c r="Y80" s="243">
        <v>5.2</v>
      </c>
      <c r="Z80" s="243">
        <v>5.4</v>
      </c>
      <c r="AA80" s="243">
        <v>5.6</v>
      </c>
      <c r="AB80" s="243">
        <v>5.8</v>
      </c>
      <c r="AC80" s="244">
        <v>6</v>
      </c>
    </row>
    <row r="81" spans="1:32" x14ac:dyDescent="0.25">
      <c r="A81" s="258" t="s">
        <v>184</v>
      </c>
      <c r="B81" s="245"/>
      <c r="C81" s="245">
        <v>120</v>
      </c>
      <c r="D81" s="245">
        <v>135</v>
      </c>
      <c r="E81" s="245">
        <v>160</v>
      </c>
      <c r="F81" s="245">
        <v>180</v>
      </c>
      <c r="G81" s="245">
        <v>240</v>
      </c>
      <c r="H81" s="245">
        <v>270</v>
      </c>
      <c r="I81" s="245">
        <v>325</v>
      </c>
      <c r="J81" s="245">
        <v>350</v>
      </c>
      <c r="K81" s="245">
        <v>380</v>
      </c>
      <c r="L81" s="245">
        <v>440</v>
      </c>
      <c r="M81" s="245">
        <v>500</v>
      </c>
      <c r="N81" s="245">
        <v>550</v>
      </c>
      <c r="O81" s="245">
        <v>605</v>
      </c>
      <c r="P81" s="245">
        <v>665</v>
      </c>
      <c r="Q81" s="245">
        <v>710</v>
      </c>
      <c r="R81" s="245">
        <v>760</v>
      </c>
      <c r="S81" s="245">
        <v>800</v>
      </c>
      <c r="T81" s="245">
        <v>850</v>
      </c>
      <c r="U81" s="245">
        <v>900</v>
      </c>
      <c r="V81" s="245">
        <v>920</v>
      </c>
      <c r="W81" s="245">
        <v>925</v>
      </c>
      <c r="X81" s="245">
        <v>925</v>
      </c>
      <c r="Y81" s="245">
        <v>920</v>
      </c>
      <c r="Z81" s="245">
        <v>900</v>
      </c>
      <c r="AA81" s="245">
        <v>830</v>
      </c>
      <c r="AB81" s="245">
        <v>750</v>
      </c>
      <c r="AC81" s="246">
        <v>710</v>
      </c>
    </row>
    <row r="82" spans="1:32" x14ac:dyDescent="0.25">
      <c r="A82" s="258" t="s">
        <v>185</v>
      </c>
      <c r="B82" s="245"/>
      <c r="C82" s="245">
        <v>1</v>
      </c>
      <c r="D82" s="245">
        <v>1.2</v>
      </c>
      <c r="E82" s="245">
        <v>1.4</v>
      </c>
      <c r="F82" s="245">
        <v>1.6</v>
      </c>
      <c r="G82" s="245">
        <v>1.8</v>
      </c>
      <c r="H82" s="245">
        <v>2</v>
      </c>
      <c r="I82" s="245">
        <v>2.2000000000000002</v>
      </c>
      <c r="J82" s="245">
        <v>2.2999999999999998</v>
      </c>
      <c r="K82" s="245">
        <v>2.4</v>
      </c>
      <c r="L82" s="245">
        <v>2.6</v>
      </c>
      <c r="M82" s="245">
        <v>2.8</v>
      </c>
      <c r="N82" s="245">
        <v>3</v>
      </c>
      <c r="O82" s="245">
        <v>3.2</v>
      </c>
      <c r="P82" s="245">
        <v>3.4</v>
      </c>
      <c r="Q82" s="245">
        <v>3.6</v>
      </c>
      <c r="R82" s="245">
        <v>3.8</v>
      </c>
      <c r="S82" s="245">
        <v>4</v>
      </c>
      <c r="T82" s="245">
        <v>4.2</v>
      </c>
      <c r="U82" s="245">
        <v>4.4000000000000004</v>
      </c>
      <c r="V82" s="245">
        <v>4.5999999999999996</v>
      </c>
      <c r="W82" s="245">
        <v>4.8</v>
      </c>
      <c r="X82" s="245">
        <v>5</v>
      </c>
      <c r="Y82" s="245">
        <v>5.2</v>
      </c>
      <c r="Z82" s="245">
        <v>5.4</v>
      </c>
      <c r="AA82" s="245">
        <v>5.6</v>
      </c>
      <c r="AB82" s="245">
        <v>5.8</v>
      </c>
      <c r="AC82" s="246">
        <v>6</v>
      </c>
    </row>
    <row r="83" spans="1:32" ht="15.75" thickBot="1" x14ac:dyDescent="0.3">
      <c r="A83" s="259" t="s">
        <v>186</v>
      </c>
      <c r="B83" s="247"/>
      <c r="C83" s="247">
        <v>74</v>
      </c>
      <c r="D83" s="247">
        <v>98</v>
      </c>
      <c r="E83" s="247">
        <v>119</v>
      </c>
      <c r="F83" s="247">
        <v>145</v>
      </c>
      <c r="G83" s="247">
        <v>165</v>
      </c>
      <c r="H83" s="247">
        <v>175</v>
      </c>
      <c r="I83" s="247">
        <v>180</v>
      </c>
      <c r="J83" s="247">
        <v>183</v>
      </c>
      <c r="K83" s="247">
        <v>185</v>
      </c>
      <c r="L83" s="247">
        <v>190</v>
      </c>
      <c r="M83" s="247">
        <v>195</v>
      </c>
      <c r="N83" s="247">
        <v>200</v>
      </c>
      <c r="O83" s="247">
        <v>203</v>
      </c>
      <c r="P83" s="247">
        <v>203</v>
      </c>
      <c r="Q83" s="247">
        <v>203</v>
      </c>
      <c r="R83" s="247">
        <v>203</v>
      </c>
      <c r="S83" s="247">
        <v>203</v>
      </c>
      <c r="T83" s="247">
        <v>203</v>
      </c>
      <c r="U83" s="247">
        <v>203</v>
      </c>
      <c r="V83" s="247">
        <v>203</v>
      </c>
      <c r="W83" s="247">
        <v>203</v>
      </c>
      <c r="X83" s="247">
        <v>203</v>
      </c>
      <c r="Y83" s="247">
        <v>203</v>
      </c>
      <c r="Z83" s="247">
        <v>203</v>
      </c>
      <c r="AA83" s="247">
        <v>203</v>
      </c>
      <c r="AB83" s="247">
        <v>203</v>
      </c>
      <c r="AC83" s="248">
        <v>196</v>
      </c>
    </row>
    <row r="85" spans="1:32" ht="15.75" thickBot="1" x14ac:dyDescent="0.3">
      <c r="A85" s="141" t="s">
        <v>187</v>
      </c>
    </row>
    <row r="86" spans="1:32" x14ac:dyDescent="0.25">
      <c r="A86" s="395" t="s">
        <v>188</v>
      </c>
      <c r="B86" s="396"/>
      <c r="C86" s="396">
        <v>100</v>
      </c>
      <c r="D86" s="396">
        <v>150</v>
      </c>
      <c r="E86" s="396">
        <v>200</v>
      </c>
      <c r="F86" s="396">
        <v>250</v>
      </c>
      <c r="G86" s="396">
        <v>300</v>
      </c>
      <c r="H86" s="397">
        <v>375</v>
      </c>
      <c r="I86" s="397">
        <v>450</v>
      </c>
      <c r="J86" s="396">
        <v>0</v>
      </c>
      <c r="K86" s="396">
        <v>0</v>
      </c>
      <c r="L86" s="396">
        <v>2.4</v>
      </c>
      <c r="M86" s="398">
        <v>3</v>
      </c>
      <c r="N86" s="396">
        <v>3.7</v>
      </c>
      <c r="O86" s="396">
        <v>4.3</v>
      </c>
      <c r="P86" s="398">
        <v>4.9000000000000004</v>
      </c>
      <c r="Q86" s="399">
        <v>5.5</v>
      </c>
      <c r="R86" s="398">
        <v>6.1</v>
      </c>
      <c r="S86" s="398">
        <v>6.7</v>
      </c>
      <c r="T86" s="398">
        <v>7.3</v>
      </c>
      <c r="U86" s="400">
        <v>7.6</v>
      </c>
    </row>
    <row r="87" spans="1:32" ht="15.75" thickBot="1" x14ac:dyDescent="0.3">
      <c r="A87" s="401" t="s">
        <v>139</v>
      </c>
      <c r="B87" s="402" t="s">
        <v>352</v>
      </c>
      <c r="C87" s="403">
        <v>12</v>
      </c>
      <c r="D87" s="403">
        <v>24</v>
      </c>
      <c r="E87" s="403">
        <v>34</v>
      </c>
      <c r="F87" s="403">
        <v>51</v>
      </c>
      <c r="G87" s="404">
        <v>73</v>
      </c>
      <c r="H87" s="404">
        <v>97</v>
      </c>
      <c r="I87" s="404">
        <v>153</v>
      </c>
      <c r="J87" s="405">
        <v>0</v>
      </c>
      <c r="K87" s="405">
        <v>0</v>
      </c>
      <c r="L87" s="405">
        <v>0.1</v>
      </c>
      <c r="M87" s="406">
        <v>0.2</v>
      </c>
      <c r="N87" s="405">
        <v>0.4</v>
      </c>
      <c r="O87" s="405">
        <v>0.7</v>
      </c>
      <c r="P87" s="406">
        <v>0.9</v>
      </c>
      <c r="Q87" s="407">
        <v>1.2</v>
      </c>
      <c r="R87" s="406">
        <v>1.5</v>
      </c>
      <c r="S87" s="406">
        <v>1.6</v>
      </c>
      <c r="T87" s="405">
        <v>1.8</v>
      </c>
      <c r="U87" s="408">
        <v>2</v>
      </c>
      <c r="AF87" s="141"/>
    </row>
    <row r="88" spans="1:32" x14ac:dyDescent="0.25">
      <c r="C88" s="131" t="s">
        <v>189</v>
      </c>
      <c r="D88" s="131" t="s">
        <v>189</v>
      </c>
      <c r="E88" s="131" t="s">
        <v>351</v>
      </c>
      <c r="F88" s="131" t="s">
        <v>351</v>
      </c>
      <c r="G88" s="131" t="s">
        <v>351</v>
      </c>
      <c r="H88" s="131" t="s">
        <v>351</v>
      </c>
      <c r="I88" s="131" t="s">
        <v>351</v>
      </c>
    </row>
  </sheetData>
  <printOptions gridLines="1"/>
  <pageMargins left="0.25" right="0.25" top="0.25" bottom="0.25" header="0.25" footer="0.25"/>
  <pageSetup paperSize="3" scale="65" orientation="landscape" verticalDpi="597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transitionEvaluation="1"/>
  <dimension ref="A1:Y84"/>
  <sheetViews>
    <sheetView zoomScaleNormal="100" zoomScaleSheetLayoutView="85" workbookViewId="0">
      <selection activeCell="L7" sqref="L7"/>
    </sheetView>
  </sheetViews>
  <sheetFormatPr defaultColWidth="12.42578125" defaultRowHeight="15" x14ac:dyDescent="0.25"/>
  <cols>
    <col min="1" max="1" width="8.85546875" style="268" customWidth="1"/>
    <col min="2" max="2" width="21.140625" style="268" customWidth="1"/>
    <col min="3" max="3" width="12.7109375" style="268" customWidth="1"/>
    <col min="4" max="4" width="9.85546875" style="268" customWidth="1"/>
    <col min="5" max="5" width="10.85546875" style="268" customWidth="1"/>
    <col min="6" max="6" width="14.42578125" style="268" customWidth="1"/>
    <col min="7" max="7" width="12.28515625" style="268" customWidth="1"/>
    <col min="8" max="8" width="12.42578125" style="268"/>
    <col min="9" max="9" width="11.42578125" style="268" customWidth="1"/>
    <col min="10" max="10" width="10.85546875" style="268" customWidth="1"/>
    <col min="11" max="11" width="12.42578125" style="268" customWidth="1"/>
    <col min="12" max="12" width="13.28515625" style="268" customWidth="1"/>
    <col min="13" max="13" width="9.42578125" style="268" customWidth="1"/>
    <col min="14" max="14" width="15.85546875" style="268" customWidth="1"/>
    <col min="15" max="15" width="9.85546875" style="268" customWidth="1"/>
    <col min="16" max="16" width="15.140625" style="268" customWidth="1"/>
    <col min="17" max="17" width="13.5703125" style="268" customWidth="1"/>
    <col min="18" max="18" width="12.42578125" style="268"/>
    <col min="19" max="21" width="12.140625" style="268" customWidth="1"/>
    <col min="22" max="22" width="15" style="268" customWidth="1"/>
    <col min="23" max="23" width="13.5703125" style="268" customWidth="1"/>
    <col min="24" max="24" width="11.5703125" style="268" customWidth="1"/>
    <col min="25" max="25" width="16.7109375" style="268" customWidth="1"/>
    <col min="26" max="16384" width="12.42578125" style="268"/>
  </cols>
  <sheetData>
    <row r="1" spans="1:25" s="267" customFormat="1" x14ac:dyDescent="0.25">
      <c r="D1" s="267" t="s">
        <v>376</v>
      </c>
      <c r="G1" s="442" t="s">
        <v>375</v>
      </c>
      <c r="X1" s="442">
        <f>B2</f>
        <v>0</v>
      </c>
    </row>
    <row r="2" spans="1:25" ht="15.75" thickBot="1" x14ac:dyDescent="0.3">
      <c r="A2" s="288" t="str">
        <f>'MANHOLES (1)'!A2</f>
        <v>PROJECT</v>
      </c>
      <c r="B2" s="520">
        <f>'MANHOLES (1)'!B2</f>
        <v>0</v>
      </c>
      <c r="C2" s="520" t="s">
        <v>365</v>
      </c>
      <c r="E2" s="267"/>
      <c r="X2" s="442" t="str">
        <f>G1</f>
        <v>WATERMAIN ESTIMATE</v>
      </c>
    </row>
    <row r="3" spans="1:25" ht="15.75" thickBot="1" x14ac:dyDescent="0.3">
      <c r="A3" s="288" t="s">
        <v>365</v>
      </c>
      <c r="B3" s="520">
        <f>'MANHOLES (1)'!B3</f>
        <v>0</v>
      </c>
      <c r="D3" s="269" t="s">
        <v>190</v>
      </c>
      <c r="E3" s="270"/>
      <c r="F3" s="482">
        <v>1.2</v>
      </c>
      <c r="G3" s="269" t="s">
        <v>191</v>
      </c>
      <c r="H3" s="270"/>
      <c r="I3" s="484">
        <v>22</v>
      </c>
      <c r="K3" s="271" t="s">
        <v>192</v>
      </c>
      <c r="L3" s="484">
        <v>32</v>
      </c>
      <c r="M3" s="272"/>
      <c r="N3" s="273" t="s">
        <v>83</v>
      </c>
      <c r="O3" s="482">
        <v>100</v>
      </c>
      <c r="Q3" s="272"/>
      <c r="T3" s="269" t="s">
        <v>193</v>
      </c>
      <c r="U3" s="516">
        <v>1</v>
      </c>
    </row>
    <row r="4" spans="1:25" x14ac:dyDescent="0.25">
      <c r="A4" s="288" t="s">
        <v>365</v>
      </c>
      <c r="B4" s="520" t="s">
        <v>365</v>
      </c>
      <c r="D4" s="274" t="s">
        <v>194</v>
      </c>
      <c r="F4" s="483">
        <v>0.3</v>
      </c>
      <c r="G4" s="274" t="s">
        <v>195</v>
      </c>
      <c r="I4" s="485">
        <v>35</v>
      </c>
      <c r="J4" s="272"/>
      <c r="K4" s="275" t="s">
        <v>196</v>
      </c>
      <c r="L4" s="486">
        <v>51</v>
      </c>
      <c r="M4" s="272"/>
      <c r="N4" s="276" t="s">
        <v>88</v>
      </c>
      <c r="O4" s="483">
        <v>1</v>
      </c>
      <c r="P4" s="272"/>
      <c r="Q4" s="273" t="s">
        <v>197</v>
      </c>
      <c r="R4" s="513">
        <v>5</v>
      </c>
      <c r="T4" s="274" t="s">
        <v>198</v>
      </c>
      <c r="U4" s="517">
        <v>1</v>
      </c>
    </row>
    <row r="5" spans="1:25" x14ac:dyDescent="0.25">
      <c r="A5" s="288" t="str">
        <f>'MANHOLES (1)'!A5</f>
        <v>Date:</v>
      </c>
      <c r="B5" s="520">
        <f>'MANHOLES (1)'!B5</f>
        <v>0</v>
      </c>
      <c r="D5" s="274" t="s">
        <v>199</v>
      </c>
      <c r="F5" s="483">
        <v>0</v>
      </c>
      <c r="G5" s="274" t="s">
        <v>200</v>
      </c>
      <c r="I5" s="486">
        <v>10</v>
      </c>
      <c r="J5" s="272"/>
      <c r="K5" s="275" t="s">
        <v>201</v>
      </c>
      <c r="L5" s="486">
        <v>84</v>
      </c>
      <c r="M5" s="272"/>
      <c r="N5" s="276" t="s">
        <v>93</v>
      </c>
      <c r="O5" s="483">
        <f>'MANHOLES (1)'!F6</f>
        <v>1.1000000000000001</v>
      </c>
      <c r="Q5" s="277"/>
      <c r="R5" s="514"/>
      <c r="T5" s="274" t="s">
        <v>202</v>
      </c>
      <c r="U5" s="517">
        <v>1.02078</v>
      </c>
      <c r="V5" s="272"/>
    </row>
    <row r="6" spans="1:25" ht="15.75" thickBot="1" x14ac:dyDescent="0.3">
      <c r="A6" s="288" t="s">
        <v>365</v>
      </c>
      <c r="B6" s="337" t="s">
        <v>365</v>
      </c>
      <c r="D6" s="274" t="s">
        <v>203</v>
      </c>
      <c r="F6" s="522">
        <v>9000</v>
      </c>
      <c r="G6" s="274" t="s">
        <v>204</v>
      </c>
      <c r="I6" s="485">
        <v>30</v>
      </c>
      <c r="J6" s="272"/>
      <c r="K6" s="275" t="s">
        <v>205</v>
      </c>
      <c r="L6" s="486">
        <v>121</v>
      </c>
      <c r="M6" s="272"/>
      <c r="N6" s="276" t="s">
        <v>206</v>
      </c>
      <c r="O6" s="483">
        <v>0.9</v>
      </c>
      <c r="Q6" s="277"/>
      <c r="R6" s="514"/>
      <c r="T6" s="278"/>
      <c r="U6" s="518">
        <v>1.0774900000000001</v>
      </c>
    </row>
    <row r="7" spans="1:25" ht="15.75" thickBot="1" x14ac:dyDescent="0.3">
      <c r="A7" s="288"/>
      <c r="B7" s="337"/>
      <c r="D7" s="274" t="s">
        <v>207</v>
      </c>
      <c r="F7" s="522">
        <v>300</v>
      </c>
      <c r="G7" s="274" t="s">
        <v>208</v>
      </c>
      <c r="I7" s="486">
        <f>'MANHOLES (1)'!F3</f>
        <v>10</v>
      </c>
      <c r="J7" s="272"/>
      <c r="K7" s="275" t="s">
        <v>209</v>
      </c>
      <c r="L7" s="486">
        <v>194</v>
      </c>
      <c r="M7" s="272"/>
      <c r="N7" s="276" t="s">
        <v>210</v>
      </c>
      <c r="O7" s="483">
        <v>1</v>
      </c>
      <c r="Q7" s="279" t="s">
        <v>211</v>
      </c>
      <c r="R7" s="515">
        <v>620</v>
      </c>
      <c r="V7" s="272" t="s">
        <v>212</v>
      </c>
    </row>
    <row r="8" spans="1:25" ht="15.75" thickBot="1" x14ac:dyDescent="0.3">
      <c r="A8" s="288"/>
      <c r="B8" s="337"/>
      <c r="C8" s="280"/>
      <c r="D8" s="281" t="s">
        <v>213</v>
      </c>
      <c r="E8" s="282"/>
      <c r="F8" s="523">
        <v>65</v>
      </c>
      <c r="G8" s="281" t="s">
        <v>214</v>
      </c>
      <c r="H8" s="282"/>
      <c r="I8" s="487">
        <v>0</v>
      </c>
      <c r="K8" s="283" t="s">
        <v>215</v>
      </c>
      <c r="L8" s="488">
        <v>250</v>
      </c>
      <c r="M8" s="272"/>
      <c r="N8" s="279" t="s">
        <v>216</v>
      </c>
      <c r="O8" s="487">
        <v>0.15</v>
      </c>
      <c r="X8" s="284"/>
      <c r="Y8" s="285"/>
    </row>
    <row r="9" spans="1:25" ht="15.75" thickBot="1" x14ac:dyDescent="0.3">
      <c r="A9" s="272"/>
      <c r="C9" s="280"/>
      <c r="D9" s="272"/>
      <c r="F9" s="286"/>
      <c r="G9" s="272"/>
      <c r="I9" s="286"/>
      <c r="K9" s="272"/>
      <c r="L9" s="287"/>
      <c r="M9" s="272"/>
      <c r="O9" s="286"/>
      <c r="X9" s="288"/>
      <c r="Y9" s="289"/>
    </row>
    <row r="10" spans="1:25" s="295" customFormat="1" x14ac:dyDescent="0.25">
      <c r="A10" s="291" t="s">
        <v>217</v>
      </c>
      <c r="B10" s="292" t="s">
        <v>218</v>
      </c>
      <c r="C10" s="293" t="s">
        <v>219</v>
      </c>
      <c r="D10" s="291" t="s">
        <v>220</v>
      </c>
      <c r="E10" s="291" t="s">
        <v>221</v>
      </c>
      <c r="F10" s="292" t="s">
        <v>222</v>
      </c>
      <c r="G10" s="291" t="s">
        <v>223</v>
      </c>
      <c r="H10" s="291" t="s">
        <v>223</v>
      </c>
      <c r="I10" s="291" t="s">
        <v>123</v>
      </c>
      <c r="J10" s="291" t="s">
        <v>224</v>
      </c>
      <c r="K10" s="294" t="s">
        <v>225</v>
      </c>
      <c r="L10" s="294" t="s">
        <v>226</v>
      </c>
      <c r="M10" s="294" t="s">
        <v>227</v>
      </c>
      <c r="N10" s="291" t="s">
        <v>228</v>
      </c>
      <c r="O10" s="292" t="s">
        <v>121</v>
      </c>
      <c r="P10" s="293" t="s">
        <v>125</v>
      </c>
      <c r="Q10" s="291" t="s">
        <v>219</v>
      </c>
      <c r="R10" s="291" t="s">
        <v>125</v>
      </c>
      <c r="S10" s="291" t="s">
        <v>125</v>
      </c>
      <c r="T10" s="291" t="s">
        <v>125</v>
      </c>
      <c r="U10" s="291" t="s">
        <v>125</v>
      </c>
      <c r="V10" s="291" t="s">
        <v>34</v>
      </c>
      <c r="W10" s="291" t="s">
        <v>34</v>
      </c>
      <c r="X10" s="292" t="s">
        <v>229</v>
      </c>
      <c r="Y10" s="291" t="s">
        <v>125</v>
      </c>
    </row>
    <row r="11" spans="1:25" s="295" customFormat="1" ht="15.75" thickBot="1" x14ac:dyDescent="0.3">
      <c r="A11" s="296" t="s">
        <v>230</v>
      </c>
      <c r="B11" s="297" t="s">
        <v>231</v>
      </c>
      <c r="C11" s="298" t="str">
        <f>IF(O4=1,"METERS","FEET")</f>
        <v>METERS</v>
      </c>
      <c r="D11" s="296" t="s">
        <v>232</v>
      </c>
      <c r="E11" s="296" t="s">
        <v>233</v>
      </c>
      <c r="F11" s="297" t="s">
        <v>234</v>
      </c>
      <c r="G11" s="296" t="s">
        <v>235</v>
      </c>
      <c r="H11" s="296" t="s">
        <v>134</v>
      </c>
      <c r="I11" s="296" t="s">
        <v>236</v>
      </c>
      <c r="J11" s="296" t="s">
        <v>237</v>
      </c>
      <c r="K11" s="299" t="s">
        <v>237</v>
      </c>
      <c r="L11" s="299" t="s">
        <v>126</v>
      </c>
      <c r="M11" s="299" t="s">
        <v>139</v>
      </c>
      <c r="N11" s="296" t="s">
        <v>238</v>
      </c>
      <c r="O11" s="297" t="s">
        <v>137</v>
      </c>
      <c r="P11" s="298" t="s">
        <v>239</v>
      </c>
      <c r="Q11" s="296" t="s">
        <v>240</v>
      </c>
      <c r="R11" s="296" t="s">
        <v>140</v>
      </c>
      <c r="S11" s="296" t="s">
        <v>241</v>
      </c>
      <c r="T11" s="296" t="s">
        <v>242</v>
      </c>
      <c r="U11" s="296" t="s">
        <v>243</v>
      </c>
      <c r="V11" s="296" t="s">
        <v>227</v>
      </c>
      <c r="W11" s="296" t="s">
        <v>60</v>
      </c>
      <c r="X11" s="297" t="str">
        <f>IF(O4=1,"$/METER","$/FOOT")</f>
        <v>$/METER</v>
      </c>
      <c r="Y11" s="296" t="s">
        <v>126</v>
      </c>
    </row>
    <row r="12" spans="1:25" x14ac:dyDescent="0.25">
      <c r="A12" s="300"/>
      <c r="B12" s="301"/>
      <c r="C12" s="302"/>
      <c r="D12" s="302"/>
      <c r="E12" s="302"/>
      <c r="F12" s="301"/>
      <c r="G12" s="302"/>
      <c r="H12" s="302"/>
      <c r="I12" s="301"/>
      <c r="J12" s="303"/>
      <c r="K12" s="303"/>
      <c r="L12" s="303"/>
      <c r="M12" s="304"/>
      <c r="N12" s="302"/>
      <c r="O12" s="301"/>
      <c r="P12" s="302"/>
      <c r="Q12" s="302"/>
      <c r="R12" s="302"/>
      <c r="S12" s="302"/>
      <c r="T12" s="302"/>
      <c r="U12" s="302"/>
      <c r="V12" s="302"/>
      <c r="W12" s="302"/>
      <c r="X12" s="301"/>
      <c r="Y12" s="302"/>
    </row>
    <row r="13" spans="1:25" x14ac:dyDescent="0.25">
      <c r="A13" s="305">
        <v>1</v>
      </c>
      <c r="B13" s="301"/>
      <c r="C13" s="302"/>
      <c r="D13" s="306"/>
      <c r="E13" s="307">
        <f t="shared" ref="E13:E18" si="0">(D13=100)*L$3+(D13=150)*L$4+(D13=200)*L$5+(D13=250)*L$6+(D13=300)*L$7</f>
        <v>0</v>
      </c>
      <c r="F13" s="308">
        <v>1.1000000000000001</v>
      </c>
      <c r="G13" s="302"/>
      <c r="H13" s="302"/>
      <c r="I13" s="301">
        <f t="shared" ref="I13:I18" si="1">IF(F13&gt;2,F$8*0.9,F$8)*(O$3/100)</f>
        <v>65</v>
      </c>
      <c r="J13" s="307">
        <v>1.8</v>
      </c>
      <c r="K13" s="302">
        <f t="shared" ref="K13:K18" si="2">(TRUNC(F13)=2)*((I$8=0)*IF(F$4=0,0,J13-F$5)+(I$8&gt;0)*(J13-I$8-F$5))+(TRUNC(F13)=1)*((I$8=0)*IF(F$4=0,0,F$4))</f>
        <v>0.3</v>
      </c>
      <c r="L13" s="302">
        <f t="shared" ref="L13:L18" si="3">IF(F13&gt;2,F$6+0.5*F$7,F$6)</f>
        <v>9000</v>
      </c>
      <c r="M13" s="309">
        <f t="shared" ref="M13:M18" si="4">(C13&gt;0)*L13/I13*IF(OR(F13=1.2,F13=2.2),0.6,1)</f>
        <v>0</v>
      </c>
      <c r="N13" s="307">
        <f t="shared" ref="N13:N18" si="5">(F13=1.1)*F$3+(F13=1.2)*(2*1.25*D13/1000+2*O$8+O$7)/2+(F13=2.1)*(F$3+0.3)+(F13=2.2)*(2*1.25*D13/1000+4*O$8+O$7)/2</f>
        <v>1.2</v>
      </c>
      <c r="O13" s="301">
        <f t="shared" ref="O13:O18" si="6">((N13*(J13+1.25*D13/1000+0.1)+(TRUNC(F13)=1)*(J13-0.9)^2*O$6)*IF(F13-TRUNC(F13)=0.2,0.5,1))*(C13&gt;0)</f>
        <v>0</v>
      </c>
      <c r="P13" s="310">
        <f t="shared" ref="P13:P18" si="7">O13*C13*IF(O$4=1,1,1/3.28)</f>
        <v>0</v>
      </c>
      <c r="Q13" s="310">
        <f t="shared" ref="Q13:Q18" si="8">IF(F13-TRUNC(F13)=0.2,0.5,1)*C13*IF(O$4=1,1,1/3.28)</f>
        <v>0</v>
      </c>
      <c r="R13" s="302">
        <f t="shared" ref="R13:R18" si="9">C13*E13*U$3*IF(O$4=1,1,1/3.28)</f>
        <v>0</v>
      </c>
      <c r="S13" s="302">
        <f t="shared" ref="S13:S18" si="10">IF(I$8&gt;0,N13*(0.1+0.00125*D13+I$8)-PI()*(D13*0.00125)^2/4,0)*2*I4*C13*IF(O$4=2,1,1/3.28)</f>
        <v>0</v>
      </c>
      <c r="T13" s="302">
        <f t="shared" ref="T13:T18" si="11">IF(K13=0,0,1)*IF(AND(I$8=0,K13&gt;0),N13*(0.1+0.00125*D13+K13)-PI()*(D13*0.00125)^2/4,N13*K13)*2*I$6*C13*IF(O$4=1,1,1/3.28)</f>
        <v>0</v>
      </c>
      <c r="U13" s="302">
        <f t="shared" ref="U13:U18" si="12">G13+R13+S13+T13</f>
        <v>0</v>
      </c>
      <c r="V13" s="302">
        <f t="shared" ref="V13:V18" si="13">H13+C13*M13*IF(O$4=1,1,1/3.28)</f>
        <v>0</v>
      </c>
      <c r="W13" s="302">
        <f t="shared" ref="W13:W18" si="14">((IF(S13=0,0,S13/I$4)+IF(T13=0,0,T13/I$6))/2+PI()*(D13*0.00125)^2/4*C13*IF(O$4=1,1,1/3.28))*I$7</f>
        <v>0</v>
      </c>
      <c r="X13" s="301">
        <f t="shared" ref="X13:X18" si="15">IF(C13=0,0,(U13+V13+W13)/C13)</f>
        <v>0</v>
      </c>
      <c r="Y13" s="311">
        <f t="shared" ref="Y13:Y18" si="16">U13+V13+W13</f>
        <v>0</v>
      </c>
    </row>
    <row r="14" spans="1:25" x14ac:dyDescent="0.25">
      <c r="A14" s="305">
        <v>2</v>
      </c>
      <c r="B14" s="301"/>
      <c r="C14" s="302"/>
      <c r="D14" s="306"/>
      <c r="E14" s="307">
        <f t="shared" si="0"/>
        <v>0</v>
      </c>
      <c r="F14" s="308">
        <v>1.1000000000000001</v>
      </c>
      <c r="G14" s="302"/>
      <c r="H14" s="302"/>
      <c r="I14" s="301">
        <f t="shared" si="1"/>
        <v>65</v>
      </c>
      <c r="J14" s="307">
        <v>1.8</v>
      </c>
      <c r="K14" s="302">
        <f t="shared" si="2"/>
        <v>0.3</v>
      </c>
      <c r="L14" s="302">
        <f t="shared" si="3"/>
        <v>9000</v>
      </c>
      <c r="M14" s="309">
        <f t="shared" si="4"/>
        <v>0</v>
      </c>
      <c r="N14" s="307">
        <f t="shared" si="5"/>
        <v>1.2</v>
      </c>
      <c r="O14" s="301">
        <f t="shared" si="6"/>
        <v>0</v>
      </c>
      <c r="P14" s="310">
        <f t="shared" si="7"/>
        <v>0</v>
      </c>
      <c r="Q14" s="310">
        <f t="shared" si="8"/>
        <v>0</v>
      </c>
      <c r="R14" s="302">
        <f t="shared" si="9"/>
        <v>0</v>
      </c>
      <c r="S14" s="302">
        <f t="shared" si="10"/>
        <v>0</v>
      </c>
      <c r="T14" s="302">
        <f t="shared" si="11"/>
        <v>0</v>
      </c>
      <c r="U14" s="302">
        <f t="shared" si="12"/>
        <v>0</v>
      </c>
      <c r="V14" s="302">
        <f t="shared" si="13"/>
        <v>0</v>
      </c>
      <c r="W14" s="302">
        <f t="shared" si="14"/>
        <v>0</v>
      </c>
      <c r="X14" s="301">
        <f t="shared" si="15"/>
        <v>0</v>
      </c>
      <c r="Y14" s="311">
        <f t="shared" si="16"/>
        <v>0</v>
      </c>
    </row>
    <row r="15" spans="1:25" x14ac:dyDescent="0.25">
      <c r="A15" s="305">
        <v>3</v>
      </c>
      <c r="B15" s="301"/>
      <c r="C15" s="302"/>
      <c r="D15" s="306"/>
      <c r="E15" s="307">
        <f t="shared" si="0"/>
        <v>0</v>
      </c>
      <c r="F15" s="308">
        <v>1.1000000000000001</v>
      </c>
      <c r="G15" s="302"/>
      <c r="H15" s="302"/>
      <c r="I15" s="301">
        <f t="shared" si="1"/>
        <v>65</v>
      </c>
      <c r="J15" s="307">
        <v>1.8</v>
      </c>
      <c r="K15" s="302">
        <f t="shared" si="2"/>
        <v>0.3</v>
      </c>
      <c r="L15" s="302">
        <f t="shared" si="3"/>
        <v>9000</v>
      </c>
      <c r="M15" s="309">
        <f t="shared" si="4"/>
        <v>0</v>
      </c>
      <c r="N15" s="307">
        <f t="shared" si="5"/>
        <v>1.2</v>
      </c>
      <c r="O15" s="301">
        <f t="shared" si="6"/>
        <v>0</v>
      </c>
      <c r="P15" s="310">
        <f t="shared" si="7"/>
        <v>0</v>
      </c>
      <c r="Q15" s="310">
        <f t="shared" si="8"/>
        <v>0</v>
      </c>
      <c r="R15" s="302">
        <f t="shared" si="9"/>
        <v>0</v>
      </c>
      <c r="S15" s="302">
        <f t="shared" si="10"/>
        <v>0</v>
      </c>
      <c r="T15" s="302">
        <f t="shared" si="11"/>
        <v>0</v>
      </c>
      <c r="U15" s="302">
        <f t="shared" si="12"/>
        <v>0</v>
      </c>
      <c r="V15" s="302">
        <f t="shared" si="13"/>
        <v>0</v>
      </c>
      <c r="W15" s="302">
        <f t="shared" si="14"/>
        <v>0</v>
      </c>
      <c r="X15" s="301">
        <f t="shared" si="15"/>
        <v>0</v>
      </c>
      <c r="Y15" s="311">
        <f t="shared" si="16"/>
        <v>0</v>
      </c>
    </row>
    <row r="16" spans="1:25" x14ac:dyDescent="0.25">
      <c r="A16" s="305">
        <v>4</v>
      </c>
      <c r="B16" s="301"/>
      <c r="C16" s="302"/>
      <c r="D16" s="306"/>
      <c r="E16" s="307">
        <f t="shared" si="0"/>
        <v>0</v>
      </c>
      <c r="F16" s="308">
        <v>1.1000000000000001</v>
      </c>
      <c r="G16" s="302"/>
      <c r="H16" s="302"/>
      <c r="I16" s="301">
        <f t="shared" si="1"/>
        <v>65</v>
      </c>
      <c r="J16" s="307">
        <v>1.8</v>
      </c>
      <c r="K16" s="302">
        <f t="shared" si="2"/>
        <v>0.3</v>
      </c>
      <c r="L16" s="302">
        <f t="shared" si="3"/>
        <v>9000</v>
      </c>
      <c r="M16" s="309">
        <f t="shared" si="4"/>
        <v>0</v>
      </c>
      <c r="N16" s="307">
        <f t="shared" si="5"/>
        <v>1.2</v>
      </c>
      <c r="O16" s="301">
        <f t="shared" si="6"/>
        <v>0</v>
      </c>
      <c r="P16" s="310">
        <f t="shared" si="7"/>
        <v>0</v>
      </c>
      <c r="Q16" s="310">
        <f t="shared" si="8"/>
        <v>0</v>
      </c>
      <c r="R16" s="302">
        <f t="shared" si="9"/>
        <v>0</v>
      </c>
      <c r="S16" s="302">
        <f t="shared" si="10"/>
        <v>0</v>
      </c>
      <c r="T16" s="302">
        <f t="shared" si="11"/>
        <v>0</v>
      </c>
      <c r="U16" s="302">
        <f t="shared" si="12"/>
        <v>0</v>
      </c>
      <c r="V16" s="302">
        <f t="shared" si="13"/>
        <v>0</v>
      </c>
      <c r="W16" s="302">
        <f t="shared" si="14"/>
        <v>0</v>
      </c>
      <c r="X16" s="301">
        <f t="shared" si="15"/>
        <v>0</v>
      </c>
      <c r="Y16" s="311">
        <f t="shared" si="16"/>
        <v>0</v>
      </c>
    </row>
    <row r="17" spans="1:25" x14ac:dyDescent="0.25">
      <c r="A17" s="305">
        <v>5</v>
      </c>
      <c r="B17" s="301"/>
      <c r="C17" s="302"/>
      <c r="D17" s="306"/>
      <c r="E17" s="307">
        <f t="shared" si="0"/>
        <v>0</v>
      </c>
      <c r="F17" s="308">
        <v>1.1000000000000001</v>
      </c>
      <c r="G17" s="302"/>
      <c r="H17" s="302"/>
      <c r="I17" s="301">
        <f t="shared" si="1"/>
        <v>65</v>
      </c>
      <c r="J17" s="307">
        <v>1.8</v>
      </c>
      <c r="K17" s="302">
        <f t="shared" si="2"/>
        <v>0.3</v>
      </c>
      <c r="L17" s="302">
        <f t="shared" si="3"/>
        <v>9000</v>
      </c>
      <c r="M17" s="309">
        <f t="shared" si="4"/>
        <v>0</v>
      </c>
      <c r="N17" s="307">
        <f t="shared" si="5"/>
        <v>1.2</v>
      </c>
      <c r="O17" s="301">
        <f t="shared" si="6"/>
        <v>0</v>
      </c>
      <c r="P17" s="310">
        <f t="shared" si="7"/>
        <v>0</v>
      </c>
      <c r="Q17" s="310">
        <f t="shared" si="8"/>
        <v>0</v>
      </c>
      <c r="R17" s="302">
        <f t="shared" si="9"/>
        <v>0</v>
      </c>
      <c r="S17" s="302">
        <f t="shared" si="10"/>
        <v>0</v>
      </c>
      <c r="T17" s="302">
        <f t="shared" si="11"/>
        <v>0</v>
      </c>
      <c r="U17" s="302">
        <f t="shared" si="12"/>
        <v>0</v>
      </c>
      <c r="V17" s="302">
        <f t="shared" si="13"/>
        <v>0</v>
      </c>
      <c r="W17" s="302">
        <f t="shared" si="14"/>
        <v>0</v>
      </c>
      <c r="X17" s="301">
        <f t="shared" si="15"/>
        <v>0</v>
      </c>
      <c r="Y17" s="311">
        <f t="shared" si="16"/>
        <v>0</v>
      </c>
    </row>
    <row r="18" spans="1:25" x14ac:dyDescent="0.25">
      <c r="A18" s="305">
        <v>6</v>
      </c>
      <c r="B18" s="301"/>
      <c r="C18" s="302"/>
      <c r="D18" s="306"/>
      <c r="E18" s="307">
        <f t="shared" si="0"/>
        <v>0</v>
      </c>
      <c r="F18" s="308">
        <v>1.1000000000000001</v>
      </c>
      <c r="G18" s="302"/>
      <c r="H18" s="302"/>
      <c r="I18" s="301">
        <f t="shared" si="1"/>
        <v>65</v>
      </c>
      <c r="J18" s="307">
        <v>1.8</v>
      </c>
      <c r="K18" s="302">
        <f t="shared" si="2"/>
        <v>0.3</v>
      </c>
      <c r="L18" s="302">
        <f t="shared" si="3"/>
        <v>9000</v>
      </c>
      <c r="M18" s="309">
        <f t="shared" si="4"/>
        <v>0</v>
      </c>
      <c r="N18" s="307">
        <f t="shared" si="5"/>
        <v>1.2</v>
      </c>
      <c r="O18" s="301">
        <f t="shared" si="6"/>
        <v>0</v>
      </c>
      <c r="P18" s="310">
        <f t="shared" si="7"/>
        <v>0</v>
      </c>
      <c r="Q18" s="310">
        <f t="shared" si="8"/>
        <v>0</v>
      </c>
      <c r="R18" s="302">
        <f t="shared" si="9"/>
        <v>0</v>
      </c>
      <c r="S18" s="302">
        <f t="shared" si="10"/>
        <v>0</v>
      </c>
      <c r="T18" s="302">
        <f t="shared" si="11"/>
        <v>0</v>
      </c>
      <c r="U18" s="302">
        <f t="shared" si="12"/>
        <v>0</v>
      </c>
      <c r="V18" s="302">
        <f t="shared" si="13"/>
        <v>0</v>
      </c>
      <c r="W18" s="302">
        <f t="shared" si="14"/>
        <v>0</v>
      </c>
      <c r="X18" s="301">
        <f t="shared" si="15"/>
        <v>0</v>
      </c>
      <c r="Y18" s="311">
        <f t="shared" si="16"/>
        <v>0</v>
      </c>
    </row>
    <row r="19" spans="1:25" ht="15.75" thickBot="1" x14ac:dyDescent="0.3">
      <c r="A19" s="312"/>
      <c r="B19" s="313"/>
      <c r="C19" s="302"/>
      <c r="D19" s="314"/>
      <c r="E19" s="314"/>
      <c r="F19" s="313"/>
      <c r="G19" s="302"/>
      <c r="H19" s="314"/>
      <c r="I19" s="313"/>
      <c r="J19" s="314"/>
      <c r="K19" s="314"/>
      <c r="L19" s="314"/>
      <c r="M19" s="313"/>
      <c r="N19" s="314"/>
      <c r="O19" s="313"/>
      <c r="P19" s="302"/>
      <c r="Q19" s="302"/>
      <c r="R19" s="302"/>
      <c r="S19" s="302"/>
      <c r="T19" s="302"/>
      <c r="U19" s="302"/>
      <c r="V19" s="302"/>
      <c r="W19" s="302"/>
      <c r="X19" s="313"/>
      <c r="Y19" s="302"/>
    </row>
    <row r="20" spans="1:25" s="267" customFormat="1" ht="15.75" thickBot="1" x14ac:dyDescent="0.3">
      <c r="A20" s="315" t="s">
        <v>244</v>
      </c>
      <c r="B20" s="316"/>
      <c r="C20" s="317">
        <f>SUM(C12:C19)</f>
        <v>0</v>
      </c>
      <c r="D20" s="318" t="str">
        <f>IF(O4=1,"METERS","FEET")</f>
        <v>METERS</v>
      </c>
      <c r="E20" s="316"/>
      <c r="F20" s="316"/>
      <c r="G20" s="319">
        <f>SUM(G13:G18)</f>
        <v>0</v>
      </c>
      <c r="H20" s="319">
        <f>SUM(H13:H18)</f>
        <v>0</v>
      </c>
      <c r="I20" s="316"/>
      <c r="J20" s="316"/>
      <c r="K20" s="316"/>
      <c r="L20" s="316"/>
      <c r="M20" s="316"/>
      <c r="N20" s="316"/>
      <c r="O20" s="316"/>
      <c r="P20" s="317">
        <f t="shared" ref="P20:W20" si="17">SUM(P12:P19)</f>
        <v>0</v>
      </c>
      <c r="Q20" s="320">
        <f t="shared" si="17"/>
        <v>0</v>
      </c>
      <c r="R20" s="319">
        <f t="shared" si="17"/>
        <v>0</v>
      </c>
      <c r="S20" s="319">
        <f t="shared" si="17"/>
        <v>0</v>
      </c>
      <c r="T20" s="319">
        <f t="shared" si="17"/>
        <v>0</v>
      </c>
      <c r="U20" s="319">
        <f t="shared" si="17"/>
        <v>0</v>
      </c>
      <c r="V20" s="319">
        <f t="shared" si="17"/>
        <v>0</v>
      </c>
      <c r="W20" s="319">
        <f t="shared" si="17"/>
        <v>0</v>
      </c>
      <c r="X20" s="316"/>
      <c r="Y20" s="321">
        <f>SUM(Y12:Y19)</f>
        <v>0</v>
      </c>
    </row>
    <row r="21" spans="1:25" ht="15.75" thickBot="1" x14ac:dyDescent="0.3">
      <c r="A21" s="290"/>
      <c r="P21" s="290"/>
    </row>
    <row r="22" spans="1:25" s="295" customFormat="1" ht="15.75" thickBot="1" x14ac:dyDescent="0.3">
      <c r="A22" s="322" t="s">
        <v>245</v>
      </c>
      <c r="B22" s="323" t="s">
        <v>246</v>
      </c>
      <c r="C22" s="324" t="s">
        <v>247</v>
      </c>
      <c r="D22" s="323" t="s">
        <v>51</v>
      </c>
      <c r="E22" s="323" t="s">
        <v>248</v>
      </c>
      <c r="F22" s="323" t="s">
        <v>249</v>
      </c>
      <c r="G22" s="325" t="s">
        <v>250</v>
      </c>
      <c r="H22" s="323" t="s">
        <v>251</v>
      </c>
      <c r="I22" s="323" t="s">
        <v>252</v>
      </c>
      <c r="J22" s="323" t="s">
        <v>253</v>
      </c>
      <c r="K22" s="322" t="s">
        <v>51</v>
      </c>
      <c r="L22" s="323" t="s">
        <v>34</v>
      </c>
      <c r="M22" s="326"/>
      <c r="N22" s="323" t="s">
        <v>254</v>
      </c>
      <c r="O22" s="323" t="s">
        <v>255</v>
      </c>
      <c r="P22" s="323" t="s">
        <v>247</v>
      </c>
      <c r="Q22" s="323" t="s">
        <v>256</v>
      </c>
      <c r="R22" s="323" t="s">
        <v>257</v>
      </c>
      <c r="S22" s="323" t="s">
        <v>249</v>
      </c>
      <c r="T22" s="322" t="s">
        <v>258</v>
      </c>
      <c r="U22" s="323" t="s">
        <v>251</v>
      </c>
      <c r="V22" s="323" t="s">
        <v>243</v>
      </c>
      <c r="W22" s="322" t="s">
        <v>51</v>
      </c>
      <c r="X22" s="323" t="s">
        <v>259</v>
      </c>
    </row>
    <row r="23" spans="1:25" x14ac:dyDescent="0.25">
      <c r="A23" s="290"/>
      <c r="B23" s="302"/>
      <c r="C23" s="327"/>
      <c r="D23" s="302"/>
      <c r="E23" s="302"/>
      <c r="F23" s="302"/>
      <c r="H23" s="302"/>
      <c r="I23" s="302"/>
      <c r="J23" s="302"/>
      <c r="K23" s="301"/>
      <c r="L23" s="302"/>
      <c r="N23" s="300"/>
      <c r="O23" s="302"/>
      <c r="P23" s="302"/>
      <c r="Q23" s="302"/>
      <c r="R23" s="302"/>
      <c r="S23" s="302"/>
      <c r="T23" s="301"/>
      <c r="U23" s="302"/>
      <c r="V23" s="302"/>
      <c r="W23" s="301"/>
      <c r="X23" s="302"/>
    </row>
    <row r="24" spans="1:25" x14ac:dyDescent="0.25">
      <c r="A24" s="328">
        <v>1</v>
      </c>
      <c r="B24" s="302"/>
      <c r="C24" s="327"/>
      <c r="D24" s="302"/>
      <c r="E24" s="329"/>
      <c r="F24" s="302"/>
      <c r="H24" s="302">
        <f t="shared" ref="H24:H32" si="18">G24*C24</f>
        <v>0</v>
      </c>
      <c r="I24" s="302">
        <f t="shared" ref="I24:I32" si="19">(D24+F24)*C24*U$3</f>
        <v>0</v>
      </c>
      <c r="J24" s="302">
        <f t="shared" ref="J24:J32" si="20">IF(E24=1,0.5*C24*L$8,0)</f>
        <v>0</v>
      </c>
      <c r="K24" s="301">
        <f t="shared" ref="K24:K32" si="21">IF(C24=0,0,(H24+I24+J24)/C24)</f>
        <v>0</v>
      </c>
      <c r="L24" s="302">
        <f t="shared" ref="L24:L32" si="22">H24+I24+J24</f>
        <v>0</v>
      </c>
      <c r="M24" s="288" t="s">
        <v>260</v>
      </c>
      <c r="N24" s="330" t="s">
        <v>261</v>
      </c>
      <c r="O24" s="331" t="s">
        <v>262</v>
      </c>
      <c r="P24" s="302"/>
      <c r="Q24" s="332">
        <v>424</v>
      </c>
      <c r="R24" s="332">
        <v>285</v>
      </c>
      <c r="S24" s="302">
        <v>150</v>
      </c>
      <c r="T24" s="301"/>
      <c r="U24" s="302">
        <f t="shared" ref="U24:U29" si="23">P24*T24</f>
        <v>0</v>
      </c>
      <c r="V24" s="302">
        <f t="shared" ref="V24:V29" si="24">P24*(Q24+R24+S24)*U$3</f>
        <v>0</v>
      </c>
      <c r="W24" s="301">
        <f t="shared" ref="W24:W29" si="25">IF(P24=0,0,(U24+V24)/P24)</f>
        <v>0</v>
      </c>
      <c r="X24" s="302">
        <f t="shared" ref="X24:X29" si="26">U24+V24</f>
        <v>0</v>
      </c>
    </row>
    <row r="25" spans="1:25" x14ac:dyDescent="0.25">
      <c r="A25" s="328">
        <f t="shared" ref="A25:A60" si="27">1+A24</f>
        <v>2</v>
      </c>
      <c r="B25" s="302"/>
      <c r="C25" s="327"/>
      <c r="D25" s="302"/>
      <c r="E25" s="329"/>
      <c r="F25" s="302"/>
      <c r="H25" s="302">
        <f t="shared" si="18"/>
        <v>0</v>
      </c>
      <c r="I25" s="302">
        <f t="shared" si="19"/>
        <v>0</v>
      </c>
      <c r="J25" s="302">
        <f t="shared" si="20"/>
        <v>0</v>
      </c>
      <c r="K25" s="301">
        <f t="shared" si="21"/>
        <v>0</v>
      </c>
      <c r="L25" s="302">
        <f t="shared" si="22"/>
        <v>0</v>
      </c>
      <c r="M25" s="288" t="s">
        <v>263</v>
      </c>
      <c r="N25" s="330" t="s">
        <v>264</v>
      </c>
      <c r="O25" s="331" t="s">
        <v>265</v>
      </c>
      <c r="P25" s="302"/>
      <c r="Q25" s="332">
        <v>807</v>
      </c>
      <c r="R25" s="332">
        <v>285</v>
      </c>
      <c r="S25" s="302">
        <v>150</v>
      </c>
      <c r="T25" s="301"/>
      <c r="U25" s="302">
        <f t="shared" si="23"/>
        <v>0</v>
      </c>
      <c r="V25" s="302">
        <f t="shared" si="24"/>
        <v>0</v>
      </c>
      <c r="W25" s="301">
        <f t="shared" si="25"/>
        <v>0</v>
      </c>
      <c r="X25" s="302">
        <f t="shared" si="26"/>
        <v>0</v>
      </c>
    </row>
    <row r="26" spans="1:25" x14ac:dyDescent="0.25">
      <c r="A26" s="328">
        <f t="shared" si="27"/>
        <v>3</v>
      </c>
      <c r="B26" s="302"/>
      <c r="C26" s="327"/>
      <c r="D26" s="302"/>
      <c r="E26" s="329"/>
      <c r="F26" s="302"/>
      <c r="H26" s="302">
        <f t="shared" si="18"/>
        <v>0</v>
      </c>
      <c r="I26" s="302">
        <f t="shared" si="19"/>
        <v>0</v>
      </c>
      <c r="J26" s="302">
        <f t="shared" si="20"/>
        <v>0</v>
      </c>
      <c r="K26" s="301">
        <f t="shared" si="21"/>
        <v>0</v>
      </c>
      <c r="L26" s="302">
        <f t="shared" si="22"/>
        <v>0</v>
      </c>
      <c r="M26" s="288" t="s">
        <v>266</v>
      </c>
      <c r="N26" s="330" t="s">
        <v>267</v>
      </c>
      <c r="O26" s="331" t="s">
        <v>268</v>
      </c>
      <c r="P26" s="302"/>
      <c r="Q26" s="332">
        <v>1027</v>
      </c>
      <c r="R26" s="332">
        <v>285</v>
      </c>
      <c r="S26" s="302">
        <v>150</v>
      </c>
      <c r="T26" s="301"/>
      <c r="U26" s="302">
        <f t="shared" si="23"/>
        <v>0</v>
      </c>
      <c r="V26" s="302">
        <f t="shared" si="24"/>
        <v>0</v>
      </c>
      <c r="W26" s="301">
        <f t="shared" si="25"/>
        <v>0</v>
      </c>
      <c r="X26" s="302">
        <f t="shared" si="26"/>
        <v>0</v>
      </c>
    </row>
    <row r="27" spans="1:25" x14ac:dyDescent="0.25">
      <c r="A27" s="328">
        <f t="shared" si="27"/>
        <v>4</v>
      </c>
      <c r="B27" s="302"/>
      <c r="C27" s="327"/>
      <c r="D27" s="302"/>
      <c r="E27" s="329"/>
      <c r="F27" s="302"/>
      <c r="H27" s="302">
        <f t="shared" si="18"/>
        <v>0</v>
      </c>
      <c r="I27" s="302">
        <f t="shared" si="19"/>
        <v>0</v>
      </c>
      <c r="J27" s="302">
        <f t="shared" si="20"/>
        <v>0</v>
      </c>
      <c r="K27" s="301">
        <f t="shared" si="21"/>
        <v>0</v>
      </c>
      <c r="L27" s="302">
        <f t="shared" si="22"/>
        <v>0</v>
      </c>
      <c r="M27" s="288" t="s">
        <v>260</v>
      </c>
      <c r="N27" s="330" t="s">
        <v>269</v>
      </c>
      <c r="O27" s="331" t="s">
        <v>270</v>
      </c>
      <c r="P27" s="302"/>
      <c r="Q27" s="332">
        <v>1732</v>
      </c>
      <c r="R27" s="332">
        <v>285</v>
      </c>
      <c r="S27" s="302">
        <v>150</v>
      </c>
      <c r="T27" s="301"/>
      <c r="U27" s="302">
        <f t="shared" si="23"/>
        <v>0</v>
      </c>
      <c r="V27" s="302">
        <f t="shared" si="24"/>
        <v>0</v>
      </c>
      <c r="W27" s="301">
        <f t="shared" si="25"/>
        <v>0</v>
      </c>
      <c r="X27" s="302">
        <f t="shared" si="26"/>
        <v>0</v>
      </c>
    </row>
    <row r="28" spans="1:25" x14ac:dyDescent="0.25">
      <c r="A28" s="328">
        <f t="shared" si="27"/>
        <v>5</v>
      </c>
      <c r="B28" s="302"/>
      <c r="C28" s="327"/>
      <c r="D28" s="302"/>
      <c r="E28" s="329"/>
      <c r="F28" s="302"/>
      <c r="H28" s="302">
        <f t="shared" si="18"/>
        <v>0</v>
      </c>
      <c r="I28" s="302">
        <f t="shared" si="19"/>
        <v>0</v>
      </c>
      <c r="J28" s="302">
        <f t="shared" si="20"/>
        <v>0</v>
      </c>
      <c r="K28" s="301">
        <f t="shared" si="21"/>
        <v>0</v>
      </c>
      <c r="L28" s="302">
        <f t="shared" si="22"/>
        <v>0</v>
      </c>
      <c r="M28" s="288" t="s">
        <v>271</v>
      </c>
      <c r="N28" s="330" t="s">
        <v>272</v>
      </c>
      <c r="O28" s="331" t="s">
        <v>273</v>
      </c>
      <c r="P28" s="302"/>
      <c r="Q28" s="332">
        <v>2665</v>
      </c>
      <c r="R28" s="332">
        <v>285</v>
      </c>
      <c r="S28" s="302">
        <v>150</v>
      </c>
      <c r="T28" s="301"/>
      <c r="U28" s="302">
        <f t="shared" si="23"/>
        <v>0</v>
      </c>
      <c r="V28" s="302">
        <f t="shared" si="24"/>
        <v>0</v>
      </c>
      <c r="W28" s="301">
        <f t="shared" si="25"/>
        <v>0</v>
      </c>
      <c r="X28" s="302">
        <f t="shared" si="26"/>
        <v>0</v>
      </c>
    </row>
    <row r="29" spans="1:25" ht="15.75" thickBot="1" x14ac:dyDescent="0.3">
      <c r="A29" s="328">
        <f t="shared" si="27"/>
        <v>6</v>
      </c>
      <c r="B29" s="302"/>
      <c r="C29" s="327"/>
      <c r="D29" s="302"/>
      <c r="E29" s="329"/>
      <c r="F29" s="302"/>
      <c r="H29" s="302">
        <f t="shared" si="18"/>
        <v>0</v>
      </c>
      <c r="I29" s="302">
        <f t="shared" si="19"/>
        <v>0</v>
      </c>
      <c r="J29" s="302">
        <f t="shared" si="20"/>
        <v>0</v>
      </c>
      <c r="K29" s="301">
        <f t="shared" si="21"/>
        <v>0</v>
      </c>
      <c r="L29" s="302">
        <f t="shared" si="22"/>
        <v>0</v>
      </c>
      <c r="M29" s="288" t="s">
        <v>274</v>
      </c>
      <c r="N29" s="333" t="s">
        <v>275</v>
      </c>
      <c r="O29" s="334" t="s">
        <v>276</v>
      </c>
      <c r="P29" s="314"/>
      <c r="Q29" s="335">
        <v>3696</v>
      </c>
      <c r="R29" s="335">
        <v>285</v>
      </c>
      <c r="S29" s="302">
        <v>150</v>
      </c>
      <c r="T29" s="313"/>
      <c r="U29" s="302">
        <f t="shared" si="23"/>
        <v>0</v>
      </c>
      <c r="V29" s="302">
        <f t="shared" si="24"/>
        <v>0</v>
      </c>
      <c r="W29" s="313">
        <f t="shared" si="25"/>
        <v>0</v>
      </c>
      <c r="X29" s="302">
        <f t="shared" si="26"/>
        <v>0</v>
      </c>
    </row>
    <row r="30" spans="1:25" ht="15.75" thickBot="1" x14ac:dyDescent="0.3">
      <c r="A30" s="328">
        <f t="shared" si="27"/>
        <v>7</v>
      </c>
      <c r="B30" s="302"/>
      <c r="C30" s="327"/>
      <c r="D30" s="302"/>
      <c r="E30" s="329"/>
      <c r="F30" s="302"/>
      <c r="H30" s="302">
        <f t="shared" si="18"/>
        <v>0</v>
      </c>
      <c r="I30" s="302">
        <f t="shared" si="19"/>
        <v>0</v>
      </c>
      <c r="J30" s="302">
        <f t="shared" si="20"/>
        <v>0</v>
      </c>
      <c r="K30" s="301">
        <f t="shared" si="21"/>
        <v>0</v>
      </c>
      <c r="L30" s="302">
        <f t="shared" si="22"/>
        <v>0</v>
      </c>
      <c r="M30" s="336"/>
      <c r="N30" s="337" t="s">
        <v>277</v>
      </c>
      <c r="O30" s="288" t="s">
        <v>1</v>
      </c>
      <c r="P30" s="317">
        <f>SUM(P23:P29)</f>
        <v>0</v>
      </c>
      <c r="Q30" s="267"/>
      <c r="R30" s="267"/>
      <c r="S30" s="267"/>
      <c r="T30" s="267"/>
      <c r="U30" s="319">
        <f>SUM(U22:U29)</f>
        <v>0</v>
      </c>
      <c r="V30" s="319">
        <f>SUM(V22:V29)</f>
        <v>0</v>
      </c>
      <c r="W30" s="267"/>
      <c r="X30" s="319">
        <f>SUM(X24:X29)</f>
        <v>0</v>
      </c>
    </row>
    <row r="31" spans="1:25" ht="15.75" thickBot="1" x14ac:dyDescent="0.3">
      <c r="A31" s="328">
        <f t="shared" si="27"/>
        <v>8</v>
      </c>
      <c r="B31" s="302"/>
      <c r="C31" s="327"/>
      <c r="D31" s="302"/>
      <c r="E31" s="329"/>
      <c r="F31" s="302"/>
      <c r="H31" s="302">
        <f t="shared" si="18"/>
        <v>0</v>
      </c>
      <c r="I31" s="302">
        <f t="shared" si="19"/>
        <v>0</v>
      </c>
      <c r="J31" s="302">
        <f t="shared" si="20"/>
        <v>0</v>
      </c>
      <c r="K31" s="301">
        <f t="shared" si="21"/>
        <v>0</v>
      </c>
      <c r="L31" s="302">
        <f t="shared" si="22"/>
        <v>0</v>
      </c>
      <c r="M31" s="336"/>
      <c r="N31" s="337"/>
      <c r="O31" s="288"/>
      <c r="P31" s="338"/>
      <c r="Q31" s="267"/>
      <c r="R31" s="267"/>
      <c r="S31" s="267"/>
      <c r="T31" s="267"/>
      <c r="U31" s="267"/>
      <c r="V31" s="267"/>
      <c r="W31" s="267"/>
      <c r="X31" s="267"/>
    </row>
    <row r="32" spans="1:25" ht="15.75" thickBot="1" x14ac:dyDescent="0.3">
      <c r="A32" s="328">
        <f t="shared" si="27"/>
        <v>9</v>
      </c>
      <c r="B32" s="302"/>
      <c r="C32" s="327"/>
      <c r="D32" s="302"/>
      <c r="E32" s="329"/>
      <c r="F32" s="302"/>
      <c r="H32" s="302">
        <f t="shared" si="18"/>
        <v>0</v>
      </c>
      <c r="I32" s="302">
        <f t="shared" si="19"/>
        <v>0</v>
      </c>
      <c r="J32" s="302">
        <f t="shared" si="20"/>
        <v>0</v>
      </c>
      <c r="K32" s="301">
        <f t="shared" si="21"/>
        <v>0</v>
      </c>
      <c r="L32" s="302">
        <f t="shared" si="22"/>
        <v>0</v>
      </c>
      <c r="M32" s="336"/>
      <c r="N32" s="322" t="s">
        <v>278</v>
      </c>
      <c r="O32" s="325" t="s">
        <v>247</v>
      </c>
      <c r="P32" s="325" t="s">
        <v>279</v>
      </c>
      <c r="Q32" s="325" t="s">
        <v>256</v>
      </c>
      <c r="R32" s="325" t="s">
        <v>257</v>
      </c>
      <c r="S32" s="325" t="s">
        <v>280</v>
      </c>
      <c r="T32" s="325" t="s">
        <v>281</v>
      </c>
      <c r="U32" s="325" t="s">
        <v>282</v>
      </c>
      <c r="V32" s="325" t="s">
        <v>251</v>
      </c>
      <c r="W32" s="325" t="s">
        <v>243</v>
      </c>
      <c r="X32" s="325" t="s">
        <v>283</v>
      </c>
      <c r="Y32" s="339" t="s">
        <v>259</v>
      </c>
    </row>
    <row r="33" spans="1:25" ht="15.75" thickBot="1" x14ac:dyDescent="0.3">
      <c r="A33" s="328">
        <f t="shared" si="27"/>
        <v>10</v>
      </c>
      <c r="B33" s="302"/>
      <c r="C33" s="327"/>
      <c r="D33" s="302"/>
      <c r="E33" s="329"/>
      <c r="F33" s="302"/>
      <c r="H33" s="302">
        <f t="shared" ref="H33:H47" si="28">G33*C33</f>
        <v>0</v>
      </c>
      <c r="I33" s="302">
        <f t="shared" ref="I33:I47" si="29">(D33+F33)*C33*U$3</f>
        <v>0</v>
      </c>
      <c r="J33" s="302">
        <f t="shared" ref="J33:J47" si="30">IF(E33=1,0.5*C33*L$8,0)</f>
        <v>0</v>
      </c>
      <c r="K33" s="301">
        <f t="shared" ref="K33:K47" si="31">IF(C33=0,0,(H33+I33+J33)/C33)</f>
        <v>0</v>
      </c>
      <c r="L33" s="302">
        <f t="shared" ref="L33:L47" si="32">H33+I33+J33</f>
        <v>0</v>
      </c>
      <c r="M33" s="336"/>
      <c r="N33" s="322" t="s">
        <v>53</v>
      </c>
      <c r="O33" s="340"/>
      <c r="P33" s="340">
        <v>4500</v>
      </c>
      <c r="Q33" s="340">
        <v>1027</v>
      </c>
      <c r="R33" s="340">
        <v>285</v>
      </c>
      <c r="S33" s="316">
        <v>500</v>
      </c>
      <c r="T33" s="316">
        <v>150</v>
      </c>
      <c r="U33" s="316">
        <v>240</v>
      </c>
      <c r="V33" s="316">
        <f>S33*O33</f>
        <v>0</v>
      </c>
      <c r="W33" s="316">
        <f>O33*(P33+Q33+R33+T33+U33)</f>
        <v>0</v>
      </c>
      <c r="X33" s="316">
        <f>W33+V33</f>
        <v>0</v>
      </c>
      <c r="Y33" s="341">
        <f>V33+W33</f>
        <v>0</v>
      </c>
    </row>
    <row r="34" spans="1:25" ht="15.75" thickBot="1" x14ac:dyDescent="0.3">
      <c r="A34" s="328">
        <f t="shared" si="27"/>
        <v>11</v>
      </c>
      <c r="B34" s="302"/>
      <c r="C34" s="327"/>
      <c r="D34" s="302"/>
      <c r="E34" s="329"/>
      <c r="F34" s="302"/>
      <c r="H34" s="302">
        <f t="shared" si="28"/>
        <v>0</v>
      </c>
      <c r="I34" s="302">
        <f t="shared" si="29"/>
        <v>0</v>
      </c>
      <c r="J34" s="302">
        <f t="shared" si="30"/>
        <v>0</v>
      </c>
      <c r="K34" s="301">
        <f t="shared" si="31"/>
        <v>0</v>
      </c>
      <c r="L34" s="302">
        <f t="shared" si="32"/>
        <v>0</v>
      </c>
      <c r="M34" s="336"/>
      <c r="N34" s="290"/>
    </row>
    <row r="35" spans="1:25" ht="15.75" thickBot="1" x14ac:dyDescent="0.3">
      <c r="A35" s="328">
        <f t="shared" si="27"/>
        <v>12</v>
      </c>
      <c r="B35" s="302"/>
      <c r="C35" s="327"/>
      <c r="D35" s="302"/>
      <c r="E35" s="329"/>
      <c r="F35" s="302"/>
      <c r="H35" s="302">
        <f t="shared" si="28"/>
        <v>0</v>
      </c>
      <c r="I35" s="302">
        <f t="shared" si="29"/>
        <v>0</v>
      </c>
      <c r="J35" s="302">
        <f t="shared" si="30"/>
        <v>0</v>
      </c>
      <c r="K35" s="301">
        <f t="shared" si="31"/>
        <v>0</v>
      </c>
      <c r="L35" s="302">
        <f t="shared" si="32"/>
        <v>0</v>
      </c>
      <c r="M35" s="288" t="s">
        <v>284</v>
      </c>
      <c r="N35" s="323" t="s">
        <v>285</v>
      </c>
      <c r="O35" s="323" t="s">
        <v>247</v>
      </c>
      <c r="P35" s="342" t="s">
        <v>286</v>
      </c>
      <c r="Q35" s="323" t="s">
        <v>287</v>
      </c>
      <c r="R35" s="323" t="s">
        <v>288</v>
      </c>
      <c r="S35" s="323" t="s">
        <v>289</v>
      </c>
      <c r="T35" s="322" t="s">
        <v>290</v>
      </c>
      <c r="U35" s="323" t="s">
        <v>281</v>
      </c>
      <c r="V35" s="323" t="s">
        <v>31</v>
      </c>
      <c r="W35" s="323" t="s">
        <v>48</v>
      </c>
      <c r="X35" s="322" t="s">
        <v>283</v>
      </c>
      <c r="Y35" s="323" t="s">
        <v>259</v>
      </c>
    </row>
    <row r="36" spans="1:25" x14ac:dyDescent="0.25">
      <c r="A36" s="328">
        <f t="shared" si="27"/>
        <v>13</v>
      </c>
      <c r="B36" s="302"/>
      <c r="C36" s="327"/>
      <c r="D36" s="302"/>
      <c r="E36" s="329"/>
      <c r="F36" s="302"/>
      <c r="H36" s="302">
        <f t="shared" si="28"/>
        <v>0</v>
      </c>
      <c r="I36" s="302">
        <f t="shared" si="29"/>
        <v>0</v>
      </c>
      <c r="J36" s="302">
        <f t="shared" si="30"/>
        <v>0</v>
      </c>
      <c r="K36" s="301">
        <f t="shared" si="31"/>
        <v>0</v>
      </c>
      <c r="L36" s="302">
        <f t="shared" si="32"/>
        <v>0</v>
      </c>
      <c r="M36" s="288" t="s">
        <v>291</v>
      </c>
      <c r="N36" s="330" t="s">
        <v>265</v>
      </c>
      <c r="O36" s="306"/>
      <c r="P36" s="332">
        <v>91</v>
      </c>
      <c r="Q36" s="332">
        <v>450</v>
      </c>
      <c r="R36" s="307">
        <v>355</v>
      </c>
      <c r="S36" s="332">
        <v>150</v>
      </c>
      <c r="T36" s="343">
        <v>1500</v>
      </c>
      <c r="U36" s="302">
        <f>O36*(250*U3)</f>
        <v>0</v>
      </c>
      <c r="V36" s="302">
        <f>O36*T36</f>
        <v>0</v>
      </c>
      <c r="W36" s="302">
        <f>O36*(P36+Q36+R36+S36)*U3+O36*U36</f>
        <v>0</v>
      </c>
      <c r="X36" s="301">
        <f>IF(O36=0,0,(V36+W36)/O36)</f>
        <v>0</v>
      </c>
      <c r="Y36" s="302">
        <f>V36+W36</f>
        <v>0</v>
      </c>
    </row>
    <row r="37" spans="1:25" x14ac:dyDescent="0.25">
      <c r="A37" s="328">
        <f t="shared" si="27"/>
        <v>14</v>
      </c>
      <c r="B37" s="302"/>
      <c r="C37" s="327"/>
      <c r="D37" s="302"/>
      <c r="E37" s="329"/>
      <c r="F37" s="302"/>
      <c r="H37" s="302">
        <f t="shared" si="28"/>
        <v>0</v>
      </c>
      <c r="I37" s="302">
        <f t="shared" si="29"/>
        <v>0</v>
      </c>
      <c r="J37" s="302">
        <f t="shared" si="30"/>
        <v>0</v>
      </c>
      <c r="K37" s="301">
        <f t="shared" si="31"/>
        <v>0</v>
      </c>
      <c r="L37" s="302">
        <f t="shared" si="32"/>
        <v>0</v>
      </c>
      <c r="M37" s="288" t="s">
        <v>274</v>
      </c>
      <c r="N37" s="330" t="s">
        <v>268</v>
      </c>
      <c r="O37" s="306"/>
      <c r="P37" s="332">
        <v>147</v>
      </c>
      <c r="Q37" s="332">
        <v>560</v>
      </c>
      <c r="R37" s="307">
        <v>430</v>
      </c>
      <c r="S37" s="332">
        <v>150</v>
      </c>
      <c r="T37" s="343">
        <v>1500</v>
      </c>
      <c r="U37" s="302">
        <f>O37*(250*U3)</f>
        <v>0</v>
      </c>
      <c r="V37" s="302">
        <f>O37*T37</f>
        <v>0</v>
      </c>
      <c r="W37" s="302">
        <f>O37*(P37+Q37+R37+S37)*U3+O37*U37</f>
        <v>0</v>
      </c>
      <c r="X37" s="301">
        <f>IF(O37=0,0,(V37+W37)/O37)</f>
        <v>0</v>
      </c>
      <c r="Y37" s="302">
        <f>V37+W37</f>
        <v>0</v>
      </c>
    </row>
    <row r="38" spans="1:25" x14ac:dyDescent="0.25">
      <c r="A38" s="328">
        <f t="shared" si="27"/>
        <v>15</v>
      </c>
      <c r="B38" s="302"/>
      <c r="C38" s="327"/>
      <c r="D38" s="302"/>
      <c r="E38" s="329"/>
      <c r="F38" s="302"/>
      <c r="H38" s="302">
        <f t="shared" si="28"/>
        <v>0</v>
      </c>
      <c r="I38" s="302">
        <f t="shared" si="29"/>
        <v>0</v>
      </c>
      <c r="J38" s="302">
        <f t="shared" si="30"/>
        <v>0</v>
      </c>
      <c r="K38" s="301">
        <f t="shared" si="31"/>
        <v>0</v>
      </c>
      <c r="L38" s="302">
        <f t="shared" si="32"/>
        <v>0</v>
      </c>
      <c r="M38" s="288" t="s">
        <v>271</v>
      </c>
      <c r="N38" s="330" t="s">
        <v>270</v>
      </c>
      <c r="O38" s="306"/>
      <c r="P38" s="332">
        <v>200</v>
      </c>
      <c r="Q38" s="332">
        <v>720</v>
      </c>
      <c r="R38" s="307">
        <v>690</v>
      </c>
      <c r="S38" s="332">
        <v>150</v>
      </c>
      <c r="T38" s="343">
        <v>1500</v>
      </c>
      <c r="U38" s="302">
        <v>0</v>
      </c>
      <c r="V38" s="302">
        <f>O38*T38</f>
        <v>0</v>
      </c>
      <c r="W38" s="302">
        <f>O38*(P38+Q38+R38+S38)*U3+O38*U38</f>
        <v>0</v>
      </c>
      <c r="X38" s="301">
        <f>IF(O38=0,0,(V38+W38)/O38)</f>
        <v>0</v>
      </c>
      <c r="Y38" s="302">
        <f>V38+W38</f>
        <v>0</v>
      </c>
    </row>
    <row r="39" spans="1:25" x14ac:dyDescent="0.25">
      <c r="A39" s="328">
        <f t="shared" si="27"/>
        <v>16</v>
      </c>
      <c r="B39" s="302"/>
      <c r="C39" s="327"/>
      <c r="D39" s="302"/>
      <c r="E39" s="329"/>
      <c r="F39" s="302"/>
      <c r="H39" s="302">
        <f t="shared" si="28"/>
        <v>0</v>
      </c>
      <c r="I39" s="302">
        <f t="shared" si="29"/>
        <v>0</v>
      </c>
      <c r="J39" s="302">
        <f t="shared" si="30"/>
        <v>0</v>
      </c>
      <c r="K39" s="301">
        <f t="shared" si="31"/>
        <v>0</v>
      </c>
      <c r="L39" s="302">
        <f t="shared" si="32"/>
        <v>0</v>
      </c>
      <c r="M39" s="288" t="s">
        <v>284</v>
      </c>
      <c r="N39" s="330" t="s">
        <v>273</v>
      </c>
      <c r="O39" s="306"/>
      <c r="P39" s="332">
        <v>336</v>
      </c>
      <c r="Q39" s="332">
        <v>810</v>
      </c>
      <c r="R39" s="307">
        <v>828</v>
      </c>
      <c r="S39" s="332">
        <v>150</v>
      </c>
      <c r="T39" s="343">
        <v>1500</v>
      </c>
      <c r="U39" s="302">
        <f>O39*(250*U3)</f>
        <v>0</v>
      </c>
      <c r="V39" s="302">
        <f>O39*T39</f>
        <v>0</v>
      </c>
      <c r="W39" s="302">
        <f>O39*(P39+Q39+R39+S39)*U3+O39*U39</f>
        <v>0</v>
      </c>
      <c r="X39" s="301">
        <f>IF(O39=0,0,(V39+W39)/O39)</f>
        <v>0</v>
      </c>
      <c r="Y39" s="302">
        <f>V39+W39</f>
        <v>0</v>
      </c>
    </row>
    <row r="40" spans="1:25" ht="15.75" thickBot="1" x14ac:dyDescent="0.3">
      <c r="A40" s="328">
        <f t="shared" si="27"/>
        <v>17</v>
      </c>
      <c r="B40" s="302"/>
      <c r="C40" s="327"/>
      <c r="D40" s="302"/>
      <c r="E40" s="329"/>
      <c r="F40" s="302"/>
      <c r="H40" s="302">
        <f t="shared" si="28"/>
        <v>0</v>
      </c>
      <c r="I40" s="302">
        <f t="shared" si="29"/>
        <v>0</v>
      </c>
      <c r="J40" s="302">
        <f t="shared" si="30"/>
        <v>0</v>
      </c>
      <c r="K40" s="301">
        <f t="shared" si="31"/>
        <v>0</v>
      </c>
      <c r="L40" s="302">
        <f t="shared" si="32"/>
        <v>0</v>
      </c>
      <c r="M40" s="288" t="s">
        <v>274</v>
      </c>
      <c r="N40" s="268" t="s">
        <v>276</v>
      </c>
      <c r="O40" s="306"/>
      <c r="P40" s="332">
        <v>452</v>
      </c>
      <c r="Q40" s="332">
        <v>1020</v>
      </c>
      <c r="R40" s="307">
        <v>955</v>
      </c>
      <c r="S40" s="332">
        <v>150</v>
      </c>
      <c r="T40" s="343">
        <v>1500</v>
      </c>
      <c r="U40" s="302">
        <f>O40*(250*U3)</f>
        <v>0</v>
      </c>
      <c r="V40" s="302">
        <f>O40*T40</f>
        <v>0</v>
      </c>
      <c r="W40" s="302">
        <f>O40*(P40+Q40+R40+S40)*U3+O40*U40</f>
        <v>0</v>
      </c>
      <c r="X40" s="301">
        <f>IF(O40=0,0,(V40+W40)/O40)</f>
        <v>0</v>
      </c>
      <c r="Y40" s="302">
        <f>V40+W40</f>
        <v>0</v>
      </c>
    </row>
    <row r="41" spans="1:25" ht="15.75" thickBot="1" x14ac:dyDescent="0.3">
      <c r="A41" s="328">
        <f t="shared" si="27"/>
        <v>18</v>
      </c>
      <c r="B41" s="302"/>
      <c r="C41" s="327"/>
      <c r="D41" s="302"/>
      <c r="E41" s="329"/>
      <c r="F41" s="302"/>
      <c r="H41" s="302">
        <f t="shared" si="28"/>
        <v>0</v>
      </c>
      <c r="I41" s="302">
        <f t="shared" si="29"/>
        <v>0</v>
      </c>
      <c r="J41" s="302">
        <f t="shared" si="30"/>
        <v>0</v>
      </c>
      <c r="K41" s="301">
        <f t="shared" si="31"/>
        <v>0</v>
      </c>
      <c r="L41" s="302">
        <f t="shared" si="32"/>
        <v>0</v>
      </c>
      <c r="M41" s="336"/>
      <c r="N41" s="344" t="s">
        <v>293</v>
      </c>
      <c r="O41" s="317">
        <f>SUM(O34:O40)</f>
        <v>0</v>
      </c>
      <c r="P41" s="316"/>
      <c r="Q41" s="316"/>
      <c r="R41" s="316"/>
      <c r="S41" s="316"/>
      <c r="T41" s="316"/>
      <c r="U41" s="319">
        <f>SUM(U34:U40)</f>
        <v>0</v>
      </c>
      <c r="V41" s="319">
        <f>SUM(V34:V40)</f>
        <v>0</v>
      </c>
      <c r="W41" s="319">
        <f>SUM(W34:W40)</f>
        <v>0</v>
      </c>
      <c r="X41" s="316"/>
      <c r="Y41" s="319">
        <f>SUM(Y34:Y40)</f>
        <v>0</v>
      </c>
    </row>
    <row r="42" spans="1:25" x14ac:dyDescent="0.25">
      <c r="A42" s="328">
        <f t="shared" si="27"/>
        <v>19</v>
      </c>
      <c r="B42" s="302"/>
      <c r="C42" s="327"/>
      <c r="D42" s="302"/>
      <c r="E42" s="329"/>
      <c r="F42" s="302"/>
      <c r="H42" s="302">
        <f t="shared" si="28"/>
        <v>0</v>
      </c>
      <c r="I42" s="302">
        <f t="shared" si="29"/>
        <v>0</v>
      </c>
      <c r="J42" s="302">
        <f t="shared" si="30"/>
        <v>0</v>
      </c>
      <c r="K42" s="301">
        <f t="shared" si="31"/>
        <v>0</v>
      </c>
      <c r="L42" s="302">
        <f t="shared" si="32"/>
        <v>0</v>
      </c>
      <c r="M42" s="336"/>
      <c r="N42" s="337"/>
      <c r="O42" s="288"/>
      <c r="P42" s="338"/>
      <c r="Q42" s="267"/>
      <c r="R42" s="267"/>
      <c r="S42" s="267"/>
      <c r="T42" s="267"/>
      <c r="U42" s="267"/>
      <c r="V42" s="267"/>
      <c r="W42" s="267"/>
      <c r="X42" s="267"/>
    </row>
    <row r="43" spans="1:25" x14ac:dyDescent="0.25">
      <c r="A43" s="328">
        <f t="shared" si="27"/>
        <v>20</v>
      </c>
      <c r="B43" s="302"/>
      <c r="C43" s="327"/>
      <c r="D43" s="302"/>
      <c r="E43" s="329"/>
      <c r="F43" s="302"/>
      <c r="H43" s="302">
        <f t="shared" si="28"/>
        <v>0</v>
      </c>
      <c r="I43" s="302">
        <f t="shared" si="29"/>
        <v>0</v>
      </c>
      <c r="J43" s="302">
        <f t="shared" si="30"/>
        <v>0</v>
      </c>
      <c r="K43" s="301">
        <f t="shared" si="31"/>
        <v>0</v>
      </c>
      <c r="L43" s="302">
        <f t="shared" si="32"/>
        <v>0</v>
      </c>
      <c r="M43" s="336"/>
      <c r="N43" s="337"/>
      <c r="O43" s="288"/>
      <c r="P43" s="338"/>
      <c r="Q43" s="267"/>
      <c r="R43" s="267"/>
      <c r="S43" s="267"/>
      <c r="T43" s="267"/>
      <c r="U43" s="267"/>
      <c r="V43" s="267"/>
      <c r="W43" s="267"/>
      <c r="X43" s="267"/>
    </row>
    <row r="44" spans="1:25" x14ac:dyDescent="0.25">
      <c r="A44" s="328">
        <f t="shared" si="27"/>
        <v>21</v>
      </c>
      <c r="B44" s="302"/>
      <c r="C44" s="327"/>
      <c r="D44" s="302"/>
      <c r="E44" s="329"/>
      <c r="F44" s="302"/>
      <c r="H44" s="302">
        <f t="shared" si="28"/>
        <v>0</v>
      </c>
      <c r="I44" s="302">
        <f t="shared" si="29"/>
        <v>0</v>
      </c>
      <c r="J44" s="302">
        <f t="shared" si="30"/>
        <v>0</v>
      </c>
      <c r="K44" s="301">
        <f t="shared" si="31"/>
        <v>0</v>
      </c>
      <c r="L44" s="302">
        <f t="shared" si="32"/>
        <v>0</v>
      </c>
      <c r="M44" s="336"/>
      <c r="N44" s="337"/>
      <c r="O44" s="288"/>
      <c r="P44" s="338"/>
      <c r="Q44" s="267"/>
      <c r="R44" s="267"/>
      <c r="S44" s="267"/>
      <c r="T44" s="267"/>
      <c r="U44" s="267"/>
      <c r="V44" s="267"/>
      <c r="W44" s="267"/>
      <c r="X44" s="267"/>
    </row>
    <row r="45" spans="1:25" x14ac:dyDescent="0.25">
      <c r="A45" s="328">
        <f t="shared" si="27"/>
        <v>22</v>
      </c>
      <c r="B45" s="302"/>
      <c r="C45" s="327"/>
      <c r="D45" s="302"/>
      <c r="E45" s="329"/>
      <c r="F45" s="302"/>
      <c r="H45" s="302">
        <f t="shared" si="28"/>
        <v>0</v>
      </c>
      <c r="I45" s="302">
        <f t="shared" si="29"/>
        <v>0</v>
      </c>
      <c r="J45" s="302">
        <f t="shared" si="30"/>
        <v>0</v>
      </c>
      <c r="K45" s="301">
        <f t="shared" si="31"/>
        <v>0</v>
      </c>
      <c r="L45" s="302">
        <f t="shared" si="32"/>
        <v>0</v>
      </c>
      <c r="M45" s="336"/>
      <c r="N45" s="337"/>
      <c r="O45" s="288"/>
      <c r="P45" s="338"/>
      <c r="Q45" s="267"/>
      <c r="R45" s="267"/>
      <c r="S45" s="267"/>
      <c r="T45" s="267"/>
      <c r="U45" s="267"/>
      <c r="V45" s="267"/>
      <c r="W45" s="267"/>
      <c r="X45" s="267"/>
    </row>
    <row r="46" spans="1:25" x14ac:dyDescent="0.25">
      <c r="A46" s="328">
        <f t="shared" si="27"/>
        <v>23</v>
      </c>
      <c r="B46" s="302"/>
      <c r="C46" s="327"/>
      <c r="D46" s="302"/>
      <c r="E46" s="329"/>
      <c r="F46" s="302"/>
      <c r="H46" s="302">
        <f t="shared" si="28"/>
        <v>0</v>
      </c>
      <c r="I46" s="302">
        <f t="shared" si="29"/>
        <v>0</v>
      </c>
      <c r="J46" s="302">
        <f t="shared" si="30"/>
        <v>0</v>
      </c>
      <c r="K46" s="301">
        <f t="shared" si="31"/>
        <v>0</v>
      </c>
      <c r="L46" s="302">
        <f t="shared" si="32"/>
        <v>0</v>
      </c>
      <c r="M46" s="336"/>
      <c r="N46" s="337"/>
      <c r="O46" s="288"/>
      <c r="P46" s="338"/>
      <c r="Q46" s="267"/>
      <c r="R46" s="267"/>
      <c r="S46" s="267"/>
      <c r="T46" s="267"/>
      <c r="U46" s="267"/>
      <c r="V46" s="267"/>
      <c r="W46" s="267"/>
      <c r="X46" s="267"/>
    </row>
    <row r="47" spans="1:25" x14ac:dyDescent="0.25">
      <c r="A47" s="328">
        <f t="shared" si="27"/>
        <v>24</v>
      </c>
      <c r="B47" s="302"/>
      <c r="C47" s="327"/>
      <c r="D47" s="302"/>
      <c r="E47" s="329"/>
      <c r="F47" s="302"/>
      <c r="H47" s="302">
        <f t="shared" si="28"/>
        <v>0</v>
      </c>
      <c r="I47" s="302">
        <f t="shared" si="29"/>
        <v>0</v>
      </c>
      <c r="J47" s="302">
        <f t="shared" si="30"/>
        <v>0</v>
      </c>
      <c r="K47" s="301">
        <f t="shared" si="31"/>
        <v>0</v>
      </c>
      <c r="L47" s="302">
        <f t="shared" si="32"/>
        <v>0</v>
      </c>
      <c r="M47" s="336"/>
      <c r="N47" s="337"/>
      <c r="O47" s="288"/>
      <c r="P47" s="338"/>
      <c r="Q47" s="267"/>
      <c r="R47" s="267"/>
      <c r="S47" s="267"/>
      <c r="T47" s="267"/>
      <c r="U47" s="267"/>
      <c r="V47" s="267"/>
      <c r="W47" s="267"/>
      <c r="X47" s="267"/>
    </row>
    <row r="48" spans="1:25" x14ac:dyDescent="0.25">
      <c r="A48" s="328">
        <f t="shared" si="27"/>
        <v>25</v>
      </c>
      <c r="B48" s="302"/>
      <c r="C48" s="327"/>
      <c r="D48" s="302"/>
      <c r="E48" s="329"/>
      <c r="F48" s="302"/>
      <c r="H48" s="302">
        <f t="shared" ref="H48:H60" si="33">G48*C48</f>
        <v>0</v>
      </c>
      <c r="I48" s="302">
        <f t="shared" ref="I48:I60" si="34">(D48+F48)*C48*U$3</f>
        <v>0</v>
      </c>
      <c r="J48" s="302">
        <f t="shared" ref="J48:J60" si="35">IF(E48=1,0.5*C48*L$8,0)</f>
        <v>0</v>
      </c>
      <c r="K48" s="301">
        <f t="shared" ref="K48:K60" si="36">IF(C48=0,0,(H48+I48+J48)/C48)</f>
        <v>0</v>
      </c>
      <c r="L48" s="302">
        <f t="shared" ref="L48:L60" si="37">H48+I48+J48</f>
        <v>0</v>
      </c>
      <c r="M48" s="336"/>
      <c r="N48" s="337"/>
      <c r="O48" s="288"/>
      <c r="P48" s="338"/>
      <c r="Q48" s="267"/>
      <c r="R48" s="267"/>
      <c r="S48" s="267"/>
      <c r="T48" s="267"/>
      <c r="U48" s="267"/>
      <c r="V48" s="267"/>
      <c r="W48" s="267"/>
      <c r="X48" s="267"/>
    </row>
    <row r="49" spans="1:24" x14ac:dyDescent="0.25">
      <c r="A49" s="328">
        <f t="shared" si="27"/>
        <v>26</v>
      </c>
      <c r="B49" s="302"/>
      <c r="C49" s="327"/>
      <c r="D49" s="302"/>
      <c r="E49" s="329"/>
      <c r="F49" s="302"/>
      <c r="H49" s="302">
        <f t="shared" si="33"/>
        <v>0</v>
      </c>
      <c r="I49" s="302">
        <f t="shared" si="34"/>
        <v>0</v>
      </c>
      <c r="J49" s="302">
        <f t="shared" si="35"/>
        <v>0</v>
      </c>
      <c r="K49" s="301">
        <f t="shared" si="36"/>
        <v>0</v>
      </c>
      <c r="L49" s="302">
        <f t="shared" si="37"/>
        <v>0</v>
      </c>
      <c r="M49" s="336"/>
      <c r="N49" s="337"/>
      <c r="O49" s="288"/>
      <c r="P49" s="338"/>
      <c r="Q49" s="267"/>
      <c r="R49" s="267"/>
      <c r="S49" s="267"/>
      <c r="T49" s="267"/>
      <c r="U49" s="267"/>
      <c r="V49" s="267"/>
      <c r="W49" s="267"/>
      <c r="X49" s="267"/>
    </row>
    <row r="50" spans="1:24" x14ac:dyDescent="0.25">
      <c r="A50" s="328">
        <f t="shared" si="27"/>
        <v>27</v>
      </c>
      <c r="B50" s="302"/>
      <c r="C50" s="327"/>
      <c r="D50" s="302"/>
      <c r="E50" s="329"/>
      <c r="F50" s="302"/>
      <c r="H50" s="302">
        <f t="shared" si="33"/>
        <v>0</v>
      </c>
      <c r="I50" s="302">
        <f t="shared" si="34"/>
        <v>0</v>
      </c>
      <c r="J50" s="302">
        <f t="shared" si="35"/>
        <v>0</v>
      </c>
      <c r="K50" s="301">
        <f t="shared" si="36"/>
        <v>0</v>
      </c>
      <c r="L50" s="302">
        <f t="shared" si="37"/>
        <v>0</v>
      </c>
      <c r="M50" s="336"/>
      <c r="N50" s="337"/>
      <c r="O50" s="288"/>
      <c r="P50" s="338"/>
      <c r="Q50" s="267"/>
      <c r="R50" s="267"/>
      <c r="S50" s="267"/>
      <c r="T50" s="267"/>
      <c r="U50" s="267"/>
      <c r="V50" s="267"/>
      <c r="W50" s="267"/>
      <c r="X50" s="267"/>
    </row>
    <row r="51" spans="1:24" x14ac:dyDescent="0.25">
      <c r="A51" s="328">
        <f t="shared" si="27"/>
        <v>28</v>
      </c>
      <c r="B51" s="302"/>
      <c r="C51" s="327"/>
      <c r="D51" s="302"/>
      <c r="E51" s="329"/>
      <c r="F51" s="302"/>
      <c r="H51" s="302">
        <f t="shared" si="33"/>
        <v>0</v>
      </c>
      <c r="I51" s="302">
        <f t="shared" si="34"/>
        <v>0</v>
      </c>
      <c r="J51" s="302">
        <f t="shared" si="35"/>
        <v>0</v>
      </c>
      <c r="K51" s="301">
        <f t="shared" si="36"/>
        <v>0</v>
      </c>
      <c r="L51" s="302">
        <f t="shared" si="37"/>
        <v>0</v>
      </c>
      <c r="M51" s="336"/>
      <c r="N51" s="337"/>
      <c r="O51" s="288"/>
      <c r="P51" s="338"/>
      <c r="Q51" s="267"/>
      <c r="R51" s="267"/>
      <c r="S51" s="267"/>
      <c r="T51" s="267"/>
      <c r="U51" s="267"/>
      <c r="V51" s="267"/>
      <c r="W51" s="267"/>
      <c r="X51" s="267"/>
    </row>
    <row r="52" spans="1:24" x14ac:dyDescent="0.25">
      <c r="A52" s="328">
        <f t="shared" si="27"/>
        <v>29</v>
      </c>
      <c r="B52" s="302"/>
      <c r="C52" s="327"/>
      <c r="D52" s="302"/>
      <c r="E52" s="329"/>
      <c r="F52" s="302"/>
      <c r="H52" s="302">
        <f t="shared" si="33"/>
        <v>0</v>
      </c>
      <c r="I52" s="302">
        <f t="shared" si="34"/>
        <v>0</v>
      </c>
      <c r="J52" s="302">
        <f t="shared" si="35"/>
        <v>0</v>
      </c>
      <c r="K52" s="301">
        <f t="shared" si="36"/>
        <v>0</v>
      </c>
      <c r="L52" s="302">
        <f t="shared" si="37"/>
        <v>0</v>
      </c>
      <c r="M52" s="336"/>
      <c r="N52" s="337"/>
      <c r="O52" s="288"/>
      <c r="P52" s="338"/>
      <c r="Q52" s="267"/>
      <c r="R52" s="267"/>
      <c r="S52" s="267"/>
      <c r="T52" s="267"/>
      <c r="U52" s="267"/>
      <c r="V52" s="267"/>
      <c r="W52" s="267"/>
      <c r="X52" s="267"/>
    </row>
    <row r="53" spans="1:24" x14ac:dyDescent="0.25">
      <c r="A53" s="328">
        <f t="shared" si="27"/>
        <v>30</v>
      </c>
      <c r="B53" s="302"/>
      <c r="C53" s="327"/>
      <c r="D53" s="302"/>
      <c r="E53" s="329"/>
      <c r="F53" s="302"/>
      <c r="H53" s="302">
        <f t="shared" si="33"/>
        <v>0</v>
      </c>
      <c r="I53" s="302">
        <f t="shared" si="34"/>
        <v>0</v>
      </c>
      <c r="J53" s="302">
        <f t="shared" si="35"/>
        <v>0</v>
      </c>
      <c r="K53" s="301">
        <f t="shared" si="36"/>
        <v>0</v>
      </c>
      <c r="L53" s="302">
        <f t="shared" si="37"/>
        <v>0</v>
      </c>
      <c r="M53" s="336"/>
      <c r="N53" s="290"/>
    </row>
    <row r="54" spans="1:24" x14ac:dyDescent="0.25">
      <c r="A54" s="328">
        <f t="shared" si="27"/>
        <v>31</v>
      </c>
      <c r="B54" s="302" t="s">
        <v>386</v>
      </c>
      <c r="C54" s="327"/>
      <c r="D54" s="302">
        <v>267</v>
      </c>
      <c r="E54" s="329"/>
      <c r="F54" s="302">
        <v>100</v>
      </c>
      <c r="H54" s="302">
        <f t="shared" si="33"/>
        <v>0</v>
      </c>
      <c r="I54" s="302">
        <f t="shared" si="34"/>
        <v>0</v>
      </c>
      <c r="J54" s="302">
        <f t="shared" si="35"/>
        <v>0</v>
      </c>
      <c r="K54" s="301">
        <f t="shared" si="36"/>
        <v>0</v>
      </c>
      <c r="L54" s="302">
        <f t="shared" si="37"/>
        <v>0</v>
      </c>
    </row>
    <row r="55" spans="1:24" x14ac:dyDescent="0.25">
      <c r="A55" s="328">
        <f t="shared" si="27"/>
        <v>32</v>
      </c>
      <c r="B55" s="302" t="s">
        <v>385</v>
      </c>
      <c r="C55" s="327"/>
      <c r="D55" s="302">
        <v>188</v>
      </c>
      <c r="E55" s="329"/>
      <c r="F55" s="302">
        <v>100</v>
      </c>
      <c r="H55" s="302">
        <f t="shared" si="33"/>
        <v>0</v>
      </c>
      <c r="I55" s="302">
        <f t="shared" si="34"/>
        <v>0</v>
      </c>
      <c r="J55" s="302">
        <f t="shared" si="35"/>
        <v>0</v>
      </c>
      <c r="K55" s="301">
        <f t="shared" si="36"/>
        <v>0</v>
      </c>
      <c r="L55" s="302">
        <f t="shared" si="37"/>
        <v>0</v>
      </c>
    </row>
    <row r="56" spans="1:24" x14ac:dyDescent="0.25">
      <c r="A56" s="328">
        <f t="shared" si="27"/>
        <v>33</v>
      </c>
      <c r="B56" s="302" t="s">
        <v>358</v>
      </c>
      <c r="C56" s="345"/>
      <c r="D56" s="302">
        <v>112</v>
      </c>
      <c r="E56" s="329"/>
      <c r="F56" s="302">
        <v>100</v>
      </c>
      <c r="H56" s="302">
        <f t="shared" si="33"/>
        <v>0</v>
      </c>
      <c r="I56" s="302">
        <f t="shared" si="34"/>
        <v>0</v>
      </c>
      <c r="J56" s="302">
        <f t="shared" si="35"/>
        <v>0</v>
      </c>
      <c r="K56" s="301">
        <f t="shared" si="36"/>
        <v>0</v>
      </c>
      <c r="L56" s="302">
        <f t="shared" si="37"/>
        <v>0</v>
      </c>
    </row>
    <row r="57" spans="1:24" x14ac:dyDescent="0.25">
      <c r="A57" s="328">
        <f t="shared" si="27"/>
        <v>34</v>
      </c>
      <c r="B57" s="302" t="s">
        <v>359</v>
      </c>
      <c r="C57" s="345"/>
      <c r="D57" s="302">
        <v>85</v>
      </c>
      <c r="E57" s="329"/>
      <c r="F57" s="302">
        <v>100</v>
      </c>
      <c r="H57" s="302">
        <f t="shared" si="33"/>
        <v>0</v>
      </c>
      <c r="I57" s="302">
        <f t="shared" si="34"/>
        <v>0</v>
      </c>
      <c r="J57" s="302">
        <f t="shared" si="35"/>
        <v>0</v>
      </c>
      <c r="K57" s="301">
        <f t="shared" si="36"/>
        <v>0</v>
      </c>
      <c r="L57" s="302">
        <f t="shared" si="37"/>
        <v>0</v>
      </c>
    </row>
    <row r="58" spans="1:24" x14ac:dyDescent="0.25">
      <c r="A58" s="328">
        <f t="shared" si="27"/>
        <v>35</v>
      </c>
      <c r="B58" s="302" t="s">
        <v>360</v>
      </c>
      <c r="C58" s="345"/>
      <c r="D58" s="302">
        <v>69</v>
      </c>
      <c r="E58" s="329"/>
      <c r="F58" s="302">
        <v>100</v>
      </c>
      <c r="H58" s="302">
        <f t="shared" si="33"/>
        <v>0</v>
      </c>
      <c r="I58" s="302">
        <f t="shared" si="34"/>
        <v>0</v>
      </c>
      <c r="J58" s="302">
        <f t="shared" si="35"/>
        <v>0</v>
      </c>
      <c r="K58" s="301">
        <f t="shared" si="36"/>
        <v>0</v>
      </c>
      <c r="L58" s="302">
        <f t="shared" si="37"/>
        <v>0</v>
      </c>
    </row>
    <row r="59" spans="1:24" x14ac:dyDescent="0.25">
      <c r="A59" s="328">
        <f t="shared" si="27"/>
        <v>36</v>
      </c>
      <c r="B59" s="302"/>
      <c r="C59" s="327"/>
      <c r="D59" s="302"/>
      <c r="E59" s="329"/>
      <c r="F59" s="302"/>
      <c r="H59" s="302">
        <f t="shared" si="33"/>
        <v>0</v>
      </c>
      <c r="I59" s="302">
        <f t="shared" si="34"/>
        <v>0</v>
      </c>
      <c r="J59" s="302">
        <f t="shared" si="35"/>
        <v>0</v>
      </c>
      <c r="K59" s="301">
        <f t="shared" si="36"/>
        <v>0</v>
      </c>
      <c r="L59" s="302">
        <f t="shared" si="37"/>
        <v>0</v>
      </c>
    </row>
    <row r="60" spans="1:24" x14ac:dyDescent="0.25">
      <c r="A60" s="328">
        <f t="shared" si="27"/>
        <v>37</v>
      </c>
      <c r="B60" s="302" t="s">
        <v>357</v>
      </c>
      <c r="C60" s="327">
        <v>1</v>
      </c>
      <c r="D60" s="302"/>
      <c r="E60" s="329"/>
      <c r="F60" s="302"/>
      <c r="G60" s="346">
        <v>6500</v>
      </c>
      <c r="H60" s="302">
        <f t="shared" si="33"/>
        <v>6500</v>
      </c>
      <c r="I60" s="302">
        <f t="shared" si="34"/>
        <v>0</v>
      </c>
      <c r="J60" s="302">
        <f t="shared" si="35"/>
        <v>0</v>
      </c>
      <c r="K60" s="301">
        <f t="shared" si="36"/>
        <v>6500</v>
      </c>
      <c r="L60" s="302">
        <f t="shared" si="37"/>
        <v>6500</v>
      </c>
    </row>
    <row r="61" spans="1:24" ht="15.75" thickBot="1" x14ac:dyDescent="0.3">
      <c r="A61" s="290"/>
      <c r="B61" s="314"/>
      <c r="C61" s="327"/>
      <c r="D61" s="314"/>
      <c r="E61" s="314"/>
      <c r="F61" s="314"/>
      <c r="H61" s="302"/>
      <c r="I61" s="302"/>
      <c r="J61" s="302"/>
      <c r="K61" s="313"/>
      <c r="L61" s="302"/>
    </row>
    <row r="62" spans="1:24" s="267" customFormat="1" ht="15.75" thickBot="1" x14ac:dyDescent="0.3">
      <c r="A62" s="315" t="s">
        <v>292</v>
      </c>
      <c r="B62" s="347"/>
      <c r="C62" s="317">
        <f>SUM(C24:C60)</f>
        <v>1</v>
      </c>
      <c r="D62" s="316"/>
      <c r="E62" s="316"/>
      <c r="F62" s="316"/>
      <c r="G62" s="316"/>
      <c r="H62" s="319">
        <f>SUM(H23:H61)</f>
        <v>6500</v>
      </c>
      <c r="I62" s="319">
        <f>SUM(I24:I61)</f>
        <v>0</v>
      </c>
      <c r="J62" s="319">
        <f>SUM(J23:J61)</f>
        <v>0</v>
      </c>
      <c r="K62" s="316"/>
      <c r="L62" s="319">
        <f>SUM(L23:L61)</f>
        <v>6500</v>
      </c>
    </row>
    <row r="63" spans="1:24" ht="15.75" thickBot="1" x14ac:dyDescent="0.3">
      <c r="A63" s="290"/>
    </row>
    <row r="64" spans="1:24" ht="15.75" thickBot="1" x14ac:dyDescent="0.3">
      <c r="A64" s="348"/>
      <c r="B64" s="344" t="s">
        <v>294</v>
      </c>
      <c r="C64" s="342" t="s">
        <v>247</v>
      </c>
      <c r="D64" s="349" t="s">
        <v>295</v>
      </c>
      <c r="E64" s="349" t="s">
        <v>296</v>
      </c>
      <c r="F64" s="322" t="s">
        <v>290</v>
      </c>
      <c r="G64" s="350" t="s">
        <v>48</v>
      </c>
      <c r="H64" s="323" t="s">
        <v>31</v>
      </c>
      <c r="I64" s="323" t="s">
        <v>51</v>
      </c>
      <c r="J64" s="323" t="s">
        <v>297</v>
      </c>
      <c r="K64" s="272"/>
    </row>
    <row r="65" spans="1:25" x14ac:dyDescent="0.25">
      <c r="A65" s="305">
        <v>1</v>
      </c>
      <c r="B65" s="409" t="s">
        <v>298</v>
      </c>
      <c r="C65" s="351">
        <f>C20</f>
        <v>0</v>
      </c>
      <c r="D65" s="286">
        <f t="shared" ref="D65:D72" si="38">U$3</f>
        <v>1</v>
      </c>
      <c r="E65" s="286">
        <f>IF(O$4=1,1.25,1.25/3.28)</f>
        <v>1.25</v>
      </c>
      <c r="F65" s="301"/>
      <c r="G65" s="302">
        <f>C65*D65*IF(O$4=1,E65,E65/3.28)</f>
        <v>0</v>
      </c>
      <c r="H65" s="302">
        <f t="shared" ref="H65:H72" si="39">C65*F65</f>
        <v>0</v>
      </c>
      <c r="I65" s="302">
        <f t="shared" ref="I65:I72" si="40">IF(C65=0,0,(G65+H65)/C65)</f>
        <v>0</v>
      </c>
      <c r="J65" s="302">
        <f t="shared" ref="J65:J72" si="41">G65+H65</f>
        <v>0</v>
      </c>
      <c r="K65" s="272"/>
    </row>
    <row r="66" spans="1:25" x14ac:dyDescent="0.25">
      <c r="A66" s="305">
        <v>2</v>
      </c>
      <c r="B66" s="331"/>
      <c r="C66" s="306">
        <v>0</v>
      </c>
      <c r="D66" s="286">
        <f t="shared" si="38"/>
        <v>1</v>
      </c>
      <c r="E66" s="286">
        <v>0</v>
      </c>
      <c r="F66" s="301"/>
      <c r="G66" s="302">
        <f t="shared" ref="G66:G72" si="42">C66*D66*E66</f>
        <v>0</v>
      </c>
      <c r="H66" s="302">
        <f t="shared" si="39"/>
        <v>0</v>
      </c>
      <c r="I66" s="302">
        <f t="shared" si="40"/>
        <v>0</v>
      </c>
      <c r="J66" s="302">
        <f t="shared" si="41"/>
        <v>0</v>
      </c>
      <c r="K66" s="272"/>
    </row>
    <row r="67" spans="1:25" x14ac:dyDescent="0.25">
      <c r="A67" s="305">
        <v>3</v>
      </c>
      <c r="B67" s="331"/>
      <c r="C67" s="302"/>
      <c r="D67" s="286">
        <f t="shared" si="38"/>
        <v>1</v>
      </c>
      <c r="E67" s="286">
        <v>0</v>
      </c>
      <c r="F67" s="301"/>
      <c r="G67" s="302">
        <f t="shared" si="42"/>
        <v>0</v>
      </c>
      <c r="H67" s="302">
        <f t="shared" si="39"/>
        <v>0</v>
      </c>
      <c r="I67" s="302">
        <f t="shared" si="40"/>
        <v>0</v>
      </c>
      <c r="J67" s="302">
        <f t="shared" si="41"/>
        <v>0</v>
      </c>
      <c r="K67" s="272"/>
    </row>
    <row r="68" spans="1:25" x14ac:dyDescent="0.25">
      <c r="A68" s="305">
        <v>4</v>
      </c>
      <c r="B68" s="331"/>
      <c r="C68" s="302"/>
      <c r="D68" s="286">
        <f t="shared" si="38"/>
        <v>1</v>
      </c>
      <c r="E68" s="286">
        <v>0</v>
      </c>
      <c r="F68" s="301"/>
      <c r="G68" s="302">
        <f t="shared" si="42"/>
        <v>0</v>
      </c>
      <c r="H68" s="302">
        <f t="shared" si="39"/>
        <v>0</v>
      </c>
      <c r="I68" s="302">
        <f t="shared" si="40"/>
        <v>0</v>
      </c>
      <c r="J68" s="302">
        <f t="shared" si="41"/>
        <v>0</v>
      </c>
      <c r="K68" s="272"/>
    </row>
    <row r="69" spans="1:25" x14ac:dyDescent="0.25">
      <c r="A69" s="305">
        <v>5</v>
      </c>
      <c r="B69" s="331"/>
      <c r="C69" s="302"/>
      <c r="D69" s="286">
        <f t="shared" si="38"/>
        <v>1</v>
      </c>
      <c r="E69" s="286">
        <v>0</v>
      </c>
      <c r="F69" s="301"/>
      <c r="G69" s="302">
        <f t="shared" si="42"/>
        <v>0</v>
      </c>
      <c r="H69" s="302">
        <f t="shared" si="39"/>
        <v>0</v>
      </c>
      <c r="I69" s="302">
        <f t="shared" si="40"/>
        <v>0</v>
      </c>
      <c r="J69" s="302">
        <f t="shared" si="41"/>
        <v>0</v>
      </c>
      <c r="K69" s="272"/>
    </row>
    <row r="70" spans="1:25" x14ac:dyDescent="0.25">
      <c r="A70" s="305">
        <v>6</v>
      </c>
      <c r="B70" s="331"/>
      <c r="C70" s="302"/>
      <c r="D70" s="286">
        <f t="shared" si="38"/>
        <v>1</v>
      </c>
      <c r="E70" s="286">
        <v>0</v>
      </c>
      <c r="F70" s="301"/>
      <c r="G70" s="302">
        <f t="shared" si="42"/>
        <v>0</v>
      </c>
      <c r="H70" s="302">
        <f t="shared" si="39"/>
        <v>0</v>
      </c>
      <c r="I70" s="302">
        <f t="shared" si="40"/>
        <v>0</v>
      </c>
      <c r="J70" s="302">
        <f t="shared" si="41"/>
        <v>0</v>
      </c>
      <c r="K70" s="272"/>
    </row>
    <row r="71" spans="1:25" x14ac:dyDescent="0.25">
      <c r="A71" s="305">
        <v>7</v>
      </c>
      <c r="B71" s="331"/>
      <c r="C71" s="302"/>
      <c r="D71" s="286">
        <f t="shared" si="38"/>
        <v>1</v>
      </c>
      <c r="E71" s="286">
        <v>0</v>
      </c>
      <c r="F71" s="301"/>
      <c r="G71" s="302">
        <f t="shared" si="42"/>
        <v>0</v>
      </c>
      <c r="H71" s="302">
        <f t="shared" si="39"/>
        <v>0</v>
      </c>
      <c r="I71" s="302">
        <f t="shared" si="40"/>
        <v>0</v>
      </c>
      <c r="J71" s="302">
        <f t="shared" si="41"/>
        <v>0</v>
      </c>
      <c r="K71" s="272"/>
    </row>
    <row r="72" spans="1:25" x14ac:dyDescent="0.25">
      <c r="A72" s="305">
        <v>8</v>
      </c>
      <c r="B72" s="331"/>
      <c r="C72" s="302"/>
      <c r="D72" s="286">
        <f t="shared" si="38"/>
        <v>1</v>
      </c>
      <c r="E72" s="286">
        <v>0</v>
      </c>
      <c r="F72" s="301"/>
      <c r="G72" s="307">
        <f t="shared" si="42"/>
        <v>0</v>
      </c>
      <c r="H72" s="307">
        <f t="shared" si="39"/>
        <v>0</v>
      </c>
      <c r="I72" s="307">
        <f t="shared" si="40"/>
        <v>0</v>
      </c>
      <c r="J72" s="307">
        <f t="shared" si="41"/>
        <v>0</v>
      </c>
      <c r="K72" s="280"/>
    </row>
    <row r="73" spans="1:25" ht="15.75" thickBot="1" x14ac:dyDescent="0.3">
      <c r="A73" s="312"/>
      <c r="B73" s="314"/>
      <c r="C73" s="314"/>
      <c r="F73" s="313"/>
      <c r="G73" s="302"/>
      <c r="H73" s="314"/>
      <c r="I73" s="314"/>
      <c r="J73" s="302"/>
      <c r="K73" s="272"/>
    </row>
    <row r="74" spans="1:25" ht="15.75" thickBot="1" x14ac:dyDescent="0.3">
      <c r="A74" s="315" t="s">
        <v>299</v>
      </c>
      <c r="B74" s="352"/>
      <c r="C74" s="352"/>
      <c r="D74" s="352"/>
      <c r="E74" s="352"/>
      <c r="F74" s="352"/>
      <c r="G74" s="319">
        <f>SUM(G65:G73)</f>
        <v>0</v>
      </c>
      <c r="H74" s="319">
        <f>SUM(H65:H73)</f>
        <v>0</v>
      </c>
      <c r="I74" s="319">
        <f>SUM(I65:I73)</f>
        <v>0</v>
      </c>
      <c r="J74" s="319">
        <f>SUM(J65:J73)</f>
        <v>0</v>
      </c>
      <c r="K74" s="272"/>
      <c r="U74" s="323" t="s">
        <v>300</v>
      </c>
      <c r="V74" s="323" t="s">
        <v>301</v>
      </c>
      <c r="W74" s="323" t="s">
        <v>151</v>
      </c>
      <c r="X74" s="352"/>
      <c r="Y74" s="350" t="s">
        <v>302</v>
      </c>
    </row>
    <row r="75" spans="1:25" ht="15.75" thickBot="1" x14ac:dyDescent="0.3">
      <c r="A75" s="290"/>
      <c r="U75" s="300"/>
      <c r="V75" s="353"/>
      <c r="W75" s="302"/>
      <c r="Y75" s="277"/>
    </row>
    <row r="76" spans="1:25" x14ac:dyDescent="0.25">
      <c r="B76" s="354" t="s">
        <v>303</v>
      </c>
      <c r="C76" s="355">
        <f>R20</f>
        <v>0</v>
      </c>
      <c r="D76" s="356"/>
      <c r="E76" s="272"/>
      <c r="F76" s="357" t="s">
        <v>304</v>
      </c>
      <c r="G76" s="358">
        <f>T33+J62+U41</f>
        <v>150</v>
      </c>
      <c r="H76" s="272"/>
      <c r="I76" s="273" t="s">
        <v>305</v>
      </c>
      <c r="J76" s="359">
        <f>P20</f>
        <v>0</v>
      </c>
      <c r="K76" s="356"/>
      <c r="L76" s="303"/>
      <c r="M76" s="360"/>
      <c r="N76" s="356"/>
      <c r="T76" s="272"/>
      <c r="U76" s="275" t="s">
        <v>306</v>
      </c>
      <c r="V76" s="361">
        <f>U20+V30+W33+I62+J62+W41+G74</f>
        <v>0</v>
      </c>
      <c r="W76" s="361">
        <f>(O$5-1)*V76</f>
        <v>0</v>
      </c>
      <c r="Y76" s="362">
        <f>V76+W76</f>
        <v>0</v>
      </c>
    </row>
    <row r="77" spans="1:25" x14ac:dyDescent="0.25">
      <c r="B77" s="363" t="s">
        <v>307</v>
      </c>
      <c r="C77" s="364">
        <f>V30+O33*(Q33+R33)</f>
        <v>0</v>
      </c>
      <c r="D77" s="356"/>
      <c r="E77" s="272"/>
      <c r="F77" s="365" t="s">
        <v>308</v>
      </c>
      <c r="G77" s="366">
        <f>S20</f>
        <v>0</v>
      </c>
      <c r="H77" s="272"/>
      <c r="I77" s="275" t="s">
        <v>309</v>
      </c>
      <c r="J77" s="277">
        <f>(V20+U30+V33+H62+V41+H74)/F6</f>
        <v>0.72222222222222221</v>
      </c>
      <c r="K77" s="356"/>
      <c r="L77" s="275" t="s">
        <v>310</v>
      </c>
      <c r="M77" s="367">
        <f>IF(J76=0,0,(V20+U30+V33+H62+V41+H74)/J76)</f>
        <v>0</v>
      </c>
      <c r="N77" s="356"/>
      <c r="T77" s="272"/>
      <c r="U77" s="275" t="s">
        <v>311</v>
      </c>
      <c r="V77" s="361">
        <f>V20+U30+V33+H62+V41+H74</f>
        <v>6500</v>
      </c>
      <c r="W77" s="361">
        <f>(O$5-1)*V77</f>
        <v>650.00000000000057</v>
      </c>
      <c r="Y77" s="362">
        <f>V77+W77</f>
        <v>7150.0000000000009</v>
      </c>
    </row>
    <row r="78" spans="1:25" x14ac:dyDescent="0.25">
      <c r="B78" s="363" t="s">
        <v>312</v>
      </c>
      <c r="C78" s="364">
        <f>O33*P33</f>
        <v>0</v>
      </c>
      <c r="D78" s="356"/>
      <c r="E78" s="272"/>
      <c r="F78" s="365" t="s">
        <v>313</v>
      </c>
      <c r="G78" s="366">
        <f>T20</f>
        <v>0</v>
      </c>
      <c r="H78" s="272"/>
      <c r="I78" s="275" t="s">
        <v>314</v>
      </c>
      <c r="J78" s="368">
        <f>IF(O4=1,C20,C20/3.28)</f>
        <v>0</v>
      </c>
      <c r="K78" s="356"/>
      <c r="L78" s="275" t="s">
        <v>315</v>
      </c>
      <c r="M78" s="367">
        <f>IF(J78=0,0,(V20+U30+V33+H62+V41+H74)/J78)</f>
        <v>0</v>
      </c>
      <c r="N78" s="356"/>
      <c r="T78" s="272"/>
      <c r="U78" s="275" t="s">
        <v>60</v>
      </c>
      <c r="V78" s="361">
        <f>W20</f>
        <v>0</v>
      </c>
      <c r="W78" s="361">
        <f>(O$5-1)*V78</f>
        <v>0</v>
      </c>
      <c r="Y78" s="362">
        <f>V78+W78</f>
        <v>0</v>
      </c>
    </row>
    <row r="79" spans="1:25" ht="15.75" thickBot="1" x14ac:dyDescent="0.3">
      <c r="B79" s="363" t="s">
        <v>316</v>
      </c>
      <c r="C79" s="364">
        <f>I62+O36*(P36+Q36+S36)+O37*(P37+Q37+S37)+O38*(P38+Q38+S38)+O39*(P39+Q39+S39)</f>
        <v>0</v>
      </c>
      <c r="D79" s="356"/>
      <c r="E79" s="272"/>
      <c r="F79" s="365" t="s">
        <v>317</v>
      </c>
      <c r="G79" s="369">
        <f>IF(G76=0,0,G76/L8)</f>
        <v>0.6</v>
      </c>
      <c r="H79" s="272"/>
      <c r="I79" s="276" t="s">
        <v>318</v>
      </c>
      <c r="J79" s="368">
        <f>J78*3.28</f>
        <v>0</v>
      </c>
      <c r="K79" s="356"/>
      <c r="L79" s="276" t="s">
        <v>319</v>
      </c>
      <c r="M79" s="367">
        <f>M78/3.28</f>
        <v>0</v>
      </c>
      <c r="N79" s="356"/>
      <c r="T79" s="272"/>
      <c r="U79" s="302"/>
      <c r="V79" s="370"/>
      <c r="W79" s="371"/>
      <c r="Y79" s="372"/>
    </row>
    <row r="80" spans="1:25" ht="15.75" thickBot="1" x14ac:dyDescent="0.3">
      <c r="B80" s="363" t="s">
        <v>320</v>
      </c>
      <c r="C80" s="364">
        <f>SUM(C76:C79)</f>
        <v>0</v>
      </c>
      <c r="D80" s="356"/>
      <c r="E80" s="272"/>
      <c r="F80" s="365" t="s">
        <v>321</v>
      </c>
      <c r="G80" s="369">
        <f>IF(G77=0,0,G77/I3)</f>
        <v>0</v>
      </c>
      <c r="H80" s="272"/>
      <c r="I80" s="276" t="s">
        <v>322</v>
      </c>
      <c r="J80" s="368">
        <f>Q20</f>
        <v>0</v>
      </c>
      <c r="K80" s="356"/>
      <c r="L80" s="276" t="s">
        <v>323</v>
      </c>
      <c r="M80" s="367">
        <f>IF(J80=0,0,(V20+U30+V33+H62+V41+H74)/J80)</f>
        <v>0</v>
      </c>
      <c r="N80" s="356"/>
      <c r="P80" s="293" t="s">
        <v>324</v>
      </c>
      <c r="Q80" s="291" t="s">
        <v>325</v>
      </c>
      <c r="R80" s="373" t="s">
        <v>326</v>
      </c>
      <c r="T80" s="272"/>
      <c r="U80" s="302"/>
      <c r="V80" s="353"/>
      <c r="W80" s="371"/>
      <c r="Y80" s="277"/>
    </row>
    <row r="81" spans="1:25" ht="15.75" thickBot="1" x14ac:dyDescent="0.3">
      <c r="B81" s="363" t="s">
        <v>327</v>
      </c>
      <c r="C81" s="364">
        <f>G74</f>
        <v>0</v>
      </c>
      <c r="D81" s="356"/>
      <c r="E81" s="272"/>
      <c r="F81" s="374" t="s">
        <v>328</v>
      </c>
      <c r="G81" s="375">
        <f>IF(G78=0,0,G78/I5)</f>
        <v>0</v>
      </c>
      <c r="H81" s="272"/>
      <c r="I81" s="283" t="s">
        <v>329</v>
      </c>
      <c r="J81" s="376">
        <f>J80*3.28</f>
        <v>0</v>
      </c>
      <c r="K81" s="356"/>
      <c r="L81" s="283" t="s">
        <v>330</v>
      </c>
      <c r="M81" s="377">
        <f>M80/3.28</f>
        <v>0</v>
      </c>
      <c r="N81" s="356"/>
      <c r="P81" s="296">
        <f>IF(V77=0,0,V77/(V76+V77+V78)*100)</f>
        <v>100</v>
      </c>
      <c r="Q81" s="296">
        <f>IF(V76=0,0,V76/(V76+V77+V78)*100)</f>
        <v>0</v>
      </c>
      <c r="R81" s="378">
        <f>IF(P81=0,0,100-P81-Q81)</f>
        <v>0</v>
      </c>
      <c r="T81" s="272"/>
      <c r="U81" s="344" t="s">
        <v>331</v>
      </c>
      <c r="V81" s="379">
        <f>SUM(V75:V79)</f>
        <v>6500</v>
      </c>
      <c r="W81" s="379">
        <f>SUM(W75:W79)</f>
        <v>650.00000000000057</v>
      </c>
      <c r="X81" s="352"/>
      <c r="Y81" s="380">
        <f>SUM(Y75:Y79)</f>
        <v>7150.0000000000009</v>
      </c>
    </row>
    <row r="82" spans="1:25" ht="15.75" thickBot="1" x14ac:dyDescent="0.3">
      <c r="B82" s="381" t="s">
        <v>332</v>
      </c>
      <c r="C82" s="382">
        <f>G20+O33*U33+O36*R36+O37*R37+O38*R38+O39*R39</f>
        <v>0</v>
      </c>
      <c r="D82" s="356"/>
      <c r="H82" s="272"/>
      <c r="K82" s="356"/>
      <c r="N82" s="356"/>
      <c r="T82" s="272"/>
    </row>
    <row r="83" spans="1:25" x14ac:dyDescent="0.25">
      <c r="D83" s="356"/>
      <c r="H83" s="272"/>
      <c r="K83" s="356"/>
      <c r="N83" s="356"/>
      <c r="T83" s="272"/>
    </row>
    <row r="84" spans="1:25" x14ac:dyDescent="0.25">
      <c r="A84" s="290"/>
    </row>
  </sheetData>
  <phoneticPr fontId="2" type="noConversion"/>
  <printOptions horizontalCentered="1" verticalCentered="1" gridLines="1"/>
  <pageMargins left="0.25" right="0.25" top="0.25" bottom="0.25" header="0.25" footer="0.25"/>
  <pageSetup paperSize="3" scale="60" orientation="landscape" verticalDpi="597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2"/>
  <sheetViews>
    <sheetView topLeftCell="A4" zoomScaleNormal="100" zoomScaleSheetLayoutView="100" workbookViewId="0">
      <selection activeCell="L24" sqref="L24"/>
    </sheetView>
  </sheetViews>
  <sheetFormatPr defaultColWidth="10.28515625" defaultRowHeight="15" x14ac:dyDescent="0.25"/>
  <cols>
    <col min="1" max="1" width="8.5703125" style="383" customWidth="1"/>
    <col min="2" max="2" width="4.28515625" style="1" customWidth="1"/>
    <col min="3" max="3" width="15.28515625" style="1" bestFit="1" customWidth="1"/>
    <col min="4" max="4" width="14.7109375" style="1" customWidth="1"/>
    <col min="5" max="5" width="3.140625" style="1" customWidth="1"/>
    <col min="6" max="6" width="21.85546875" style="1" customWidth="1"/>
    <col min="7" max="7" width="3.85546875" style="1" customWidth="1"/>
    <col min="8" max="8" width="7.28515625" style="1" bestFit="1" customWidth="1"/>
    <col min="9" max="9" width="18" style="1" customWidth="1"/>
    <col min="10" max="10" width="4.42578125" style="1" customWidth="1"/>
    <col min="11" max="11" width="4.85546875" style="1" customWidth="1"/>
    <col min="12" max="12" width="18.85546875" style="1" customWidth="1"/>
    <col min="13" max="13" width="22.7109375" style="1" customWidth="1"/>
    <col min="14" max="16384" width="10.28515625" style="1"/>
  </cols>
  <sheetData>
    <row r="1" spans="1:13" x14ac:dyDescent="0.25">
      <c r="C1" s="521" t="s">
        <v>364</v>
      </c>
    </row>
    <row r="2" spans="1:13" x14ac:dyDescent="0.25">
      <c r="D2" s="521"/>
      <c r="L2" s="392">
        <f>B3</f>
        <v>0</v>
      </c>
    </row>
    <row r="3" spans="1:13" x14ac:dyDescent="0.25">
      <c r="A3" s="384" t="str">
        <f>'MANHOLES (1)'!A2</f>
        <v>PROJECT</v>
      </c>
      <c r="B3" s="392">
        <f>'MANHOLES (1)'!B2</f>
        <v>0</v>
      </c>
      <c r="F3" s="2"/>
    </row>
    <row r="4" spans="1:13" x14ac:dyDescent="0.25">
      <c r="A4" s="384" t="s">
        <v>365</v>
      </c>
      <c r="B4" s="392">
        <f>'MANHOLES (1)'!B3</f>
        <v>0</v>
      </c>
    </row>
    <row r="5" spans="1:13" x14ac:dyDescent="0.25">
      <c r="A5" s="384" t="s">
        <v>365</v>
      </c>
      <c r="B5" s="392" t="s">
        <v>365</v>
      </c>
      <c r="E5" s="4"/>
      <c r="L5" s="5"/>
      <c r="M5" s="6"/>
    </row>
    <row r="6" spans="1:13" x14ac:dyDescent="0.25">
      <c r="A6" s="384" t="str">
        <f>'MANHOLES (1)'!A5</f>
        <v>Date:</v>
      </c>
      <c r="B6" s="392">
        <f>'MANHOLES (1)'!B5</f>
        <v>0</v>
      </c>
    </row>
    <row r="7" spans="1:13" x14ac:dyDescent="0.25">
      <c r="A7" s="384" t="s">
        <v>365</v>
      </c>
      <c r="B7" s="3" t="s">
        <v>365</v>
      </c>
    </row>
    <row r="8" spans="1:13" x14ac:dyDescent="0.25">
      <c r="A8" s="384" t="s">
        <v>365</v>
      </c>
      <c r="B8" s="3" t="s">
        <v>365</v>
      </c>
    </row>
    <row r="9" spans="1:13" x14ac:dyDescent="0.25">
      <c r="A9" s="384" t="s">
        <v>365</v>
      </c>
      <c r="B9" s="3" t="s">
        <v>365</v>
      </c>
    </row>
    <row r="10" spans="1:13" s="387" customFormat="1" ht="24" customHeight="1" x14ac:dyDescent="0.2">
      <c r="A10" s="388"/>
      <c r="B10" s="388"/>
      <c r="C10" s="386" t="s">
        <v>300</v>
      </c>
      <c r="D10" s="385" t="s">
        <v>333</v>
      </c>
      <c r="E10" s="389"/>
      <c r="F10" s="390" t="s">
        <v>380</v>
      </c>
      <c r="G10" s="447"/>
      <c r="H10" s="386"/>
      <c r="I10" s="389" t="s">
        <v>60</v>
      </c>
      <c r="J10" s="389"/>
      <c r="K10" s="385"/>
      <c r="L10" s="389" t="s">
        <v>334</v>
      </c>
      <c r="M10" s="389" t="s">
        <v>53</v>
      </c>
    </row>
    <row r="11" spans="1:13" x14ac:dyDescent="0.25">
      <c r="A11" s="383">
        <f>'SEWERS (1)'!C57</f>
        <v>0</v>
      </c>
      <c r="B11" s="2" t="s">
        <v>132</v>
      </c>
      <c r="C11" s="15" t="s">
        <v>345</v>
      </c>
      <c r="D11" s="443">
        <f>'SEWERS (1)'!Z62</f>
        <v>10000</v>
      </c>
      <c r="E11" s="16"/>
      <c r="F11" s="443">
        <f>'SEWERS (1)'!Z63</f>
        <v>0</v>
      </c>
      <c r="G11" s="16"/>
      <c r="H11" s="8"/>
      <c r="I11" s="444">
        <f>'SEWERS (1)'!Z64</f>
        <v>0</v>
      </c>
      <c r="J11" s="16"/>
      <c r="K11" s="8"/>
      <c r="L11" s="444">
        <f>'SEWERS (1)'!Z67</f>
        <v>10000</v>
      </c>
      <c r="M11" s="444">
        <f>'SEWERS (1)'!AB67</f>
        <v>11000</v>
      </c>
    </row>
    <row r="12" spans="1:13" x14ac:dyDescent="0.25">
      <c r="C12" s="8" t="s">
        <v>346</v>
      </c>
      <c r="D12" s="443">
        <f>'MANHOLES (1)'!T54</f>
        <v>0</v>
      </c>
      <c r="E12" s="16"/>
      <c r="F12" s="443">
        <f>'MANHOLES (1)'!T55</f>
        <v>0</v>
      </c>
      <c r="G12" s="16"/>
      <c r="H12" s="8"/>
      <c r="I12" s="444">
        <f>'MANHOLES (1)'!T56</f>
        <v>0</v>
      </c>
      <c r="J12" s="16"/>
      <c r="K12" s="8"/>
      <c r="L12" s="444">
        <f>'MANHOLES (1)'!T57</f>
        <v>0</v>
      </c>
      <c r="M12" s="444">
        <f>'MANHOLES (1)'!V57</f>
        <v>0</v>
      </c>
    </row>
    <row r="13" spans="1:13" ht="15.75" thickBot="1" x14ac:dyDescent="0.3">
      <c r="A13" s="383">
        <f>'WATERMAIN (1)'!Q20</f>
        <v>0</v>
      </c>
      <c r="B13" s="2" t="s">
        <v>132</v>
      </c>
      <c r="C13" s="453" t="s">
        <v>344</v>
      </c>
      <c r="D13" s="450">
        <f>'WATERMAIN (1)'!V76</f>
        <v>0</v>
      </c>
      <c r="E13" s="454"/>
      <c r="F13" s="450">
        <f>'WATERMAIN (1)'!V77</f>
        <v>6500</v>
      </c>
      <c r="G13" s="454"/>
      <c r="H13" s="453"/>
      <c r="I13" s="449">
        <f>'WATERMAIN (1)'!V78</f>
        <v>0</v>
      </c>
      <c r="J13" s="454"/>
      <c r="K13" s="453"/>
      <c r="L13" s="449">
        <f>'WATERMAIN (1)'!V81</f>
        <v>6500</v>
      </c>
      <c r="M13" s="449">
        <f>'WATERMAIN (1)'!Y81</f>
        <v>7150.0000000000009</v>
      </c>
    </row>
    <row r="14" spans="1:13" s="2" customFormat="1" ht="15.75" thickBot="1" x14ac:dyDescent="0.3">
      <c r="A14" s="383"/>
      <c r="C14" s="456" t="s">
        <v>53</v>
      </c>
      <c r="D14" s="451">
        <f>SUM(D11:D13)</f>
        <v>10000</v>
      </c>
      <c r="E14" s="457"/>
      <c r="F14" s="451">
        <f>SUM(F11:F13)</f>
        <v>6500</v>
      </c>
      <c r="G14" s="457"/>
      <c r="H14" s="456"/>
      <c r="I14" s="452">
        <f>SUM(I11:I13)</f>
        <v>0</v>
      </c>
      <c r="J14" s="457"/>
      <c r="K14" s="456"/>
      <c r="L14" s="452">
        <f>SUM(L11:L13)</f>
        <v>16500</v>
      </c>
      <c r="M14" s="452">
        <f>SUM(M11:M13)</f>
        <v>18150</v>
      </c>
    </row>
    <row r="15" spans="1:13" x14ac:dyDescent="0.25">
      <c r="C15" s="455" t="s">
        <v>335</v>
      </c>
      <c r="D15" s="11">
        <f>ROUND(D14/L14*100,1)</f>
        <v>60.6</v>
      </c>
      <c r="E15" s="448" t="s">
        <v>336</v>
      </c>
      <c r="F15" s="11">
        <f>ROUND(F14/L14*100,1)</f>
        <v>39.4</v>
      </c>
      <c r="G15" s="448" t="s">
        <v>335</v>
      </c>
      <c r="H15" s="455"/>
      <c r="I15" s="11">
        <f>ROUND(I14/L14*100,1)</f>
        <v>0</v>
      </c>
      <c r="J15" s="448" t="s">
        <v>335</v>
      </c>
      <c r="K15" s="455"/>
      <c r="L15" s="448"/>
      <c r="M15" s="448"/>
    </row>
    <row r="17" spans="3:13" x14ac:dyDescent="0.25">
      <c r="J17" s="9"/>
      <c r="L17" s="10"/>
    </row>
    <row r="18" spans="3:13" x14ac:dyDescent="0.25">
      <c r="C18" s="5" t="s">
        <v>337</v>
      </c>
      <c r="D18" s="11">
        <f>SUM(A11:A13)</f>
        <v>0</v>
      </c>
      <c r="E18" s="7" t="s">
        <v>338</v>
      </c>
      <c r="I18" s="5" t="s">
        <v>125</v>
      </c>
      <c r="J18" s="12"/>
      <c r="L18" s="13">
        <f>L14</f>
        <v>16500</v>
      </c>
    </row>
    <row r="19" spans="3:13" x14ac:dyDescent="0.25">
      <c r="C19" s="5"/>
      <c r="I19" s="5" t="s">
        <v>339</v>
      </c>
      <c r="J19" s="446">
        <v>0.15</v>
      </c>
      <c r="L19" s="445">
        <f>M14-L18</f>
        <v>1650</v>
      </c>
      <c r="M19" s="13"/>
    </row>
    <row r="20" spans="3:13" ht="15.75" thickBot="1" x14ac:dyDescent="0.3">
      <c r="C20" s="5" t="s">
        <v>340</v>
      </c>
      <c r="D20" s="11">
        <f>ROUND(F14/'SEWERS (1)'!F6,2)</f>
        <v>0.72</v>
      </c>
      <c r="E20" s="7" t="s">
        <v>341</v>
      </c>
      <c r="L20" s="458">
        <f>L18+L19</f>
        <v>18150</v>
      </c>
    </row>
    <row r="21" spans="3:13" ht="18" thickTop="1" x14ac:dyDescent="0.25">
      <c r="C21" s="5"/>
      <c r="G21" s="5" t="s">
        <v>354</v>
      </c>
      <c r="H21" s="13">
        <v>3</v>
      </c>
      <c r="I21" s="14">
        <f>I14/'MANHOLES (1)'!F3</f>
        <v>0</v>
      </c>
      <c r="J21" s="1" t="s">
        <v>366</v>
      </c>
    </row>
    <row r="22" spans="3:13" x14ac:dyDescent="0.25">
      <c r="C22" s="5" t="s">
        <v>342</v>
      </c>
      <c r="D22" s="11">
        <f>ROUND(D18/D20,2)</f>
        <v>0</v>
      </c>
      <c r="E22" s="7" t="s">
        <v>343</v>
      </c>
      <c r="G22" s="5" t="s">
        <v>355</v>
      </c>
      <c r="H22" s="13">
        <v>40</v>
      </c>
      <c r="I22" s="13"/>
    </row>
  </sheetData>
  <phoneticPr fontId="2" type="noConversion"/>
  <printOptions gridLines="1"/>
  <pageMargins left="0.75" right="0.25" top="1" bottom="0.25" header="0.25" footer="0.25"/>
  <pageSetup paperSize="3" scale="90" orientation="landscape" verticalDpi="597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11</vt:i4>
      </vt:variant>
    </vt:vector>
  </HeadingPairs>
  <TitlesOfParts>
    <vt:vector size="15" baseType="lpstr">
      <vt:lpstr>MANHOLES (1)</vt:lpstr>
      <vt:lpstr>SEWERS (1)</vt:lpstr>
      <vt:lpstr>WATERMAIN (1)</vt:lpstr>
      <vt:lpstr>SUMMARY OF ESTIMATE</vt:lpstr>
      <vt:lpstr>'MANHOLES (1)'!Print_Area</vt:lpstr>
      <vt:lpstr>'SEWERS (1)'!Print_Area</vt:lpstr>
      <vt:lpstr>'SUMMARY OF ESTIMATE'!Print_Area</vt:lpstr>
      <vt:lpstr>'WATERMAIN (1)'!Print_Area</vt:lpstr>
      <vt:lpstr>'MANHOLES (1)'!Print_Area_MI</vt:lpstr>
      <vt:lpstr>'SEWERS (1)'!Print_Area_MI</vt:lpstr>
      <vt:lpstr>'WATERMAIN (1)'!Print_Area_MI</vt:lpstr>
      <vt:lpstr>'MANHOLES (1)'!Print_Titles</vt:lpstr>
      <vt:lpstr>'WATERMAIN (1)'!Print_Titles</vt:lpstr>
      <vt:lpstr>'MANHOLES (1)'!Print_Titles_MI</vt:lpstr>
      <vt:lpstr>'WATERMAIN (1)'!Print_Titles_MI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mdipucchio</dc:creator>
  <cp:lastModifiedBy>Hazem Michael</cp:lastModifiedBy>
  <cp:lastPrinted>2022-04-27T12:40:44Z</cp:lastPrinted>
  <dcterms:created xsi:type="dcterms:W3CDTF">2006-01-06T18:14:58Z</dcterms:created>
  <dcterms:modified xsi:type="dcterms:W3CDTF">2026-05-08T13:37:21Z</dcterms:modified>
</cp:coreProperties>
</file>